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Honors Research\"/>
    </mc:Choice>
  </mc:AlternateContent>
  <xr:revisionPtr revIDLastSave="0" documentId="8_{A3103B00-9EA2-4F19-BCEA-E74D192B56D0}" xr6:coauthVersionLast="47" xr6:coauthVersionMax="47" xr10:uidLastSave="{00000000-0000-0000-0000-000000000000}"/>
  <bookViews>
    <workbookView xWindow="-110" yWindow="-110" windowWidth="25820" windowHeight="15500" activeTab="3" xr2:uid="{95A533CF-B015-4027-9927-3AF7B88F0974}"/>
  </bookViews>
  <sheets>
    <sheet name="Scopus" sheetId="2" r:id="rId1"/>
    <sheet name="Titles" sheetId="1" r:id="rId2"/>
    <sheet name="Abstracts" sheetId="6" r:id="rId3"/>
    <sheet name="Data extraction" sheetId="4" r:id="rId4"/>
    <sheet name="Quotes" sheetId="5" r:id="rId5"/>
    <sheet name="Variable Search" sheetId="7" r:id="rId6"/>
    <sheet name="more tabs" sheetId="8" r:id="rId7"/>
  </sheets>
  <definedNames>
    <definedName name="_xlnm._FilterDatabase" localSheetId="2" hidden="1">Abstracts!$A$1:$K$251</definedName>
    <definedName name="_xlnm._FilterDatabase" localSheetId="3" hidden="1">'Data extraction'!$A$2:$S$64</definedName>
    <definedName name="_xlnm._FilterDatabase" localSheetId="4" hidden="1">Quotes!$A$1:$M$232</definedName>
    <definedName name="_xlnm._FilterDatabase" localSheetId="1" hidden="1">Titles!$A$1:$H$301</definedName>
    <definedName name="ExternalData_1" localSheetId="0" hidden="1">Scopus!$A$1:$AG$478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4" l="1"/>
  <c r="C13" i="4"/>
  <c r="C5" i="4"/>
  <c r="B2" i="6"/>
  <c r="C3" i="4"/>
  <c r="C64" i="4"/>
  <c r="C63" i="4"/>
  <c r="C62" i="4"/>
  <c r="C61" i="4"/>
  <c r="C60" i="4"/>
  <c r="C59" i="4"/>
  <c r="C58" i="4"/>
  <c r="C57" i="4"/>
  <c r="C56" i="4"/>
  <c r="C55" i="4"/>
  <c r="C54" i="4"/>
  <c r="C53" i="4"/>
  <c r="C52" i="4"/>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65" i="6"/>
  <c r="N39" i="6"/>
  <c r="N40" i="6"/>
  <c r="N41" i="6"/>
  <c r="N66" i="6"/>
  <c r="N42" i="6"/>
  <c r="N43" i="6"/>
  <c r="N44" i="6"/>
  <c r="N45" i="6"/>
  <c r="N46" i="6"/>
  <c r="N47" i="6"/>
  <c r="N48" i="6"/>
  <c r="N67" i="6"/>
  <c r="N68" i="6"/>
  <c r="N69" i="6"/>
  <c r="N49" i="6"/>
  <c r="N70" i="6"/>
  <c r="N71" i="6"/>
  <c r="N50" i="6"/>
  <c r="N72" i="6"/>
  <c r="N73" i="6"/>
  <c r="N74" i="6"/>
  <c r="N51" i="6"/>
  <c r="N52" i="6"/>
  <c r="N53" i="6"/>
  <c r="N75" i="6"/>
  <c r="N76" i="6"/>
  <c r="N77" i="6"/>
  <c r="N78" i="6"/>
  <c r="N54" i="6"/>
  <c r="N79" i="6"/>
  <c r="N80" i="6"/>
  <c r="N81" i="6"/>
  <c r="N82" i="6"/>
  <c r="N83" i="6"/>
  <c r="N84" i="6"/>
  <c r="N85" i="6"/>
  <c r="N86" i="6"/>
  <c r="N87" i="6"/>
  <c r="N55" i="6"/>
  <c r="N56" i="6"/>
  <c r="N57" i="6"/>
  <c r="N88" i="6"/>
  <c r="N89" i="6"/>
  <c r="N90" i="6"/>
  <c r="N91" i="6"/>
  <c r="N92" i="6"/>
  <c r="N93" i="6"/>
  <c r="N58" i="6"/>
  <c r="N94" i="6"/>
  <c r="N95" i="6"/>
  <c r="N96" i="6"/>
  <c r="N97" i="6"/>
  <c r="N98" i="6"/>
  <c r="N59" i="6"/>
  <c r="N60" i="6"/>
  <c r="N61" i="6"/>
  <c r="N99" i="6"/>
  <c r="N100" i="6"/>
  <c r="N101" i="6"/>
  <c r="N102" i="6"/>
  <c r="N103" i="6"/>
  <c r="N104" i="6"/>
  <c r="N62" i="6"/>
  <c r="N105" i="6"/>
  <c r="N106" i="6"/>
  <c r="N107" i="6"/>
  <c r="N108" i="6"/>
  <c r="N109" i="6"/>
  <c r="N110" i="6"/>
  <c r="N111" i="6"/>
  <c r="N112" i="6"/>
  <c r="N63" i="6"/>
  <c r="N113" i="6"/>
  <c r="N114" i="6"/>
  <c r="N64" i="6"/>
  <c r="N115" i="6"/>
  <c r="N116" i="6"/>
  <c r="N117" i="6"/>
  <c r="N118" i="6"/>
  <c r="N119" i="6"/>
  <c r="N120" i="6"/>
  <c r="N121" i="6"/>
  <c r="N122" i="6"/>
  <c r="N123" i="6"/>
  <c r="N124" i="6"/>
  <c r="N125" i="6"/>
  <c r="N126" i="6"/>
  <c r="N127" i="6"/>
  <c r="N128" i="6"/>
  <c r="N129" i="6"/>
  <c r="N130" i="6"/>
  <c r="N131" i="6"/>
  <c r="N132" i="6"/>
  <c r="N133" i="6"/>
  <c r="N134" i="6"/>
  <c r="N135"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C51" i="4"/>
  <c r="C50" i="4"/>
  <c r="C49" i="4"/>
  <c r="C4" i="4"/>
  <c r="C6" i="4"/>
  <c r="C7" i="4"/>
  <c r="C8" i="4"/>
  <c r="C9" i="4"/>
  <c r="C10" i="4"/>
  <c r="C11" i="4"/>
  <c r="C12" i="4"/>
  <c r="C14" i="4"/>
  <c r="C15" i="4"/>
  <c r="C16" i="4"/>
  <c r="C17" i="4"/>
  <c r="C18" i="4"/>
  <c r="C19"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B67" i="6"/>
  <c r="J137" i="6"/>
  <c r="N137" i="6" s="1"/>
  <c r="B112" i="6"/>
  <c r="C112" i="6"/>
  <c r="G3" i="1"/>
  <c r="G2"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B13" i="6"/>
  <c r="B29" i="6"/>
  <c r="B20" i="6"/>
  <c r="B30" i="6"/>
  <c r="B3" i="6"/>
  <c r="B100" i="6"/>
  <c r="B4" i="6"/>
  <c r="B5" i="6"/>
  <c r="B53" i="6"/>
  <c r="B40" i="6"/>
  <c r="B21" i="6"/>
  <c r="B22" i="6"/>
  <c r="B88" i="6"/>
  <c r="B6" i="6"/>
  <c r="B23" i="6"/>
  <c r="B48" i="6"/>
  <c r="B41" i="6"/>
  <c r="B31" i="6"/>
  <c r="B89" i="6"/>
  <c r="B32" i="6"/>
  <c r="B7" i="6"/>
  <c r="B33" i="6"/>
  <c r="B66" i="6"/>
  <c r="B14" i="6"/>
  <c r="B68" i="6"/>
  <c r="B8" i="6"/>
  <c r="B75" i="6"/>
  <c r="B69" i="6"/>
  <c r="B90" i="6"/>
  <c r="B106" i="6"/>
  <c r="B9" i="6"/>
  <c r="B15" i="6"/>
  <c r="B49" i="6"/>
  <c r="B91" i="6"/>
  <c r="B111" i="6"/>
  <c r="B34" i="6"/>
  <c r="B70" i="6"/>
  <c r="B10" i="6"/>
  <c r="B35" i="6"/>
  <c r="B76" i="6"/>
  <c r="B24" i="6"/>
  <c r="B16" i="6"/>
  <c r="B107" i="6"/>
  <c r="B42" i="6"/>
  <c r="B17" i="6"/>
  <c r="B77" i="6"/>
  <c r="B71" i="6"/>
  <c r="B43" i="6"/>
  <c r="B92" i="6"/>
  <c r="B25" i="6"/>
  <c r="B63" i="6"/>
  <c r="B50" i="6"/>
  <c r="B78" i="6"/>
  <c r="B54" i="6"/>
  <c r="B93" i="6"/>
  <c r="B44" i="6"/>
  <c r="B79" i="6"/>
  <c r="B101" i="6"/>
  <c r="B58" i="6"/>
  <c r="B18" i="6"/>
  <c r="B19" i="6"/>
  <c r="B80" i="6"/>
  <c r="B36" i="6"/>
  <c r="B37" i="6"/>
  <c r="B94" i="6"/>
  <c r="B95" i="6"/>
  <c r="B81" i="6"/>
  <c r="B96" i="6"/>
  <c r="B102" i="6"/>
  <c r="B113" i="6"/>
  <c r="B45" i="6"/>
  <c r="B108" i="6"/>
  <c r="B114" i="6"/>
  <c r="B72" i="6"/>
  <c r="B73" i="6"/>
  <c r="B82" i="6"/>
  <c r="B83" i="6"/>
  <c r="B38" i="6"/>
  <c r="B103" i="6"/>
  <c r="B121" i="6"/>
  <c r="B104" i="6"/>
  <c r="B84" i="6"/>
  <c r="B26" i="6"/>
  <c r="B27" i="6"/>
  <c r="B85" i="6"/>
  <c r="B86" i="6"/>
  <c r="B74" i="6"/>
  <c r="B28" i="6"/>
  <c r="B65" i="6"/>
  <c r="B97" i="6"/>
  <c r="B46" i="6"/>
  <c r="B39" i="6"/>
  <c r="B62" i="6"/>
  <c r="B98" i="6"/>
  <c r="B128" i="6"/>
  <c r="B11" i="6"/>
  <c r="B51" i="6"/>
  <c r="B64" i="6"/>
  <c r="B59" i="6"/>
  <c r="B132" i="6"/>
  <c r="B133" i="6"/>
  <c r="B125" i="6"/>
  <c r="B129" i="6"/>
  <c r="B60" i="6"/>
  <c r="B47" i="6"/>
  <c r="B130" i="6"/>
  <c r="B115" i="6"/>
  <c r="B12" i="6"/>
  <c r="B61" i="6"/>
  <c r="B87" i="6"/>
  <c r="B122" i="6"/>
  <c r="B109" i="6"/>
  <c r="B110" i="6"/>
  <c r="B123" i="6"/>
  <c r="B55" i="6"/>
  <c r="B124" i="6"/>
  <c r="B116" i="6"/>
  <c r="B117" i="6"/>
  <c r="B105" i="6"/>
  <c r="B126" i="6"/>
  <c r="B56" i="6"/>
  <c r="B118" i="6"/>
  <c r="B52" i="6"/>
  <c r="B127" i="6"/>
  <c r="B119" i="6"/>
  <c r="B57" i="6"/>
  <c r="B131" i="6"/>
  <c r="B120" i="6"/>
  <c r="B99" i="6"/>
  <c r="C13" i="6"/>
  <c r="C29" i="6"/>
  <c r="C20" i="6"/>
  <c r="C30" i="6"/>
  <c r="C2" i="6"/>
  <c r="C3" i="6"/>
  <c r="C100" i="6"/>
  <c r="C4" i="6"/>
  <c r="C5" i="6"/>
  <c r="C53" i="6"/>
  <c r="C40" i="6"/>
  <c r="C21" i="6"/>
  <c r="C22" i="6"/>
  <c r="C88" i="6"/>
  <c r="C6" i="6"/>
  <c r="C23" i="6"/>
  <c r="C48" i="6"/>
  <c r="C41" i="6"/>
  <c r="C31" i="6"/>
  <c r="C89" i="6"/>
  <c r="C32" i="6"/>
  <c r="C7" i="6"/>
  <c r="C33" i="6"/>
  <c r="C66" i="6"/>
  <c r="C67" i="6"/>
  <c r="C14" i="6"/>
  <c r="C68" i="6"/>
  <c r="C8" i="6"/>
  <c r="C75" i="6"/>
  <c r="C69" i="6"/>
  <c r="C90" i="6"/>
  <c r="C106" i="6"/>
  <c r="C9" i="6"/>
  <c r="C15" i="6"/>
  <c r="C49" i="6"/>
  <c r="C91" i="6"/>
  <c r="C111" i="6"/>
  <c r="C34" i="6"/>
  <c r="C70" i="6"/>
  <c r="C10" i="6"/>
  <c r="C35" i="6"/>
  <c r="C76" i="6"/>
  <c r="C24" i="6"/>
  <c r="C16" i="6"/>
  <c r="C107" i="6"/>
  <c r="C42" i="6"/>
  <c r="C17" i="6"/>
  <c r="C77" i="6"/>
  <c r="C71" i="6"/>
  <c r="C43" i="6"/>
  <c r="C92" i="6"/>
  <c r="C25" i="6"/>
  <c r="C63" i="6"/>
  <c r="C50" i="6"/>
  <c r="C78" i="6"/>
  <c r="C54" i="6"/>
  <c r="C93" i="6"/>
  <c r="C44" i="6"/>
  <c r="C79" i="6"/>
  <c r="C101" i="6"/>
  <c r="C58" i="6"/>
  <c r="C18" i="6"/>
  <c r="C19" i="6"/>
  <c r="C80" i="6"/>
  <c r="C36" i="6"/>
  <c r="C37" i="6"/>
  <c r="C94" i="6"/>
  <c r="C95" i="6"/>
  <c r="C81" i="6"/>
  <c r="C96" i="6"/>
  <c r="C102" i="6"/>
  <c r="C113" i="6"/>
  <c r="C45" i="6"/>
  <c r="C108" i="6"/>
  <c r="C114" i="6"/>
  <c r="C72" i="6"/>
  <c r="C73" i="6"/>
  <c r="C82" i="6"/>
  <c r="C83" i="6"/>
  <c r="C38" i="6"/>
  <c r="C103" i="6"/>
  <c r="C121" i="6"/>
  <c r="C104" i="6"/>
  <c r="C84" i="6"/>
  <c r="C26" i="6"/>
  <c r="C27" i="6"/>
  <c r="C85" i="6"/>
  <c r="C86" i="6"/>
  <c r="C74" i="6"/>
  <c r="C28" i="6"/>
  <c r="C65" i="6"/>
  <c r="C97" i="6"/>
  <c r="C46" i="6"/>
  <c r="C39" i="6"/>
  <c r="C62" i="6"/>
  <c r="C98" i="6"/>
  <c r="C128" i="6"/>
  <c r="C11" i="6"/>
  <c r="C51" i="6"/>
  <c r="C64" i="6"/>
  <c r="C59" i="6"/>
  <c r="C132" i="6"/>
  <c r="C133" i="6"/>
  <c r="C125" i="6"/>
  <c r="C129" i="6"/>
  <c r="C60" i="6"/>
  <c r="C47" i="6"/>
  <c r="C130" i="6"/>
  <c r="C115" i="6"/>
  <c r="C12" i="6"/>
  <c r="C61" i="6"/>
  <c r="C87" i="6"/>
  <c r="C122" i="6"/>
  <c r="C109" i="6"/>
  <c r="C110" i="6"/>
  <c r="C123" i="6"/>
  <c r="C55" i="6"/>
  <c r="C124" i="6"/>
  <c r="C116" i="6"/>
  <c r="C117" i="6"/>
  <c r="C105" i="6"/>
  <c r="C126" i="6"/>
  <c r="C56" i="6"/>
  <c r="C118" i="6"/>
  <c r="C52" i="6"/>
  <c r="C127" i="6"/>
  <c r="C119" i="6"/>
  <c r="C57" i="6"/>
  <c r="C131" i="6"/>
  <c r="C120" i="6"/>
  <c r="C99" i="6"/>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K4" i="2"/>
  <c r="K5" i="2"/>
  <c r="K7" i="2"/>
  <c r="K11" i="2"/>
  <c r="K14" i="2"/>
  <c r="K15" i="2"/>
  <c r="K16" i="2"/>
  <c r="K20" i="2"/>
  <c r="K23" i="2"/>
  <c r="K26" i="2"/>
  <c r="K27" i="2"/>
  <c r="K31" i="2"/>
  <c r="K33" i="2"/>
  <c r="K34" i="2"/>
  <c r="K35" i="2"/>
  <c r="K36" i="2"/>
  <c r="K38" i="2"/>
  <c r="K40" i="2"/>
  <c r="K42" i="2"/>
  <c r="K43" i="2"/>
  <c r="K45" i="2"/>
  <c r="K48" i="2"/>
  <c r="K51" i="2"/>
  <c r="K52" i="2"/>
  <c r="K53" i="2"/>
  <c r="K57" i="2"/>
  <c r="K61" i="2"/>
  <c r="K63" i="2"/>
  <c r="K65" i="2"/>
  <c r="K66" i="2"/>
  <c r="K68" i="2"/>
  <c r="K71" i="2"/>
  <c r="K72" i="2"/>
  <c r="K75" i="2"/>
  <c r="K77" i="2"/>
  <c r="K81" i="2"/>
  <c r="K82" i="2"/>
  <c r="K83" i="2"/>
  <c r="K84" i="2"/>
  <c r="K85" i="2"/>
  <c r="K91" i="2"/>
  <c r="K92" i="2"/>
  <c r="K94" i="2"/>
  <c r="K102" i="2"/>
  <c r="K104" i="2"/>
  <c r="K112" i="2"/>
  <c r="K113" i="2"/>
  <c r="K114" i="2"/>
  <c r="K115" i="2"/>
  <c r="K116" i="2"/>
  <c r="K117" i="2"/>
  <c r="K118" i="2"/>
  <c r="K119" i="2"/>
  <c r="K120" i="2"/>
  <c r="K124" i="2"/>
  <c r="K125" i="2"/>
  <c r="K129" i="2"/>
  <c r="K131" i="2"/>
  <c r="K133" i="2"/>
  <c r="K134" i="2"/>
  <c r="K137" i="2"/>
  <c r="K138" i="2"/>
  <c r="K139" i="2"/>
  <c r="K141" i="2"/>
  <c r="K145" i="2"/>
  <c r="K148" i="2"/>
  <c r="K152" i="2"/>
  <c r="K154" i="2"/>
  <c r="K156" i="2"/>
  <c r="K157" i="2"/>
  <c r="K159" i="2"/>
  <c r="K160" i="2"/>
  <c r="K164" i="2"/>
  <c r="K168" i="2"/>
  <c r="K169" i="2"/>
  <c r="K171" i="2"/>
  <c r="K173" i="2"/>
  <c r="K177" i="2"/>
  <c r="K179" i="2"/>
  <c r="K180" i="2"/>
  <c r="K181" i="2"/>
  <c r="K184" i="2"/>
  <c r="K185" i="2"/>
  <c r="K186" i="2"/>
  <c r="K187" i="2"/>
  <c r="K196" i="2"/>
  <c r="K197" i="2"/>
  <c r="K200" i="2"/>
  <c r="K202" i="2"/>
  <c r="K203" i="2"/>
  <c r="K204" i="2"/>
  <c r="K206" i="2"/>
  <c r="K208" i="2"/>
  <c r="K210" i="2"/>
  <c r="K212" i="2"/>
  <c r="K216" i="2"/>
  <c r="K218" i="2"/>
  <c r="K220" i="2"/>
  <c r="K223" i="2"/>
  <c r="K225" i="2"/>
  <c r="K227" i="2"/>
  <c r="K228" i="2"/>
  <c r="K231" i="2"/>
  <c r="K232" i="2"/>
  <c r="K234" i="2"/>
  <c r="K236" i="2"/>
  <c r="K237" i="2"/>
  <c r="K238" i="2"/>
  <c r="K240" i="2"/>
  <c r="K241" i="2"/>
  <c r="K243" i="2"/>
  <c r="K244" i="2"/>
  <c r="K245" i="2"/>
  <c r="K246" i="2"/>
  <c r="K247" i="2"/>
  <c r="K249" i="2"/>
  <c r="E96" i="7"/>
  <c r="F96" i="7"/>
  <c r="G96" i="7"/>
  <c r="I96" i="7"/>
  <c r="L96" i="7" s="1"/>
  <c r="J96" i="7"/>
  <c r="K96" i="7"/>
  <c r="M96" i="7"/>
  <c r="P96" i="7" s="1"/>
  <c r="N96" i="7"/>
  <c r="O96" i="7"/>
  <c r="Q96" i="7"/>
  <c r="R96" i="7"/>
  <c r="S96" i="7"/>
  <c r="T96" i="7"/>
  <c r="U96" i="7"/>
  <c r="X96" i="7" s="1"/>
  <c r="V96" i="7"/>
  <c r="W96" i="7"/>
  <c r="Y96" i="7"/>
  <c r="Z96" i="7"/>
  <c r="AA96" i="7"/>
  <c r="AB96" i="7"/>
  <c r="AH96" i="7"/>
  <c r="AI96" i="7"/>
  <c r="AJ96" i="7"/>
  <c r="AK96" i="7"/>
  <c r="AL96" i="7"/>
  <c r="AO96" i="7" s="1"/>
  <c r="AM96" i="7"/>
  <c r="AN96" i="7"/>
  <c r="AP96" i="7"/>
  <c r="AQ96" i="7"/>
  <c r="AR96" i="7"/>
  <c r="AS96" i="7"/>
  <c r="AT96" i="7"/>
  <c r="AW96" i="7" s="1"/>
  <c r="AU96" i="7"/>
  <c r="AV96" i="7"/>
  <c r="AX96" i="7"/>
  <c r="BA96" i="7" s="1"/>
  <c r="AY96" i="7"/>
  <c r="AZ96" i="7"/>
  <c r="BB96" i="7"/>
  <c r="BE96" i="7" s="1"/>
  <c r="BC96" i="7"/>
  <c r="BD96" i="7"/>
  <c r="E97" i="7"/>
  <c r="F97" i="7"/>
  <c r="G97" i="7"/>
  <c r="I97" i="7"/>
  <c r="L97" i="7" s="1"/>
  <c r="J97" i="7"/>
  <c r="K97" i="7"/>
  <c r="M97" i="7"/>
  <c r="N97" i="7"/>
  <c r="O97" i="7"/>
  <c r="P97" i="7"/>
  <c r="Q97" i="7"/>
  <c r="T97" i="7" s="1"/>
  <c r="R97" i="7"/>
  <c r="S97" i="7"/>
  <c r="U97" i="7"/>
  <c r="V97" i="7"/>
  <c r="W97" i="7"/>
  <c r="X97" i="7"/>
  <c r="Y97" i="7"/>
  <c r="AB97" i="7" s="1"/>
  <c r="Z97" i="7"/>
  <c r="AA97" i="7"/>
  <c r="AH97" i="7"/>
  <c r="AK97" i="7" s="1"/>
  <c r="BF97" i="7" s="1"/>
  <c r="BG97" i="7" s="1"/>
  <c r="AI97" i="7"/>
  <c r="AJ97" i="7"/>
  <c r="AL97" i="7"/>
  <c r="AO97" i="7" s="1"/>
  <c r="AM97" i="7"/>
  <c r="AN97" i="7"/>
  <c r="AP97" i="7"/>
  <c r="AS97" i="7" s="1"/>
  <c r="AQ97" i="7"/>
  <c r="AR97" i="7"/>
  <c r="AT97" i="7"/>
  <c r="AW97" i="7" s="1"/>
  <c r="AU97" i="7"/>
  <c r="AV97" i="7"/>
  <c r="AX97" i="7"/>
  <c r="BA97" i="7" s="1"/>
  <c r="AY97" i="7"/>
  <c r="AZ97" i="7"/>
  <c r="BB97" i="7"/>
  <c r="BE97" i="7" s="1"/>
  <c r="BC97" i="7"/>
  <c r="BD97" i="7"/>
  <c r="E98" i="7"/>
  <c r="F98" i="7"/>
  <c r="G98" i="7"/>
  <c r="I98" i="7"/>
  <c r="J98" i="7"/>
  <c r="K98" i="7"/>
  <c r="L98" i="7" s="1"/>
  <c r="M98" i="7"/>
  <c r="P98" i="7" s="1"/>
  <c r="N98" i="7"/>
  <c r="O98" i="7"/>
  <c r="Q98" i="7"/>
  <c r="R98" i="7"/>
  <c r="S98" i="7"/>
  <c r="T98" i="7"/>
  <c r="U98" i="7"/>
  <c r="X98" i="7" s="1"/>
  <c r="V98" i="7"/>
  <c r="W98" i="7"/>
  <c r="Y98" i="7"/>
  <c r="Z98" i="7"/>
  <c r="AA98" i="7"/>
  <c r="AB98" i="7"/>
  <c r="AH98" i="7"/>
  <c r="AK98" i="7" s="1"/>
  <c r="AI98" i="7"/>
  <c r="AJ98" i="7"/>
  <c r="AL98" i="7"/>
  <c r="AO98" i="7" s="1"/>
  <c r="AM98" i="7"/>
  <c r="AN98" i="7"/>
  <c r="AP98" i="7"/>
  <c r="AS98" i="7" s="1"/>
  <c r="AQ98" i="7"/>
  <c r="AR98" i="7"/>
  <c r="AT98" i="7"/>
  <c r="AW98" i="7" s="1"/>
  <c r="AU98" i="7"/>
  <c r="AV98" i="7"/>
  <c r="AX98" i="7"/>
  <c r="BA98" i="7" s="1"/>
  <c r="AY98" i="7"/>
  <c r="AZ98" i="7"/>
  <c r="BB98" i="7"/>
  <c r="BE98" i="7" s="1"/>
  <c r="BC98" i="7"/>
  <c r="BD98" i="7"/>
  <c r="E99" i="7"/>
  <c r="H99" i="7" s="1"/>
  <c r="F99" i="7"/>
  <c r="G99" i="7"/>
  <c r="I99" i="7"/>
  <c r="J99" i="7"/>
  <c r="K99" i="7"/>
  <c r="M99" i="7"/>
  <c r="N99" i="7"/>
  <c r="O99" i="7"/>
  <c r="P99" i="7"/>
  <c r="Q99" i="7"/>
  <c r="T99" i="7" s="1"/>
  <c r="R99" i="7"/>
  <c r="S99" i="7"/>
  <c r="U99" i="7"/>
  <c r="V99" i="7"/>
  <c r="W99" i="7"/>
  <c r="X99" i="7"/>
  <c r="Y99" i="7"/>
  <c r="AB99" i="7" s="1"/>
  <c r="Z99" i="7"/>
  <c r="AA99" i="7"/>
  <c r="AH99" i="7"/>
  <c r="AK99" i="7" s="1"/>
  <c r="AI99" i="7"/>
  <c r="AJ99" i="7"/>
  <c r="AL99" i="7"/>
  <c r="AO99" i="7" s="1"/>
  <c r="AM99" i="7"/>
  <c r="AN99" i="7"/>
  <c r="AP99" i="7"/>
  <c r="AS99" i="7" s="1"/>
  <c r="AQ99" i="7"/>
  <c r="AR99" i="7"/>
  <c r="AT99" i="7"/>
  <c r="AW99" i="7" s="1"/>
  <c r="AU99" i="7"/>
  <c r="AV99" i="7"/>
  <c r="AX99" i="7"/>
  <c r="BA99" i="7" s="1"/>
  <c r="AY99" i="7"/>
  <c r="AZ99" i="7"/>
  <c r="BB99" i="7"/>
  <c r="BE99" i="7" s="1"/>
  <c r="BC99" i="7"/>
  <c r="BD99" i="7"/>
  <c r="E100" i="7"/>
  <c r="F100" i="7"/>
  <c r="G100" i="7"/>
  <c r="I100" i="7"/>
  <c r="J100" i="7"/>
  <c r="K100" i="7"/>
  <c r="M100" i="7"/>
  <c r="P100" i="7" s="1"/>
  <c r="N100" i="7"/>
  <c r="O100" i="7"/>
  <c r="Q100" i="7"/>
  <c r="R100" i="7"/>
  <c r="S100" i="7"/>
  <c r="T100" i="7"/>
  <c r="U100" i="7"/>
  <c r="X100" i="7" s="1"/>
  <c r="V100" i="7"/>
  <c r="W100" i="7"/>
  <c r="Y100" i="7"/>
  <c r="Z100" i="7"/>
  <c r="AA100" i="7"/>
  <c r="AB100" i="7"/>
  <c r="AH100" i="7"/>
  <c r="AK100" i="7" s="1"/>
  <c r="AI100" i="7"/>
  <c r="AJ100" i="7"/>
  <c r="AL100" i="7"/>
  <c r="AO100" i="7" s="1"/>
  <c r="AM100" i="7"/>
  <c r="AN100" i="7"/>
  <c r="AP100" i="7"/>
  <c r="AS100" i="7" s="1"/>
  <c r="AQ100" i="7"/>
  <c r="AR100" i="7"/>
  <c r="AT100" i="7"/>
  <c r="AW100" i="7" s="1"/>
  <c r="AU100" i="7"/>
  <c r="AV100" i="7"/>
  <c r="AX100" i="7"/>
  <c r="BA100" i="7" s="1"/>
  <c r="AY100" i="7"/>
  <c r="AZ100" i="7"/>
  <c r="BB100" i="7"/>
  <c r="BE100" i="7" s="1"/>
  <c r="BC100" i="7"/>
  <c r="BD100" i="7"/>
  <c r="E101" i="7"/>
  <c r="F101" i="7"/>
  <c r="G101" i="7"/>
  <c r="I101" i="7"/>
  <c r="J101" i="7"/>
  <c r="K101" i="7"/>
  <c r="M101" i="7"/>
  <c r="N101" i="7"/>
  <c r="O101" i="7"/>
  <c r="P101" i="7"/>
  <c r="Q101" i="7"/>
  <c r="T101" i="7" s="1"/>
  <c r="R101" i="7"/>
  <c r="S101" i="7"/>
  <c r="U101" i="7"/>
  <c r="V101" i="7"/>
  <c r="W101" i="7"/>
  <c r="X101" i="7"/>
  <c r="Y101" i="7"/>
  <c r="AB101" i="7" s="1"/>
  <c r="Z101" i="7"/>
  <c r="AA101" i="7"/>
  <c r="AH101" i="7"/>
  <c r="AK101" i="7" s="1"/>
  <c r="AI101" i="7"/>
  <c r="AJ101" i="7"/>
  <c r="AL101" i="7"/>
  <c r="AO101" i="7" s="1"/>
  <c r="AM101" i="7"/>
  <c r="AN101" i="7"/>
  <c r="AP101" i="7"/>
  <c r="AS101" i="7" s="1"/>
  <c r="AQ101" i="7"/>
  <c r="AR101" i="7"/>
  <c r="AT101" i="7"/>
  <c r="AW101" i="7" s="1"/>
  <c r="AU101" i="7"/>
  <c r="AV101" i="7"/>
  <c r="AX101" i="7"/>
  <c r="BA101" i="7" s="1"/>
  <c r="AY101" i="7"/>
  <c r="AZ101" i="7"/>
  <c r="BB101" i="7"/>
  <c r="BE101" i="7" s="1"/>
  <c r="BC101" i="7"/>
  <c r="BD101" i="7"/>
  <c r="E62" i="7"/>
  <c r="F62" i="7"/>
  <c r="G62" i="7"/>
  <c r="I62" i="7"/>
  <c r="J62" i="7"/>
  <c r="K62" i="7"/>
  <c r="M62" i="7"/>
  <c r="P62" i="7" s="1"/>
  <c r="N62" i="7"/>
  <c r="O62" i="7"/>
  <c r="Q62" i="7"/>
  <c r="R62" i="7"/>
  <c r="S62" i="7"/>
  <c r="U62" i="7"/>
  <c r="X62" i="7" s="1"/>
  <c r="V62" i="7"/>
  <c r="W62" i="7"/>
  <c r="Y62" i="7"/>
  <c r="Z62" i="7"/>
  <c r="AA62" i="7"/>
  <c r="AH62" i="7"/>
  <c r="AI62" i="7"/>
  <c r="AJ62" i="7"/>
  <c r="AK62" i="7"/>
  <c r="AL62" i="7"/>
  <c r="AO62" i="7" s="1"/>
  <c r="AM62" i="7"/>
  <c r="AN62" i="7"/>
  <c r="AP62" i="7"/>
  <c r="AQ62" i="7"/>
  <c r="AR62" i="7"/>
  <c r="AS62" i="7"/>
  <c r="AT62" i="7"/>
  <c r="AW62" i="7" s="1"/>
  <c r="AU62" i="7"/>
  <c r="AV62" i="7"/>
  <c r="AX62" i="7"/>
  <c r="AY62" i="7"/>
  <c r="AZ62" i="7"/>
  <c r="BA62" i="7"/>
  <c r="BB62" i="7"/>
  <c r="BE62" i="7" s="1"/>
  <c r="BC62" i="7"/>
  <c r="BD62" i="7"/>
  <c r="E63" i="7"/>
  <c r="F63" i="7"/>
  <c r="G63" i="7"/>
  <c r="I63" i="7"/>
  <c r="J63" i="7"/>
  <c r="K63" i="7"/>
  <c r="M63" i="7"/>
  <c r="P63" i="7" s="1"/>
  <c r="N63" i="7"/>
  <c r="O63" i="7"/>
  <c r="Q63" i="7"/>
  <c r="T63" i="7" s="1"/>
  <c r="R63" i="7"/>
  <c r="S63" i="7"/>
  <c r="U63" i="7"/>
  <c r="X63" i="7" s="1"/>
  <c r="V63" i="7"/>
  <c r="W63" i="7"/>
  <c r="Y63" i="7"/>
  <c r="AB63" i="7" s="1"/>
  <c r="Z63" i="7"/>
  <c r="AA63" i="7"/>
  <c r="AH63" i="7"/>
  <c r="AK63" i="7" s="1"/>
  <c r="AI63" i="7"/>
  <c r="AJ63" i="7"/>
  <c r="AL63" i="7"/>
  <c r="AM63" i="7"/>
  <c r="AN63" i="7"/>
  <c r="AO63" i="7"/>
  <c r="AP63" i="7"/>
  <c r="AS63" i="7" s="1"/>
  <c r="AQ63" i="7"/>
  <c r="AR63" i="7"/>
  <c r="AT63" i="7"/>
  <c r="AU63" i="7"/>
  <c r="AV63" i="7"/>
  <c r="AW63" i="7"/>
  <c r="AX63" i="7"/>
  <c r="BA63" i="7" s="1"/>
  <c r="AY63" i="7"/>
  <c r="AZ63" i="7"/>
  <c r="BB63" i="7"/>
  <c r="BC63" i="7"/>
  <c r="BD63" i="7"/>
  <c r="BE63" i="7"/>
  <c r="BF63" i="7"/>
  <c r="BG63" i="7" s="1"/>
  <c r="E64" i="7"/>
  <c r="F64" i="7"/>
  <c r="G64" i="7"/>
  <c r="I64" i="7"/>
  <c r="J64" i="7"/>
  <c r="K64" i="7"/>
  <c r="M64" i="7"/>
  <c r="P64" i="7" s="1"/>
  <c r="N64" i="7"/>
  <c r="O64" i="7"/>
  <c r="Q64" i="7"/>
  <c r="T64" i="7" s="1"/>
  <c r="R64" i="7"/>
  <c r="S64" i="7"/>
  <c r="U64" i="7"/>
  <c r="X64" i="7" s="1"/>
  <c r="V64" i="7"/>
  <c r="W64" i="7"/>
  <c r="Y64" i="7"/>
  <c r="AB64" i="7" s="1"/>
  <c r="Z64" i="7"/>
  <c r="AA64" i="7"/>
  <c r="AH64" i="7"/>
  <c r="AI64" i="7"/>
  <c r="AJ64" i="7"/>
  <c r="AK64" i="7"/>
  <c r="AL64" i="7"/>
  <c r="AO64" i="7" s="1"/>
  <c r="AM64" i="7"/>
  <c r="AN64" i="7"/>
  <c r="AP64" i="7"/>
  <c r="AQ64" i="7"/>
  <c r="AR64" i="7"/>
  <c r="AS64" i="7"/>
  <c r="AT64" i="7"/>
  <c r="AW64" i="7" s="1"/>
  <c r="AU64" i="7"/>
  <c r="AV64" i="7"/>
  <c r="AX64" i="7"/>
  <c r="AY64" i="7"/>
  <c r="AZ64" i="7"/>
  <c r="BA64" i="7"/>
  <c r="BB64" i="7"/>
  <c r="BE64" i="7" s="1"/>
  <c r="BC64" i="7"/>
  <c r="BD64" i="7"/>
  <c r="E65" i="7"/>
  <c r="F65" i="7"/>
  <c r="G65" i="7"/>
  <c r="I65" i="7"/>
  <c r="J65" i="7"/>
  <c r="K65" i="7"/>
  <c r="M65" i="7"/>
  <c r="N65" i="7"/>
  <c r="O65" i="7"/>
  <c r="Q65" i="7"/>
  <c r="T65" i="7" s="1"/>
  <c r="R65" i="7"/>
  <c r="S65" i="7"/>
  <c r="U65" i="7"/>
  <c r="V65" i="7"/>
  <c r="W65" i="7"/>
  <c r="Y65" i="7"/>
  <c r="AB65" i="7" s="1"/>
  <c r="Z65" i="7"/>
  <c r="AA65" i="7"/>
  <c r="AH65" i="7"/>
  <c r="AK65" i="7" s="1"/>
  <c r="BF65" i="7" s="1"/>
  <c r="BG65" i="7" s="1"/>
  <c r="AI65" i="7"/>
  <c r="AJ65" i="7"/>
  <c r="AL65" i="7"/>
  <c r="AM65" i="7"/>
  <c r="AN65" i="7"/>
  <c r="AO65" i="7"/>
  <c r="AP65" i="7"/>
  <c r="AS65" i="7" s="1"/>
  <c r="AQ65" i="7"/>
  <c r="AR65" i="7"/>
  <c r="AT65" i="7"/>
  <c r="AU65" i="7"/>
  <c r="AV65" i="7"/>
  <c r="AW65" i="7"/>
  <c r="AX65" i="7"/>
  <c r="BA65" i="7" s="1"/>
  <c r="AY65" i="7"/>
  <c r="AZ65" i="7"/>
  <c r="BB65" i="7"/>
  <c r="BC65" i="7"/>
  <c r="BD65" i="7"/>
  <c r="BE65" i="7"/>
  <c r="E66" i="7"/>
  <c r="F66" i="7"/>
  <c r="G66" i="7"/>
  <c r="I66" i="7"/>
  <c r="J66" i="7"/>
  <c r="K66" i="7"/>
  <c r="M66" i="7"/>
  <c r="P66" i="7" s="1"/>
  <c r="N66" i="7"/>
  <c r="O66" i="7"/>
  <c r="Q66" i="7"/>
  <c r="T66" i="7" s="1"/>
  <c r="R66" i="7"/>
  <c r="S66" i="7"/>
  <c r="U66" i="7"/>
  <c r="X66" i="7" s="1"/>
  <c r="V66" i="7"/>
  <c r="W66" i="7"/>
  <c r="Y66" i="7"/>
  <c r="Z66" i="7"/>
  <c r="AA66" i="7"/>
  <c r="AH66" i="7"/>
  <c r="AI66" i="7"/>
  <c r="AJ66" i="7"/>
  <c r="AK66" i="7"/>
  <c r="AL66" i="7"/>
  <c r="AO66" i="7" s="1"/>
  <c r="AM66" i="7"/>
  <c r="AN66" i="7"/>
  <c r="AP66" i="7"/>
  <c r="AQ66" i="7"/>
  <c r="AR66" i="7"/>
  <c r="AS66" i="7"/>
  <c r="AT66" i="7"/>
  <c r="AW66" i="7" s="1"/>
  <c r="AU66" i="7"/>
  <c r="AV66" i="7"/>
  <c r="AX66" i="7"/>
  <c r="AY66" i="7"/>
  <c r="AZ66" i="7"/>
  <c r="BA66" i="7"/>
  <c r="BB66" i="7"/>
  <c r="BE66" i="7" s="1"/>
  <c r="BC66" i="7"/>
  <c r="BD66" i="7"/>
  <c r="E67" i="7"/>
  <c r="F67" i="7"/>
  <c r="G67" i="7"/>
  <c r="I67" i="7"/>
  <c r="J67" i="7"/>
  <c r="K67" i="7"/>
  <c r="M67" i="7"/>
  <c r="P67" i="7" s="1"/>
  <c r="N67" i="7"/>
  <c r="O67" i="7"/>
  <c r="Q67" i="7"/>
  <c r="T67" i="7" s="1"/>
  <c r="R67" i="7"/>
  <c r="S67" i="7"/>
  <c r="U67" i="7"/>
  <c r="V67" i="7"/>
  <c r="W67" i="7"/>
  <c r="Y67" i="7"/>
  <c r="AB67" i="7" s="1"/>
  <c r="Z67" i="7"/>
  <c r="AA67" i="7"/>
  <c r="AH67" i="7"/>
  <c r="AK67" i="7" s="1"/>
  <c r="BF67" i="7" s="1"/>
  <c r="BG67" i="7" s="1"/>
  <c r="AI67" i="7"/>
  <c r="AJ67" i="7"/>
  <c r="AL67" i="7"/>
  <c r="AM67" i="7"/>
  <c r="AN67" i="7"/>
  <c r="AO67" i="7"/>
  <c r="AP67" i="7"/>
  <c r="AS67" i="7" s="1"/>
  <c r="AQ67" i="7"/>
  <c r="AR67" i="7"/>
  <c r="AT67" i="7"/>
  <c r="AU67" i="7"/>
  <c r="AV67" i="7"/>
  <c r="AW67" i="7"/>
  <c r="AX67" i="7"/>
  <c r="BA67" i="7" s="1"/>
  <c r="AY67" i="7"/>
  <c r="AZ67" i="7"/>
  <c r="BB67" i="7"/>
  <c r="BC67" i="7"/>
  <c r="BD67" i="7"/>
  <c r="BE67" i="7"/>
  <c r="E68" i="7"/>
  <c r="F68" i="7"/>
  <c r="G68" i="7"/>
  <c r="I68" i="7"/>
  <c r="J68" i="7"/>
  <c r="K68" i="7"/>
  <c r="M68" i="7"/>
  <c r="P68" i="7" s="1"/>
  <c r="N68" i="7"/>
  <c r="O68" i="7"/>
  <c r="Q68" i="7"/>
  <c r="T68" i="7" s="1"/>
  <c r="R68" i="7"/>
  <c r="S68" i="7"/>
  <c r="U68" i="7"/>
  <c r="X68" i="7" s="1"/>
  <c r="V68" i="7"/>
  <c r="W68" i="7"/>
  <c r="Y68" i="7"/>
  <c r="Z68" i="7"/>
  <c r="AA68" i="7"/>
  <c r="AH68" i="7"/>
  <c r="AI68" i="7"/>
  <c r="AJ68" i="7"/>
  <c r="AK68" i="7"/>
  <c r="AL68" i="7"/>
  <c r="AO68" i="7" s="1"/>
  <c r="AM68" i="7"/>
  <c r="AN68" i="7"/>
  <c r="AP68" i="7"/>
  <c r="AQ68" i="7"/>
  <c r="AR68" i="7"/>
  <c r="AS68" i="7"/>
  <c r="AT68" i="7"/>
  <c r="AW68" i="7" s="1"/>
  <c r="AU68" i="7"/>
  <c r="AV68" i="7"/>
  <c r="AX68" i="7"/>
  <c r="AY68" i="7"/>
  <c r="AZ68" i="7"/>
  <c r="BA68" i="7"/>
  <c r="BB68" i="7"/>
  <c r="BE68" i="7" s="1"/>
  <c r="BC68" i="7"/>
  <c r="BD68" i="7"/>
  <c r="E69" i="7"/>
  <c r="F69" i="7"/>
  <c r="G69" i="7"/>
  <c r="I69" i="7"/>
  <c r="J69" i="7"/>
  <c r="K69" i="7"/>
  <c r="M69" i="7"/>
  <c r="N69" i="7"/>
  <c r="O69" i="7"/>
  <c r="Q69" i="7"/>
  <c r="T69" i="7" s="1"/>
  <c r="R69" i="7"/>
  <c r="S69" i="7"/>
  <c r="U69" i="7"/>
  <c r="X69" i="7" s="1"/>
  <c r="V69" i="7"/>
  <c r="W69" i="7"/>
  <c r="Y69" i="7"/>
  <c r="AB69" i="7" s="1"/>
  <c r="Z69" i="7"/>
  <c r="AA69" i="7"/>
  <c r="AH69" i="7"/>
  <c r="AK69" i="7" s="1"/>
  <c r="BF69" i="7" s="1"/>
  <c r="BG69" i="7" s="1"/>
  <c r="AI69" i="7"/>
  <c r="AJ69" i="7"/>
  <c r="AL69" i="7"/>
  <c r="AM69" i="7"/>
  <c r="AN69" i="7"/>
  <c r="AO69" i="7"/>
  <c r="AP69" i="7"/>
  <c r="AS69" i="7" s="1"/>
  <c r="AQ69" i="7"/>
  <c r="AR69" i="7"/>
  <c r="AT69" i="7"/>
  <c r="AU69" i="7"/>
  <c r="AV69" i="7"/>
  <c r="AW69" i="7"/>
  <c r="AX69" i="7"/>
  <c r="BA69" i="7" s="1"/>
  <c r="AY69" i="7"/>
  <c r="AZ69" i="7"/>
  <c r="BB69" i="7"/>
  <c r="BC69" i="7"/>
  <c r="BD69" i="7"/>
  <c r="BE69" i="7"/>
  <c r="E70" i="7"/>
  <c r="F70" i="7"/>
  <c r="G70" i="7"/>
  <c r="I70" i="7"/>
  <c r="J70" i="7"/>
  <c r="K70" i="7"/>
  <c r="M70" i="7"/>
  <c r="P70" i="7" s="1"/>
  <c r="N70" i="7"/>
  <c r="O70" i="7"/>
  <c r="Q70" i="7"/>
  <c r="T70" i="7" s="1"/>
  <c r="R70" i="7"/>
  <c r="S70" i="7"/>
  <c r="U70" i="7"/>
  <c r="X70" i="7" s="1"/>
  <c r="V70" i="7"/>
  <c r="W70" i="7"/>
  <c r="Y70" i="7"/>
  <c r="Z70" i="7"/>
  <c r="AA70" i="7"/>
  <c r="AH70" i="7"/>
  <c r="AI70" i="7"/>
  <c r="AJ70" i="7"/>
  <c r="AK70" i="7"/>
  <c r="AL70" i="7"/>
  <c r="AO70" i="7" s="1"/>
  <c r="AM70" i="7"/>
  <c r="AN70" i="7"/>
  <c r="AP70" i="7"/>
  <c r="AQ70" i="7"/>
  <c r="AR70" i="7"/>
  <c r="AS70" i="7"/>
  <c r="AT70" i="7"/>
  <c r="AW70" i="7" s="1"/>
  <c r="AU70" i="7"/>
  <c r="AV70" i="7"/>
  <c r="AX70" i="7"/>
  <c r="AY70" i="7"/>
  <c r="AZ70" i="7"/>
  <c r="BA70" i="7"/>
  <c r="BB70" i="7"/>
  <c r="BE70" i="7" s="1"/>
  <c r="BC70" i="7"/>
  <c r="BD70" i="7"/>
  <c r="E71" i="7"/>
  <c r="F71" i="7"/>
  <c r="G71" i="7"/>
  <c r="I71" i="7"/>
  <c r="J71" i="7"/>
  <c r="K71" i="7"/>
  <c r="M71" i="7"/>
  <c r="N71" i="7"/>
  <c r="O71" i="7"/>
  <c r="Q71" i="7"/>
  <c r="T71" i="7" s="1"/>
  <c r="R71" i="7"/>
  <c r="S71" i="7"/>
  <c r="U71" i="7"/>
  <c r="X71" i="7" s="1"/>
  <c r="V71" i="7"/>
  <c r="W71" i="7"/>
  <c r="Y71" i="7"/>
  <c r="AB71" i="7" s="1"/>
  <c r="Z71" i="7"/>
  <c r="AA71" i="7"/>
  <c r="AH71" i="7"/>
  <c r="AK71" i="7" s="1"/>
  <c r="BF71" i="7" s="1"/>
  <c r="BG71" i="7" s="1"/>
  <c r="AI71" i="7"/>
  <c r="AJ71" i="7"/>
  <c r="AL71" i="7"/>
  <c r="AM71" i="7"/>
  <c r="AN71" i="7"/>
  <c r="AO71" i="7"/>
  <c r="AP71" i="7"/>
  <c r="AS71" i="7" s="1"/>
  <c r="AQ71" i="7"/>
  <c r="AR71" i="7"/>
  <c r="AT71" i="7"/>
  <c r="AU71" i="7"/>
  <c r="AV71" i="7"/>
  <c r="AW71" i="7"/>
  <c r="AX71" i="7"/>
  <c r="BA71" i="7" s="1"/>
  <c r="AY71" i="7"/>
  <c r="AZ71" i="7"/>
  <c r="BB71" i="7"/>
  <c r="BC71" i="7"/>
  <c r="BD71" i="7"/>
  <c r="BE71" i="7"/>
  <c r="E72" i="7"/>
  <c r="F72" i="7"/>
  <c r="G72" i="7"/>
  <c r="I72" i="7"/>
  <c r="J72" i="7"/>
  <c r="K72" i="7"/>
  <c r="M72" i="7"/>
  <c r="P72" i="7" s="1"/>
  <c r="N72" i="7"/>
  <c r="O72" i="7"/>
  <c r="Q72" i="7"/>
  <c r="T72" i="7" s="1"/>
  <c r="R72" i="7"/>
  <c r="S72" i="7"/>
  <c r="U72" i="7"/>
  <c r="X72" i="7" s="1"/>
  <c r="V72" i="7"/>
  <c r="W72" i="7"/>
  <c r="Y72" i="7"/>
  <c r="Z72" i="7"/>
  <c r="AA72" i="7"/>
  <c r="AH72" i="7"/>
  <c r="AI72" i="7"/>
  <c r="AJ72" i="7"/>
  <c r="AK72" i="7"/>
  <c r="AL72" i="7"/>
  <c r="AO72" i="7" s="1"/>
  <c r="AM72" i="7"/>
  <c r="AN72" i="7"/>
  <c r="AP72" i="7"/>
  <c r="AQ72" i="7"/>
  <c r="AR72" i="7"/>
  <c r="AS72" i="7"/>
  <c r="AT72" i="7"/>
  <c r="AW72" i="7" s="1"/>
  <c r="AU72" i="7"/>
  <c r="AV72" i="7"/>
  <c r="AX72" i="7"/>
  <c r="AY72" i="7"/>
  <c r="AZ72" i="7"/>
  <c r="BA72" i="7"/>
  <c r="BB72" i="7"/>
  <c r="BE72" i="7" s="1"/>
  <c r="BC72" i="7"/>
  <c r="BD72" i="7"/>
  <c r="E73" i="7"/>
  <c r="F73" i="7"/>
  <c r="G73" i="7"/>
  <c r="I73" i="7"/>
  <c r="J73" i="7"/>
  <c r="K73" i="7"/>
  <c r="M73" i="7"/>
  <c r="N73" i="7"/>
  <c r="O73" i="7"/>
  <c r="Q73" i="7"/>
  <c r="T73" i="7" s="1"/>
  <c r="R73" i="7"/>
  <c r="S73" i="7"/>
  <c r="U73" i="7"/>
  <c r="X73" i="7" s="1"/>
  <c r="V73" i="7"/>
  <c r="W73" i="7"/>
  <c r="Y73" i="7"/>
  <c r="AB73" i="7" s="1"/>
  <c r="Z73" i="7"/>
  <c r="AA73" i="7"/>
  <c r="AH73" i="7"/>
  <c r="AK73" i="7" s="1"/>
  <c r="AI73" i="7"/>
  <c r="AJ73" i="7"/>
  <c r="AL73" i="7"/>
  <c r="AM73" i="7"/>
  <c r="AN73" i="7"/>
  <c r="AO73" i="7"/>
  <c r="AP73" i="7"/>
  <c r="AS73" i="7" s="1"/>
  <c r="AQ73" i="7"/>
  <c r="AR73" i="7"/>
  <c r="AT73" i="7"/>
  <c r="AU73" i="7"/>
  <c r="AV73" i="7"/>
  <c r="AW73" i="7"/>
  <c r="AX73" i="7"/>
  <c r="BA73" i="7" s="1"/>
  <c r="AY73" i="7"/>
  <c r="AZ73" i="7"/>
  <c r="BB73" i="7"/>
  <c r="BC73" i="7"/>
  <c r="BD73" i="7"/>
  <c r="BE73" i="7" s="1"/>
  <c r="E74" i="7"/>
  <c r="F74" i="7"/>
  <c r="G74" i="7"/>
  <c r="I74" i="7"/>
  <c r="J74" i="7"/>
  <c r="K74" i="7"/>
  <c r="M74" i="7"/>
  <c r="P74" i="7" s="1"/>
  <c r="N74" i="7"/>
  <c r="O74" i="7"/>
  <c r="Q74" i="7"/>
  <c r="R74" i="7"/>
  <c r="S74" i="7"/>
  <c r="U74" i="7"/>
  <c r="X74" i="7" s="1"/>
  <c r="V74" i="7"/>
  <c r="W74" i="7"/>
  <c r="Y74" i="7"/>
  <c r="Z74" i="7"/>
  <c r="AA74" i="7"/>
  <c r="AH74" i="7"/>
  <c r="AI74" i="7"/>
  <c r="AJ74" i="7"/>
  <c r="AK74" i="7"/>
  <c r="AL74" i="7"/>
  <c r="AO74" i="7" s="1"/>
  <c r="AM74" i="7"/>
  <c r="AN74" i="7"/>
  <c r="AP74" i="7"/>
  <c r="AQ74" i="7"/>
  <c r="AR74" i="7"/>
  <c r="AS74" i="7" s="1"/>
  <c r="AT74" i="7"/>
  <c r="AW74" i="7" s="1"/>
  <c r="AU74" i="7"/>
  <c r="AV74" i="7"/>
  <c r="AX74" i="7"/>
  <c r="AY74" i="7"/>
  <c r="AZ74" i="7"/>
  <c r="BA74" i="7" s="1"/>
  <c r="BB74" i="7"/>
  <c r="BE74" i="7" s="1"/>
  <c r="BC74" i="7"/>
  <c r="BD74" i="7"/>
  <c r="E75" i="7"/>
  <c r="F75" i="7"/>
  <c r="G75" i="7"/>
  <c r="I75" i="7"/>
  <c r="J75" i="7"/>
  <c r="K75" i="7"/>
  <c r="M75" i="7"/>
  <c r="P75" i="7" s="1"/>
  <c r="N75" i="7"/>
  <c r="O75" i="7"/>
  <c r="Q75" i="7"/>
  <c r="T75" i="7" s="1"/>
  <c r="R75" i="7"/>
  <c r="S75" i="7"/>
  <c r="U75" i="7"/>
  <c r="V75" i="7"/>
  <c r="W75" i="7"/>
  <c r="Y75" i="7"/>
  <c r="AB75" i="7" s="1"/>
  <c r="Z75" i="7"/>
  <c r="AA75" i="7"/>
  <c r="AH75" i="7"/>
  <c r="AK75" i="7" s="1"/>
  <c r="AI75" i="7"/>
  <c r="AJ75" i="7"/>
  <c r="AL75" i="7"/>
  <c r="AM75" i="7"/>
  <c r="AN75" i="7"/>
  <c r="AO75" i="7" s="1"/>
  <c r="BF75" i="7" s="1"/>
  <c r="BG75" i="7" s="1"/>
  <c r="AP75" i="7"/>
  <c r="AS75" i="7" s="1"/>
  <c r="AQ75" i="7"/>
  <c r="AR75" i="7"/>
  <c r="AT75" i="7"/>
  <c r="AU75" i="7"/>
  <c r="AV75" i="7"/>
  <c r="AW75" i="7"/>
  <c r="AX75" i="7"/>
  <c r="BA75" i="7" s="1"/>
  <c r="AY75" i="7"/>
  <c r="AZ75" i="7"/>
  <c r="BB75" i="7"/>
  <c r="BC75" i="7"/>
  <c r="BD75" i="7"/>
  <c r="BE75" i="7"/>
  <c r="E76" i="7"/>
  <c r="F76" i="7"/>
  <c r="G76" i="7"/>
  <c r="I76" i="7"/>
  <c r="J76" i="7"/>
  <c r="K76" i="7"/>
  <c r="M76" i="7"/>
  <c r="P76" i="7" s="1"/>
  <c r="N76" i="7"/>
  <c r="O76" i="7"/>
  <c r="Q76" i="7"/>
  <c r="T76" i="7" s="1"/>
  <c r="R76" i="7"/>
  <c r="S76" i="7"/>
  <c r="U76" i="7"/>
  <c r="X76" i="7" s="1"/>
  <c r="V76" i="7"/>
  <c r="W76" i="7"/>
  <c r="Y76" i="7"/>
  <c r="AB76" i="7" s="1"/>
  <c r="Z76" i="7"/>
  <c r="AA76" i="7"/>
  <c r="AH76" i="7"/>
  <c r="AI76" i="7"/>
  <c r="AJ76" i="7"/>
  <c r="AK76" i="7" s="1"/>
  <c r="BF76" i="7" s="1"/>
  <c r="BG76" i="7" s="1"/>
  <c r="AL76" i="7"/>
  <c r="AO76" i="7" s="1"/>
  <c r="AM76" i="7"/>
  <c r="AN76" i="7"/>
  <c r="AP76" i="7"/>
  <c r="AQ76" i="7"/>
  <c r="AR76" i="7"/>
  <c r="AS76" i="7"/>
  <c r="AT76" i="7"/>
  <c r="AW76" i="7" s="1"/>
  <c r="AU76" i="7"/>
  <c r="AV76" i="7"/>
  <c r="AX76" i="7"/>
  <c r="AY76" i="7"/>
  <c r="AZ76" i="7"/>
  <c r="BA76" i="7"/>
  <c r="BB76" i="7"/>
  <c r="BE76" i="7" s="1"/>
  <c r="BC76" i="7"/>
  <c r="BD76" i="7"/>
  <c r="E77" i="7"/>
  <c r="F77" i="7"/>
  <c r="G77" i="7"/>
  <c r="I77" i="7"/>
  <c r="J77" i="7"/>
  <c r="K77" i="7"/>
  <c r="M77" i="7"/>
  <c r="N77" i="7"/>
  <c r="O77" i="7"/>
  <c r="Q77" i="7"/>
  <c r="T77" i="7" s="1"/>
  <c r="R77" i="7"/>
  <c r="S77" i="7"/>
  <c r="U77" i="7"/>
  <c r="V77" i="7"/>
  <c r="W77" i="7"/>
  <c r="Y77" i="7"/>
  <c r="Z77" i="7"/>
  <c r="AA77" i="7"/>
  <c r="AH77" i="7"/>
  <c r="AK77" i="7" s="1"/>
  <c r="AI77" i="7"/>
  <c r="AJ77" i="7"/>
  <c r="AL77" i="7"/>
  <c r="AM77" i="7"/>
  <c r="AN77" i="7"/>
  <c r="AO77" i="7"/>
  <c r="AP77" i="7"/>
  <c r="AQ77" i="7"/>
  <c r="AR77" i="7"/>
  <c r="AT77" i="7"/>
  <c r="AU77" i="7"/>
  <c r="AV77" i="7"/>
  <c r="AW77" i="7" s="1"/>
  <c r="AX77" i="7"/>
  <c r="BA77" i="7" s="1"/>
  <c r="AY77" i="7"/>
  <c r="AZ77" i="7"/>
  <c r="BB77" i="7"/>
  <c r="BC77" i="7"/>
  <c r="BD77" i="7"/>
  <c r="BE77" i="7"/>
  <c r="E78" i="7"/>
  <c r="F78" i="7"/>
  <c r="G78" i="7"/>
  <c r="I78" i="7"/>
  <c r="J78" i="7"/>
  <c r="K78" i="7"/>
  <c r="M78" i="7"/>
  <c r="P78" i="7" s="1"/>
  <c r="N78" i="7"/>
  <c r="O78" i="7"/>
  <c r="Q78" i="7"/>
  <c r="R78" i="7"/>
  <c r="S78" i="7"/>
  <c r="U78" i="7"/>
  <c r="V78" i="7"/>
  <c r="W78" i="7"/>
  <c r="Y78" i="7"/>
  <c r="Z78" i="7"/>
  <c r="AA78" i="7"/>
  <c r="AH78" i="7"/>
  <c r="AI78" i="7"/>
  <c r="AJ78" i="7"/>
  <c r="AK78" i="7"/>
  <c r="AL78" i="7"/>
  <c r="AO78" i="7" s="1"/>
  <c r="AM78" i="7"/>
  <c r="AN78" i="7"/>
  <c r="AP78" i="7"/>
  <c r="AQ78" i="7"/>
  <c r="AR78" i="7"/>
  <c r="AS78" i="7"/>
  <c r="AT78" i="7"/>
  <c r="AW78" i="7" s="1"/>
  <c r="AU78" i="7"/>
  <c r="AV78" i="7"/>
  <c r="AX78" i="7"/>
  <c r="BA78" i="7" s="1"/>
  <c r="AY78" i="7"/>
  <c r="AZ78" i="7"/>
  <c r="BB78" i="7"/>
  <c r="BC78" i="7"/>
  <c r="BD78" i="7"/>
  <c r="E79" i="7"/>
  <c r="F79" i="7"/>
  <c r="G79" i="7"/>
  <c r="I79" i="7"/>
  <c r="J79" i="7"/>
  <c r="K79" i="7"/>
  <c r="M79" i="7"/>
  <c r="N79" i="7"/>
  <c r="O79" i="7"/>
  <c r="Q79" i="7"/>
  <c r="T79" i="7" s="1"/>
  <c r="R79" i="7"/>
  <c r="S79" i="7"/>
  <c r="U79" i="7"/>
  <c r="V79" i="7"/>
  <c r="W79" i="7"/>
  <c r="Y79" i="7"/>
  <c r="AB79" i="7" s="1"/>
  <c r="Z79" i="7"/>
  <c r="AA79" i="7"/>
  <c r="AH79" i="7"/>
  <c r="AI79" i="7"/>
  <c r="AJ79" i="7"/>
  <c r="AL79" i="7"/>
  <c r="AO79" i="7" s="1"/>
  <c r="AM79" i="7"/>
  <c r="AN79" i="7"/>
  <c r="AP79" i="7"/>
  <c r="AQ79" i="7"/>
  <c r="AR79" i="7"/>
  <c r="AT79" i="7"/>
  <c r="AW79" i="7" s="1"/>
  <c r="AU79" i="7"/>
  <c r="AV79" i="7"/>
  <c r="AX79" i="7"/>
  <c r="BA79" i="7" s="1"/>
  <c r="AY79" i="7"/>
  <c r="AZ79" i="7"/>
  <c r="BB79" i="7"/>
  <c r="BE79" i="7" s="1"/>
  <c r="BC79" i="7"/>
  <c r="BD79" i="7"/>
  <c r="E80" i="7"/>
  <c r="F80" i="7"/>
  <c r="G80" i="7"/>
  <c r="I80" i="7"/>
  <c r="J80" i="7"/>
  <c r="K80" i="7"/>
  <c r="M80" i="7"/>
  <c r="N80" i="7"/>
  <c r="O80" i="7"/>
  <c r="Q80" i="7"/>
  <c r="R80" i="7"/>
  <c r="S80" i="7"/>
  <c r="U80" i="7"/>
  <c r="X80" i="7" s="1"/>
  <c r="V80" i="7"/>
  <c r="W80" i="7"/>
  <c r="Y80" i="7"/>
  <c r="Z80" i="7"/>
  <c r="AA80" i="7"/>
  <c r="AH80" i="7"/>
  <c r="AK80" i="7" s="1"/>
  <c r="AI80" i="7"/>
  <c r="AJ80" i="7"/>
  <c r="AL80" i="7"/>
  <c r="AO80" i="7" s="1"/>
  <c r="AM80" i="7"/>
  <c r="AN80" i="7"/>
  <c r="AP80" i="7"/>
  <c r="AQ80" i="7"/>
  <c r="AR80" i="7"/>
  <c r="AS80" i="7"/>
  <c r="AT80" i="7"/>
  <c r="AU80" i="7"/>
  <c r="AV80" i="7"/>
  <c r="AX80" i="7"/>
  <c r="AY80" i="7"/>
  <c r="AZ80" i="7"/>
  <c r="BA80" i="7" s="1"/>
  <c r="BB80" i="7"/>
  <c r="BE80" i="7" s="1"/>
  <c r="BC80" i="7"/>
  <c r="BD80" i="7"/>
  <c r="E81" i="7"/>
  <c r="F81" i="7"/>
  <c r="G81" i="7"/>
  <c r="I81" i="7"/>
  <c r="J81" i="7"/>
  <c r="K81" i="7"/>
  <c r="M81" i="7"/>
  <c r="N81" i="7"/>
  <c r="O81" i="7"/>
  <c r="Q81" i="7"/>
  <c r="R81" i="7"/>
  <c r="S81" i="7"/>
  <c r="U81" i="7"/>
  <c r="X81" i="7" s="1"/>
  <c r="V81" i="7"/>
  <c r="W81" i="7"/>
  <c r="Y81" i="7"/>
  <c r="AB81" i="7" s="1"/>
  <c r="Z81" i="7"/>
  <c r="AA81" i="7"/>
  <c r="AH81" i="7"/>
  <c r="AK81" i="7" s="1"/>
  <c r="AI81" i="7"/>
  <c r="AJ81" i="7"/>
  <c r="AL81" i="7"/>
  <c r="AM81" i="7"/>
  <c r="AN81" i="7"/>
  <c r="AO81" i="7"/>
  <c r="AP81" i="7"/>
  <c r="AS81" i="7" s="1"/>
  <c r="AQ81" i="7"/>
  <c r="AR81" i="7"/>
  <c r="AT81" i="7"/>
  <c r="AU81" i="7"/>
  <c r="AV81" i="7"/>
  <c r="AW81" i="7"/>
  <c r="AX81" i="7"/>
  <c r="BA81" i="7" s="1"/>
  <c r="AY81" i="7"/>
  <c r="AZ81" i="7"/>
  <c r="BB81" i="7"/>
  <c r="BE81" i="7" s="1"/>
  <c r="BC81" i="7"/>
  <c r="BD81" i="7"/>
  <c r="E82" i="7"/>
  <c r="F82" i="7"/>
  <c r="G82" i="7"/>
  <c r="I82" i="7"/>
  <c r="J82" i="7"/>
  <c r="K82" i="7"/>
  <c r="M82" i="7"/>
  <c r="N82" i="7"/>
  <c r="O82" i="7"/>
  <c r="Q82" i="7"/>
  <c r="R82" i="7"/>
  <c r="S82" i="7"/>
  <c r="U82" i="7"/>
  <c r="X82" i="7" s="1"/>
  <c r="V82" i="7"/>
  <c r="W82" i="7"/>
  <c r="Y82" i="7"/>
  <c r="Z82" i="7"/>
  <c r="AA82" i="7"/>
  <c r="AH82" i="7"/>
  <c r="AK82" i="7" s="1"/>
  <c r="AI82" i="7"/>
  <c r="AJ82" i="7"/>
  <c r="AL82" i="7"/>
  <c r="AM82" i="7"/>
  <c r="AN82" i="7"/>
  <c r="AP82" i="7"/>
  <c r="AS82" i="7" s="1"/>
  <c r="AQ82" i="7"/>
  <c r="AR82" i="7"/>
  <c r="AT82" i="7"/>
  <c r="AU82" i="7"/>
  <c r="AV82" i="7"/>
  <c r="AX82" i="7"/>
  <c r="BA82" i="7" s="1"/>
  <c r="AY82" i="7"/>
  <c r="AZ82" i="7"/>
  <c r="BB82" i="7"/>
  <c r="BE82" i="7" s="1"/>
  <c r="BC82" i="7"/>
  <c r="BD82" i="7"/>
  <c r="E83" i="7"/>
  <c r="F83" i="7"/>
  <c r="G83" i="7"/>
  <c r="I83" i="7"/>
  <c r="J83" i="7"/>
  <c r="K83" i="7"/>
  <c r="M83" i="7"/>
  <c r="N83" i="7"/>
  <c r="O83" i="7"/>
  <c r="Q83" i="7"/>
  <c r="T83" i="7" s="1"/>
  <c r="R83" i="7"/>
  <c r="S83" i="7"/>
  <c r="U83" i="7"/>
  <c r="X83" i="7" s="1"/>
  <c r="V83" i="7"/>
  <c r="W83" i="7"/>
  <c r="Y83" i="7"/>
  <c r="AB83" i="7" s="1"/>
  <c r="Z83" i="7"/>
  <c r="AA83" i="7"/>
  <c r="AH83" i="7"/>
  <c r="AI83" i="7"/>
  <c r="AJ83" i="7"/>
  <c r="AK83" i="7"/>
  <c r="AL83" i="7"/>
  <c r="AO83" i="7" s="1"/>
  <c r="AM83" i="7"/>
  <c r="AN83" i="7"/>
  <c r="AP83" i="7"/>
  <c r="AQ83" i="7"/>
  <c r="AR83" i="7"/>
  <c r="AS83" i="7"/>
  <c r="AT83" i="7"/>
  <c r="AW83" i="7" s="1"/>
  <c r="AU83" i="7"/>
  <c r="AV83" i="7"/>
  <c r="AX83" i="7"/>
  <c r="AY83" i="7"/>
  <c r="AZ83" i="7"/>
  <c r="BA83" i="7"/>
  <c r="BB83" i="7"/>
  <c r="BE83" i="7" s="1"/>
  <c r="BC83" i="7"/>
  <c r="BD83" i="7"/>
  <c r="E84" i="7"/>
  <c r="F84" i="7"/>
  <c r="G84" i="7"/>
  <c r="I84" i="7"/>
  <c r="J84" i="7"/>
  <c r="K84" i="7"/>
  <c r="M84" i="7"/>
  <c r="N84" i="7"/>
  <c r="O84" i="7"/>
  <c r="Q84" i="7"/>
  <c r="R84" i="7"/>
  <c r="S84" i="7"/>
  <c r="U84" i="7"/>
  <c r="X84" i="7" s="1"/>
  <c r="V84" i="7"/>
  <c r="W84" i="7"/>
  <c r="Y84" i="7"/>
  <c r="Z84" i="7"/>
  <c r="AA84" i="7"/>
  <c r="AH84" i="7"/>
  <c r="AK84" i="7" s="1"/>
  <c r="AI84" i="7"/>
  <c r="AJ84" i="7"/>
  <c r="AL84" i="7"/>
  <c r="AM84" i="7"/>
  <c r="AN84" i="7"/>
  <c r="AO84" i="7" s="1"/>
  <c r="AP84" i="7"/>
  <c r="AS84" i="7" s="1"/>
  <c r="AQ84" i="7"/>
  <c r="AR84" i="7"/>
  <c r="AT84" i="7"/>
  <c r="AU84" i="7"/>
  <c r="AV84" i="7"/>
  <c r="AW84" i="7" s="1"/>
  <c r="AX84" i="7"/>
  <c r="BA84" i="7" s="1"/>
  <c r="AY84" i="7"/>
  <c r="AZ84" i="7"/>
  <c r="BB84" i="7"/>
  <c r="BC84" i="7"/>
  <c r="BD84" i="7"/>
  <c r="BE84" i="7" s="1"/>
  <c r="E85" i="7"/>
  <c r="F85" i="7"/>
  <c r="G85" i="7"/>
  <c r="I85" i="7"/>
  <c r="J85" i="7"/>
  <c r="K85" i="7"/>
  <c r="M85" i="7"/>
  <c r="N85" i="7"/>
  <c r="O85" i="7"/>
  <c r="Q85" i="7"/>
  <c r="R85" i="7"/>
  <c r="S85" i="7"/>
  <c r="U85" i="7"/>
  <c r="V85" i="7"/>
  <c r="W85" i="7"/>
  <c r="Y85" i="7"/>
  <c r="AB85" i="7" s="1"/>
  <c r="Z85" i="7"/>
  <c r="AA85" i="7"/>
  <c r="AH85" i="7"/>
  <c r="AK85" i="7" s="1"/>
  <c r="AI85" i="7"/>
  <c r="AJ85" i="7"/>
  <c r="AL85" i="7"/>
  <c r="AM85" i="7"/>
  <c r="AN85" i="7"/>
  <c r="AO85" i="7"/>
  <c r="AP85" i="7"/>
  <c r="AS85" i="7" s="1"/>
  <c r="AQ85" i="7"/>
  <c r="AR85" i="7"/>
  <c r="AT85" i="7"/>
  <c r="AU85" i="7"/>
  <c r="AV85" i="7"/>
  <c r="AW85" i="7"/>
  <c r="AX85" i="7"/>
  <c r="BA85" i="7" s="1"/>
  <c r="AY85" i="7"/>
  <c r="AZ85" i="7"/>
  <c r="BB85" i="7"/>
  <c r="BC85" i="7"/>
  <c r="BD85" i="7"/>
  <c r="BE85" i="7"/>
  <c r="E86" i="7"/>
  <c r="F86" i="7"/>
  <c r="G86" i="7"/>
  <c r="I86" i="7"/>
  <c r="J86" i="7"/>
  <c r="K86" i="7"/>
  <c r="M86" i="7"/>
  <c r="P86" i="7" s="1"/>
  <c r="N86" i="7"/>
  <c r="O86" i="7"/>
  <c r="Q86" i="7"/>
  <c r="R86" i="7"/>
  <c r="S86" i="7"/>
  <c r="T86" i="7"/>
  <c r="U86" i="7"/>
  <c r="X86" i="7" s="1"/>
  <c r="V86" i="7"/>
  <c r="W86" i="7"/>
  <c r="Y86" i="7"/>
  <c r="Z86" i="7"/>
  <c r="AA86" i="7"/>
  <c r="AB86" i="7"/>
  <c r="AH86" i="7"/>
  <c r="AK86" i="7" s="1"/>
  <c r="AI86" i="7"/>
  <c r="AJ86" i="7"/>
  <c r="AL86" i="7"/>
  <c r="AM86" i="7"/>
  <c r="AO86" i="7" s="1"/>
  <c r="AN86" i="7"/>
  <c r="AP86" i="7"/>
  <c r="AS86" i="7" s="1"/>
  <c r="AQ86" i="7"/>
  <c r="AR86" i="7"/>
  <c r="AT86" i="7"/>
  <c r="AU86" i="7"/>
  <c r="AW86" i="7" s="1"/>
  <c r="AV86" i="7"/>
  <c r="AX86" i="7"/>
  <c r="BA86" i="7" s="1"/>
  <c r="AY86" i="7"/>
  <c r="AZ86" i="7"/>
  <c r="BB86" i="7"/>
  <c r="BC86" i="7"/>
  <c r="BE86" i="7" s="1"/>
  <c r="BD86" i="7"/>
  <c r="E87" i="7"/>
  <c r="F87" i="7"/>
  <c r="G87" i="7"/>
  <c r="I87" i="7"/>
  <c r="J87" i="7"/>
  <c r="K87" i="7"/>
  <c r="M87" i="7"/>
  <c r="N87" i="7"/>
  <c r="O87" i="7"/>
  <c r="P87" i="7"/>
  <c r="Q87" i="7"/>
  <c r="T87" i="7" s="1"/>
  <c r="R87" i="7"/>
  <c r="S87" i="7"/>
  <c r="U87" i="7"/>
  <c r="V87" i="7"/>
  <c r="W87" i="7"/>
  <c r="X87" i="7"/>
  <c r="Y87" i="7"/>
  <c r="AB87" i="7" s="1"/>
  <c r="Z87" i="7"/>
  <c r="AA87" i="7"/>
  <c r="AH87" i="7"/>
  <c r="AI87" i="7"/>
  <c r="AK87" i="7" s="1"/>
  <c r="AJ87" i="7"/>
  <c r="AL87" i="7"/>
  <c r="AO87" i="7" s="1"/>
  <c r="AM87" i="7"/>
  <c r="AN87" i="7"/>
  <c r="AP87" i="7"/>
  <c r="AQ87" i="7"/>
  <c r="AS87" i="7" s="1"/>
  <c r="AR87" i="7"/>
  <c r="AT87" i="7"/>
  <c r="AW87" i="7" s="1"/>
  <c r="AU87" i="7"/>
  <c r="AV87" i="7"/>
  <c r="AX87" i="7"/>
  <c r="AY87" i="7"/>
  <c r="BA87" i="7" s="1"/>
  <c r="AZ87" i="7"/>
  <c r="BB87" i="7"/>
  <c r="BE87" i="7" s="1"/>
  <c r="BC87" i="7"/>
  <c r="BD87" i="7"/>
  <c r="E88" i="7"/>
  <c r="F88" i="7"/>
  <c r="G88" i="7"/>
  <c r="I88" i="7"/>
  <c r="J88" i="7"/>
  <c r="K88" i="7"/>
  <c r="M88" i="7"/>
  <c r="P88" i="7" s="1"/>
  <c r="N88" i="7"/>
  <c r="O88" i="7"/>
  <c r="Q88" i="7"/>
  <c r="R88" i="7"/>
  <c r="S88" i="7"/>
  <c r="T88" i="7"/>
  <c r="U88" i="7"/>
  <c r="X88" i="7" s="1"/>
  <c r="V88" i="7"/>
  <c r="W88" i="7"/>
  <c r="Y88" i="7"/>
  <c r="Z88" i="7"/>
  <c r="AA88" i="7"/>
  <c r="AB88" i="7"/>
  <c r="AH88" i="7"/>
  <c r="AK88" i="7" s="1"/>
  <c r="AI88" i="7"/>
  <c r="AJ88" i="7"/>
  <c r="AL88" i="7"/>
  <c r="AM88" i="7"/>
  <c r="AO88" i="7" s="1"/>
  <c r="AN88" i="7"/>
  <c r="AP88" i="7"/>
  <c r="AS88" i="7" s="1"/>
  <c r="AQ88" i="7"/>
  <c r="AR88" i="7"/>
  <c r="AT88" i="7"/>
  <c r="AU88" i="7"/>
  <c r="AW88" i="7" s="1"/>
  <c r="AV88" i="7"/>
  <c r="AX88" i="7"/>
  <c r="BA88" i="7" s="1"/>
  <c r="AY88" i="7"/>
  <c r="AZ88" i="7"/>
  <c r="BB88" i="7"/>
  <c r="BC88" i="7"/>
  <c r="BE88" i="7" s="1"/>
  <c r="BD88" i="7"/>
  <c r="E89" i="7"/>
  <c r="F89" i="7"/>
  <c r="H89" i="7" s="1"/>
  <c r="G89" i="7"/>
  <c r="I89" i="7"/>
  <c r="J89" i="7"/>
  <c r="K89" i="7"/>
  <c r="M89" i="7"/>
  <c r="N89" i="7"/>
  <c r="O89" i="7"/>
  <c r="P89" i="7"/>
  <c r="Q89" i="7"/>
  <c r="T89" i="7" s="1"/>
  <c r="R89" i="7"/>
  <c r="S89" i="7"/>
  <c r="U89" i="7"/>
  <c r="V89" i="7"/>
  <c r="W89" i="7"/>
  <c r="X89" i="7"/>
  <c r="Y89" i="7"/>
  <c r="AB89" i="7" s="1"/>
  <c r="Z89" i="7"/>
  <c r="AA89" i="7"/>
  <c r="AH89" i="7"/>
  <c r="AK89" i="7" s="1"/>
  <c r="AI89" i="7"/>
  <c r="AJ89" i="7"/>
  <c r="AL89" i="7"/>
  <c r="AO89" i="7" s="1"/>
  <c r="AM89" i="7"/>
  <c r="AN89" i="7"/>
  <c r="AP89" i="7"/>
  <c r="AS89" i="7" s="1"/>
  <c r="AQ89" i="7"/>
  <c r="AR89" i="7"/>
  <c r="AT89" i="7"/>
  <c r="AW89" i="7" s="1"/>
  <c r="AU89" i="7"/>
  <c r="AV89" i="7"/>
  <c r="AX89" i="7"/>
  <c r="BA89" i="7" s="1"/>
  <c r="AY89" i="7"/>
  <c r="AZ89" i="7"/>
  <c r="BB89" i="7"/>
  <c r="BE89" i="7" s="1"/>
  <c r="BC89" i="7"/>
  <c r="BD89" i="7"/>
  <c r="E90" i="7"/>
  <c r="F90" i="7"/>
  <c r="G90" i="7"/>
  <c r="I90" i="7"/>
  <c r="L90" i="7" s="1"/>
  <c r="J90" i="7"/>
  <c r="K90" i="7"/>
  <c r="M90" i="7"/>
  <c r="P90" i="7" s="1"/>
  <c r="N90" i="7"/>
  <c r="O90" i="7"/>
  <c r="Q90" i="7"/>
  <c r="R90" i="7"/>
  <c r="S90" i="7"/>
  <c r="T90" i="7"/>
  <c r="U90" i="7"/>
  <c r="X90" i="7" s="1"/>
  <c r="V90" i="7"/>
  <c r="W90" i="7"/>
  <c r="Y90" i="7"/>
  <c r="Z90" i="7"/>
  <c r="AA90" i="7"/>
  <c r="AB90" i="7"/>
  <c r="AH90" i="7"/>
  <c r="AK90" i="7" s="1"/>
  <c r="BF90" i="7" s="1"/>
  <c r="BG90" i="7" s="1"/>
  <c r="AI90" i="7"/>
  <c r="AJ90" i="7"/>
  <c r="AL90" i="7"/>
  <c r="AO90" i="7" s="1"/>
  <c r="AM90" i="7"/>
  <c r="AN90" i="7"/>
  <c r="AP90" i="7"/>
  <c r="AS90" i="7" s="1"/>
  <c r="AQ90" i="7"/>
  <c r="AR90" i="7"/>
  <c r="AT90" i="7"/>
  <c r="AW90" i="7" s="1"/>
  <c r="AU90" i="7"/>
  <c r="AV90" i="7"/>
  <c r="AX90" i="7"/>
  <c r="BA90" i="7" s="1"/>
  <c r="AY90" i="7"/>
  <c r="AZ90" i="7"/>
  <c r="BB90" i="7"/>
  <c r="BE90" i="7" s="1"/>
  <c r="BC90" i="7"/>
  <c r="BD90" i="7"/>
  <c r="E91" i="7"/>
  <c r="F91" i="7"/>
  <c r="G91" i="7"/>
  <c r="I91" i="7"/>
  <c r="J91" i="7"/>
  <c r="K91" i="7"/>
  <c r="M91" i="7"/>
  <c r="N91" i="7"/>
  <c r="O91" i="7"/>
  <c r="P91" i="7"/>
  <c r="Q91" i="7"/>
  <c r="T91" i="7" s="1"/>
  <c r="R91" i="7"/>
  <c r="S91" i="7"/>
  <c r="U91" i="7"/>
  <c r="V91" i="7"/>
  <c r="W91" i="7"/>
  <c r="X91" i="7"/>
  <c r="Y91" i="7"/>
  <c r="AB91" i="7" s="1"/>
  <c r="Z91" i="7"/>
  <c r="AA91" i="7"/>
  <c r="AH91" i="7"/>
  <c r="AK91" i="7" s="1"/>
  <c r="AI91" i="7"/>
  <c r="AJ91" i="7"/>
  <c r="AL91" i="7"/>
  <c r="AO91" i="7" s="1"/>
  <c r="AM91" i="7"/>
  <c r="AN91" i="7"/>
  <c r="AP91" i="7"/>
  <c r="AS91" i="7" s="1"/>
  <c r="AQ91" i="7"/>
  <c r="AR91" i="7"/>
  <c r="AT91" i="7"/>
  <c r="AW91" i="7" s="1"/>
  <c r="AU91" i="7"/>
  <c r="AV91" i="7"/>
  <c r="AX91" i="7"/>
  <c r="BA91" i="7" s="1"/>
  <c r="AY91" i="7"/>
  <c r="AZ91" i="7"/>
  <c r="BB91" i="7"/>
  <c r="BE91" i="7" s="1"/>
  <c r="BC91" i="7"/>
  <c r="BD91" i="7"/>
  <c r="E92" i="7"/>
  <c r="H92" i="7" s="1"/>
  <c r="F92" i="7"/>
  <c r="G92" i="7"/>
  <c r="I92" i="7"/>
  <c r="L92" i="7" s="1"/>
  <c r="J92" i="7"/>
  <c r="K92" i="7"/>
  <c r="M92" i="7"/>
  <c r="P92" i="7" s="1"/>
  <c r="N92" i="7"/>
  <c r="O92" i="7"/>
  <c r="Q92" i="7"/>
  <c r="R92" i="7"/>
  <c r="S92" i="7"/>
  <c r="T92" i="7"/>
  <c r="U92" i="7"/>
  <c r="X92" i="7" s="1"/>
  <c r="V92" i="7"/>
  <c r="W92" i="7"/>
  <c r="Y92" i="7"/>
  <c r="Z92" i="7"/>
  <c r="AA92" i="7"/>
  <c r="AB92" i="7"/>
  <c r="AH92" i="7"/>
  <c r="AK92" i="7" s="1"/>
  <c r="AI92" i="7"/>
  <c r="AJ92" i="7"/>
  <c r="AL92" i="7"/>
  <c r="AO92" i="7" s="1"/>
  <c r="AM92" i="7"/>
  <c r="AN92" i="7"/>
  <c r="AP92" i="7"/>
  <c r="AS92" i="7" s="1"/>
  <c r="AQ92" i="7"/>
  <c r="AR92" i="7"/>
  <c r="AT92" i="7"/>
  <c r="AW92" i="7" s="1"/>
  <c r="AU92" i="7"/>
  <c r="AV92" i="7"/>
  <c r="AX92" i="7"/>
  <c r="BA92" i="7" s="1"/>
  <c r="AY92" i="7"/>
  <c r="AZ92" i="7"/>
  <c r="BB92" i="7"/>
  <c r="BE92" i="7" s="1"/>
  <c r="BC92" i="7"/>
  <c r="BD92" i="7"/>
  <c r="E93" i="7"/>
  <c r="F93" i="7"/>
  <c r="H93" i="7" s="1"/>
  <c r="G93" i="7"/>
  <c r="I93" i="7"/>
  <c r="J93" i="7"/>
  <c r="K93" i="7"/>
  <c r="M93" i="7"/>
  <c r="N93" i="7"/>
  <c r="O93" i="7"/>
  <c r="P93" i="7"/>
  <c r="Q93" i="7"/>
  <c r="T93" i="7" s="1"/>
  <c r="R93" i="7"/>
  <c r="S93" i="7"/>
  <c r="U93" i="7"/>
  <c r="V93" i="7"/>
  <c r="W93" i="7"/>
  <c r="X93" i="7"/>
  <c r="Y93" i="7"/>
  <c r="AB93" i="7" s="1"/>
  <c r="Z93" i="7"/>
  <c r="AA93" i="7"/>
  <c r="AH93" i="7"/>
  <c r="AK93" i="7" s="1"/>
  <c r="AI93" i="7"/>
  <c r="AJ93" i="7"/>
  <c r="AL93" i="7"/>
  <c r="AO93" i="7" s="1"/>
  <c r="AM93" i="7"/>
  <c r="AN93" i="7"/>
  <c r="AP93" i="7"/>
  <c r="AS93" i="7" s="1"/>
  <c r="AQ93" i="7"/>
  <c r="AR93" i="7"/>
  <c r="AT93" i="7"/>
  <c r="AW93" i="7" s="1"/>
  <c r="AU93" i="7"/>
  <c r="AV93" i="7"/>
  <c r="AX93" i="7"/>
  <c r="BA93" i="7" s="1"/>
  <c r="AY93" i="7"/>
  <c r="AZ93" i="7"/>
  <c r="BB93" i="7"/>
  <c r="BE93" i="7" s="1"/>
  <c r="BC93" i="7"/>
  <c r="BD93" i="7"/>
  <c r="E94" i="7"/>
  <c r="F94" i="7"/>
  <c r="G94" i="7"/>
  <c r="I94" i="7"/>
  <c r="J94" i="7"/>
  <c r="K94" i="7"/>
  <c r="M94" i="7"/>
  <c r="P94" i="7" s="1"/>
  <c r="N94" i="7"/>
  <c r="O94" i="7"/>
  <c r="Q94" i="7"/>
  <c r="R94" i="7"/>
  <c r="S94" i="7"/>
  <c r="T94" i="7"/>
  <c r="U94" i="7"/>
  <c r="X94" i="7" s="1"/>
  <c r="V94" i="7"/>
  <c r="W94" i="7"/>
  <c r="Y94" i="7"/>
  <c r="Z94" i="7"/>
  <c r="AA94" i="7"/>
  <c r="AB94" i="7"/>
  <c r="AH94" i="7"/>
  <c r="AK94" i="7" s="1"/>
  <c r="AI94" i="7"/>
  <c r="AJ94" i="7"/>
  <c r="AL94" i="7"/>
  <c r="AO94" i="7" s="1"/>
  <c r="AM94" i="7"/>
  <c r="AN94" i="7"/>
  <c r="AP94" i="7"/>
  <c r="AS94" i="7" s="1"/>
  <c r="AQ94" i="7"/>
  <c r="AR94" i="7"/>
  <c r="AT94" i="7"/>
  <c r="AW94" i="7" s="1"/>
  <c r="AU94" i="7"/>
  <c r="AV94" i="7"/>
  <c r="AX94" i="7"/>
  <c r="BA94" i="7" s="1"/>
  <c r="AY94" i="7"/>
  <c r="AZ94" i="7"/>
  <c r="BB94" i="7"/>
  <c r="BE94" i="7" s="1"/>
  <c r="BC94" i="7"/>
  <c r="BD94" i="7"/>
  <c r="E95" i="7"/>
  <c r="H95" i="7" s="1"/>
  <c r="F95" i="7"/>
  <c r="G95" i="7"/>
  <c r="I95" i="7"/>
  <c r="J95" i="7"/>
  <c r="K95" i="7"/>
  <c r="M95" i="7"/>
  <c r="N95" i="7"/>
  <c r="O95" i="7"/>
  <c r="P95" i="7"/>
  <c r="Q95" i="7"/>
  <c r="T95" i="7" s="1"/>
  <c r="R95" i="7"/>
  <c r="S95" i="7"/>
  <c r="U95" i="7"/>
  <c r="V95" i="7"/>
  <c r="W95" i="7"/>
  <c r="X95" i="7"/>
  <c r="Y95" i="7"/>
  <c r="AB95" i="7" s="1"/>
  <c r="Z95" i="7"/>
  <c r="AA95" i="7"/>
  <c r="AH95" i="7"/>
  <c r="AK95" i="7" s="1"/>
  <c r="AI95" i="7"/>
  <c r="AJ95" i="7"/>
  <c r="AL95" i="7"/>
  <c r="AO95" i="7" s="1"/>
  <c r="AM95" i="7"/>
  <c r="AN95" i="7"/>
  <c r="AP95" i="7"/>
  <c r="AS95" i="7" s="1"/>
  <c r="AQ95" i="7"/>
  <c r="AR95" i="7"/>
  <c r="AT95" i="7"/>
  <c r="AW95" i="7" s="1"/>
  <c r="AU95" i="7"/>
  <c r="AV95" i="7"/>
  <c r="AX95" i="7"/>
  <c r="BA95" i="7" s="1"/>
  <c r="AY95" i="7"/>
  <c r="AZ95" i="7"/>
  <c r="BB95" i="7"/>
  <c r="BE95" i="7" s="1"/>
  <c r="BC95" i="7"/>
  <c r="BD95" i="7"/>
  <c r="BD61" i="7"/>
  <c r="BC61" i="7"/>
  <c r="BB61" i="7"/>
  <c r="BE61" i="7" s="1"/>
  <c r="AZ61" i="7"/>
  <c r="AY61" i="7"/>
  <c r="AX61" i="7"/>
  <c r="BA61" i="7" s="1"/>
  <c r="AW61" i="7"/>
  <c r="AV61" i="7"/>
  <c r="AU61" i="7"/>
  <c r="AT61" i="7"/>
  <c r="AR61" i="7"/>
  <c r="AQ61" i="7"/>
  <c r="AP61" i="7"/>
  <c r="AS61" i="7" s="1"/>
  <c r="AO61" i="7"/>
  <c r="AN61" i="7"/>
  <c r="AM61" i="7"/>
  <c r="AL61" i="7"/>
  <c r="AJ61" i="7"/>
  <c r="AI61" i="7"/>
  <c r="AH61" i="7"/>
  <c r="AK61" i="7" s="1"/>
  <c r="AA61" i="7"/>
  <c r="Z61" i="7"/>
  <c r="Y61" i="7"/>
  <c r="W61" i="7"/>
  <c r="V61" i="7"/>
  <c r="U61" i="7"/>
  <c r="X61" i="7" s="1"/>
  <c r="S61" i="7"/>
  <c r="R61" i="7"/>
  <c r="Q61" i="7"/>
  <c r="O61" i="7"/>
  <c r="N61" i="7"/>
  <c r="M61" i="7"/>
  <c r="K61" i="7"/>
  <c r="J61" i="7"/>
  <c r="I61" i="7"/>
  <c r="G61" i="7"/>
  <c r="F61" i="7"/>
  <c r="E61" i="7"/>
  <c r="BD60" i="7"/>
  <c r="BC60" i="7"/>
  <c r="BB60" i="7"/>
  <c r="AZ60" i="7"/>
  <c r="AY60" i="7"/>
  <c r="AX60" i="7"/>
  <c r="BA60" i="7" s="1"/>
  <c r="AV60" i="7"/>
  <c r="AU60" i="7"/>
  <c r="AT60" i="7"/>
  <c r="AR60" i="7"/>
  <c r="AQ60" i="7"/>
  <c r="AP60" i="7"/>
  <c r="AN60" i="7"/>
  <c r="AM60" i="7"/>
  <c r="AL60" i="7"/>
  <c r="AO60" i="7" s="1"/>
  <c r="AJ60" i="7"/>
  <c r="AI60" i="7"/>
  <c r="AH60" i="7"/>
  <c r="AA60" i="7"/>
  <c r="Z60" i="7"/>
  <c r="Y60" i="7"/>
  <c r="AB60" i="7" s="1"/>
  <c r="W60" i="7"/>
  <c r="V60" i="7"/>
  <c r="U60" i="7"/>
  <c r="X60" i="7" s="1"/>
  <c r="S60" i="7"/>
  <c r="R60" i="7"/>
  <c r="Q60" i="7"/>
  <c r="O60" i="7"/>
  <c r="N60" i="7"/>
  <c r="M60" i="7"/>
  <c r="K60" i="7"/>
  <c r="J60" i="7"/>
  <c r="I60" i="7"/>
  <c r="G60" i="7"/>
  <c r="F60" i="7"/>
  <c r="E60" i="7"/>
  <c r="BD59" i="7"/>
  <c r="BC59" i="7"/>
  <c r="BB59" i="7"/>
  <c r="BE59" i="7" s="1"/>
  <c r="BA59" i="7"/>
  <c r="AZ59" i="7"/>
  <c r="AY59" i="7"/>
  <c r="AX59" i="7"/>
  <c r="AV59" i="7"/>
  <c r="AU59" i="7"/>
  <c r="AT59" i="7"/>
  <c r="AW59" i="7" s="1"/>
  <c r="AR59" i="7"/>
  <c r="AS59" i="7" s="1"/>
  <c r="AQ59" i="7"/>
  <c r="AP59" i="7"/>
  <c r="AN59" i="7"/>
  <c r="AM59" i="7"/>
  <c r="AL59" i="7"/>
  <c r="AO59" i="7" s="1"/>
  <c r="AJ59" i="7"/>
  <c r="AI59" i="7"/>
  <c r="AH59" i="7"/>
  <c r="AK59" i="7" s="1"/>
  <c r="AA59" i="7"/>
  <c r="Z59" i="7"/>
  <c r="Y59" i="7"/>
  <c r="W59" i="7"/>
  <c r="V59" i="7"/>
  <c r="U59" i="7"/>
  <c r="X59" i="7" s="1"/>
  <c r="S59" i="7"/>
  <c r="R59" i="7"/>
  <c r="Q59" i="7"/>
  <c r="O59" i="7"/>
  <c r="N59" i="7"/>
  <c r="M59" i="7"/>
  <c r="P59" i="7" s="1"/>
  <c r="K59" i="7"/>
  <c r="J59" i="7"/>
  <c r="I59" i="7"/>
  <c r="G59" i="7"/>
  <c r="F59" i="7"/>
  <c r="E59" i="7"/>
  <c r="BD58" i="7"/>
  <c r="BC58" i="7"/>
  <c r="BB58" i="7"/>
  <c r="BE58" i="7" s="1"/>
  <c r="AZ58" i="7"/>
  <c r="AY58" i="7"/>
  <c r="AX58" i="7"/>
  <c r="BA58" i="7" s="1"/>
  <c r="AV58" i="7"/>
  <c r="AU58" i="7"/>
  <c r="AT58" i="7"/>
  <c r="AR58" i="7"/>
  <c r="AQ58" i="7"/>
  <c r="AP58" i="7"/>
  <c r="AS58" i="7" s="1"/>
  <c r="AN58" i="7"/>
  <c r="AM58" i="7"/>
  <c r="AL58" i="7"/>
  <c r="AJ58" i="7"/>
  <c r="AI58" i="7"/>
  <c r="AH58" i="7"/>
  <c r="AK58" i="7" s="1"/>
  <c r="AA58" i="7"/>
  <c r="Z58" i="7"/>
  <c r="Y58" i="7"/>
  <c r="AB58" i="7" s="1"/>
  <c r="W58" i="7"/>
  <c r="V58" i="7"/>
  <c r="U58" i="7"/>
  <c r="S58" i="7"/>
  <c r="R58" i="7"/>
  <c r="Q58" i="7"/>
  <c r="O58" i="7"/>
  <c r="N58" i="7"/>
  <c r="M58" i="7"/>
  <c r="K58" i="7"/>
  <c r="J58" i="7"/>
  <c r="I58" i="7"/>
  <c r="G58" i="7"/>
  <c r="F58" i="7"/>
  <c r="E58" i="7"/>
  <c r="BD57" i="7"/>
  <c r="BC57" i="7"/>
  <c r="BB57" i="7"/>
  <c r="AZ57" i="7"/>
  <c r="AY57" i="7"/>
  <c r="AX57" i="7"/>
  <c r="BA57" i="7" s="1"/>
  <c r="AV57" i="7"/>
  <c r="AU57" i="7"/>
  <c r="AT57" i="7"/>
  <c r="AW57" i="7" s="1"/>
  <c r="AS57" i="7"/>
  <c r="AR57" i="7"/>
  <c r="AQ57" i="7"/>
  <c r="AP57" i="7"/>
  <c r="AN57" i="7"/>
  <c r="AM57" i="7"/>
  <c r="AL57" i="7"/>
  <c r="AO57" i="7" s="1"/>
  <c r="AJ57" i="7"/>
  <c r="AI57" i="7"/>
  <c r="AH57" i="7"/>
  <c r="AA57" i="7"/>
  <c r="Z57" i="7"/>
  <c r="Y57" i="7"/>
  <c r="W57" i="7"/>
  <c r="V57" i="7"/>
  <c r="U57" i="7"/>
  <c r="X57" i="7" s="1"/>
  <c r="S57" i="7"/>
  <c r="R57" i="7"/>
  <c r="Q57" i="7"/>
  <c r="O57" i="7"/>
  <c r="N57" i="7"/>
  <c r="M57" i="7"/>
  <c r="K57" i="7"/>
  <c r="J57" i="7"/>
  <c r="I57" i="7"/>
  <c r="G57" i="7"/>
  <c r="F57" i="7"/>
  <c r="E57" i="7"/>
  <c r="BD56" i="7"/>
  <c r="BC56" i="7"/>
  <c r="BB56" i="7"/>
  <c r="BE56" i="7" s="1"/>
  <c r="AZ56" i="7"/>
  <c r="AY56" i="7"/>
  <c r="AX56" i="7"/>
  <c r="AV56" i="7"/>
  <c r="AU56" i="7"/>
  <c r="AT56" i="7"/>
  <c r="AW56" i="7" s="1"/>
  <c r="AR56" i="7"/>
  <c r="AQ56" i="7"/>
  <c r="AP56" i="7"/>
  <c r="AS56" i="7" s="1"/>
  <c r="AN56" i="7"/>
  <c r="AM56" i="7"/>
  <c r="AL56" i="7"/>
  <c r="AJ56" i="7"/>
  <c r="AI56" i="7"/>
  <c r="AH56" i="7"/>
  <c r="AK56" i="7" s="1"/>
  <c r="AA56" i="7"/>
  <c r="Z56" i="7"/>
  <c r="Y56" i="7"/>
  <c r="W56" i="7"/>
  <c r="V56" i="7"/>
  <c r="U56" i="7"/>
  <c r="X56" i="7" s="1"/>
  <c r="S56" i="7"/>
  <c r="R56" i="7"/>
  <c r="Q56" i="7"/>
  <c r="O56" i="7"/>
  <c r="N56" i="7"/>
  <c r="M56" i="7"/>
  <c r="K56" i="7"/>
  <c r="J56" i="7"/>
  <c r="I56" i="7"/>
  <c r="G56" i="7"/>
  <c r="F56" i="7"/>
  <c r="E56" i="7"/>
  <c r="BD55" i="7"/>
  <c r="BC55" i="7"/>
  <c r="BB55" i="7"/>
  <c r="AZ55" i="7"/>
  <c r="AY55" i="7"/>
  <c r="AX55" i="7"/>
  <c r="BA55" i="7" s="1"/>
  <c r="AV55" i="7"/>
  <c r="AU55" i="7"/>
  <c r="AT55" i="7"/>
  <c r="AR55" i="7"/>
  <c r="AQ55" i="7"/>
  <c r="AP55" i="7"/>
  <c r="AS55" i="7" s="1"/>
  <c r="AN55" i="7"/>
  <c r="AM55" i="7"/>
  <c r="AL55" i="7"/>
  <c r="AJ55" i="7"/>
  <c r="AI55" i="7"/>
  <c r="AH55" i="7"/>
  <c r="AK55" i="7" s="1"/>
  <c r="AA55" i="7"/>
  <c r="Z55" i="7"/>
  <c r="Y55" i="7"/>
  <c r="W55" i="7"/>
  <c r="V55" i="7"/>
  <c r="U55" i="7"/>
  <c r="S55" i="7"/>
  <c r="R55" i="7"/>
  <c r="Q55" i="7"/>
  <c r="O55" i="7"/>
  <c r="N55" i="7"/>
  <c r="M55" i="7"/>
  <c r="K55" i="7"/>
  <c r="J55" i="7"/>
  <c r="I55" i="7"/>
  <c r="G55" i="7"/>
  <c r="F55" i="7"/>
  <c r="E55" i="7"/>
  <c r="BD54" i="7"/>
  <c r="BC54" i="7"/>
  <c r="BB54" i="7"/>
  <c r="AZ54" i="7"/>
  <c r="AY54" i="7"/>
  <c r="AX54" i="7"/>
  <c r="BA54" i="7" s="1"/>
  <c r="AV54" i="7"/>
  <c r="AU54" i="7"/>
  <c r="AT54" i="7"/>
  <c r="AW54" i="7" s="1"/>
  <c r="AR54" i="7"/>
  <c r="AQ54" i="7"/>
  <c r="AP54" i="7"/>
  <c r="AN54" i="7"/>
  <c r="AM54" i="7"/>
  <c r="AL54" i="7"/>
  <c r="AO54" i="7" s="1"/>
  <c r="AJ54" i="7"/>
  <c r="AI54" i="7"/>
  <c r="AH54" i="7"/>
  <c r="AK54" i="7" s="1"/>
  <c r="AA54" i="7"/>
  <c r="Z54" i="7"/>
  <c r="Y54" i="7"/>
  <c r="W54" i="7"/>
  <c r="V54" i="7"/>
  <c r="U54" i="7"/>
  <c r="X54" i="7" s="1"/>
  <c r="S54" i="7"/>
  <c r="R54" i="7"/>
  <c r="Q54" i="7"/>
  <c r="O54" i="7"/>
  <c r="N54" i="7"/>
  <c r="M54" i="7"/>
  <c r="K54" i="7"/>
  <c r="J54" i="7"/>
  <c r="I54" i="7"/>
  <c r="G54" i="7"/>
  <c r="F54" i="7"/>
  <c r="E54" i="7"/>
  <c r="BD53" i="7"/>
  <c r="BC53" i="7"/>
  <c r="BB53" i="7"/>
  <c r="BE53" i="7" s="1"/>
  <c r="AZ53" i="7"/>
  <c r="AY53" i="7"/>
  <c r="AX53" i="7"/>
  <c r="BA53" i="7" s="1"/>
  <c r="AV53" i="7"/>
  <c r="AU53" i="7"/>
  <c r="AT53" i="7"/>
  <c r="AW53" i="7" s="1"/>
  <c r="AR53" i="7"/>
  <c r="AQ53" i="7"/>
  <c r="AP53" i="7"/>
  <c r="AS53" i="7" s="1"/>
  <c r="AN53" i="7"/>
  <c r="AM53" i="7"/>
  <c r="AL53" i="7"/>
  <c r="AJ53" i="7"/>
  <c r="AI53" i="7"/>
  <c r="AH53" i="7"/>
  <c r="AK53" i="7" s="1"/>
  <c r="AA53" i="7"/>
  <c r="Z53" i="7"/>
  <c r="Y53" i="7"/>
  <c r="W53" i="7"/>
  <c r="V53" i="7"/>
  <c r="U53" i="7"/>
  <c r="X53" i="7" s="1"/>
  <c r="S53" i="7"/>
  <c r="R53" i="7"/>
  <c r="Q53" i="7"/>
  <c r="O53" i="7"/>
  <c r="N53" i="7"/>
  <c r="M53" i="7"/>
  <c r="K53" i="7"/>
  <c r="J53" i="7"/>
  <c r="I53" i="7"/>
  <c r="G53" i="7"/>
  <c r="F53" i="7"/>
  <c r="E53" i="7"/>
  <c r="BD52" i="7"/>
  <c r="BC52" i="7"/>
  <c r="BB52" i="7"/>
  <c r="AZ52" i="7"/>
  <c r="AY52" i="7"/>
  <c r="AX52" i="7"/>
  <c r="AV52" i="7"/>
  <c r="AU52" i="7"/>
  <c r="AT52" i="7"/>
  <c r="AR52" i="7"/>
  <c r="AQ52" i="7"/>
  <c r="AP52" i="7"/>
  <c r="AN52" i="7"/>
  <c r="AM52" i="7"/>
  <c r="AL52" i="7"/>
  <c r="AO52" i="7" s="1"/>
  <c r="AJ52" i="7"/>
  <c r="AI52" i="7"/>
  <c r="AH52" i="7"/>
  <c r="AA52" i="7"/>
  <c r="Z52" i="7"/>
  <c r="Y52" i="7"/>
  <c r="W52" i="7"/>
  <c r="V52" i="7"/>
  <c r="U52" i="7"/>
  <c r="X52" i="7" s="1"/>
  <c r="S52" i="7"/>
  <c r="R52" i="7"/>
  <c r="Q52" i="7"/>
  <c r="O52" i="7"/>
  <c r="N52" i="7"/>
  <c r="M52" i="7"/>
  <c r="P52" i="7" s="1"/>
  <c r="K52" i="7"/>
  <c r="J52" i="7"/>
  <c r="I52" i="7"/>
  <c r="G52" i="7"/>
  <c r="F52" i="7"/>
  <c r="E52" i="7"/>
  <c r="BD51" i="7"/>
  <c r="BC51" i="7"/>
  <c r="BB51" i="7"/>
  <c r="BE51" i="7" s="1"/>
  <c r="BA51" i="7"/>
  <c r="AZ51" i="7"/>
  <c r="AY51" i="7"/>
  <c r="AX51" i="7"/>
  <c r="AV51" i="7"/>
  <c r="AU51" i="7"/>
  <c r="AT51" i="7"/>
  <c r="AW51" i="7" s="1"/>
  <c r="AR51" i="7"/>
  <c r="AQ51" i="7"/>
  <c r="AP51" i="7"/>
  <c r="AN51" i="7"/>
  <c r="AM51" i="7"/>
  <c r="AL51" i="7"/>
  <c r="AJ51" i="7"/>
  <c r="AI51" i="7"/>
  <c r="AH51" i="7"/>
  <c r="AA51" i="7"/>
  <c r="Z51" i="7"/>
  <c r="Y51" i="7"/>
  <c r="W51" i="7"/>
  <c r="V51" i="7"/>
  <c r="U51" i="7"/>
  <c r="S51" i="7"/>
  <c r="R51" i="7"/>
  <c r="Q51" i="7"/>
  <c r="T51" i="7" s="1"/>
  <c r="O51" i="7"/>
  <c r="N51" i="7"/>
  <c r="M51" i="7"/>
  <c r="K51" i="7"/>
  <c r="J51" i="7"/>
  <c r="I51" i="7"/>
  <c r="G51" i="7"/>
  <c r="F51" i="7"/>
  <c r="E51" i="7"/>
  <c r="BD50" i="7"/>
  <c r="BC50" i="7"/>
  <c r="BB50" i="7"/>
  <c r="BE50" i="7" s="1"/>
  <c r="AZ50" i="7"/>
  <c r="AY50" i="7"/>
  <c r="AX50" i="7"/>
  <c r="AV50" i="7"/>
  <c r="AU50" i="7"/>
  <c r="AT50" i="7"/>
  <c r="AR50" i="7"/>
  <c r="AQ50" i="7"/>
  <c r="AP50" i="7"/>
  <c r="AS50" i="7" s="1"/>
  <c r="AN50" i="7"/>
  <c r="AM50" i="7"/>
  <c r="AL50" i="7"/>
  <c r="AJ50" i="7"/>
  <c r="AI50" i="7"/>
  <c r="AH50" i="7"/>
  <c r="AA50" i="7"/>
  <c r="Z50" i="7"/>
  <c r="Y50" i="7"/>
  <c r="AB50" i="7" s="1"/>
  <c r="W50" i="7"/>
  <c r="V50" i="7"/>
  <c r="U50" i="7"/>
  <c r="S50" i="7"/>
  <c r="R50" i="7"/>
  <c r="Q50" i="7"/>
  <c r="T50" i="7" s="1"/>
  <c r="O50" i="7"/>
  <c r="N50" i="7"/>
  <c r="M50" i="7"/>
  <c r="K50" i="7"/>
  <c r="J50" i="7"/>
  <c r="I50" i="7"/>
  <c r="G50" i="7"/>
  <c r="F50" i="7"/>
  <c r="E50" i="7"/>
  <c r="BD49" i="7"/>
  <c r="BC49" i="7"/>
  <c r="BB49" i="7"/>
  <c r="AZ49" i="7"/>
  <c r="AY49" i="7"/>
  <c r="AX49" i="7"/>
  <c r="BA49" i="7" s="1"/>
  <c r="AV49" i="7"/>
  <c r="AU49" i="7"/>
  <c r="AT49" i="7"/>
  <c r="AR49" i="7"/>
  <c r="AQ49" i="7"/>
  <c r="AP49" i="7"/>
  <c r="AN49" i="7"/>
  <c r="AM49" i="7"/>
  <c r="AL49" i="7"/>
  <c r="AO49" i="7" s="1"/>
  <c r="AJ49" i="7"/>
  <c r="AI49" i="7"/>
  <c r="AH49" i="7"/>
  <c r="AA49" i="7"/>
  <c r="Z49" i="7"/>
  <c r="Y49" i="7"/>
  <c r="W49" i="7"/>
  <c r="V49" i="7"/>
  <c r="U49" i="7"/>
  <c r="X49" i="7" s="1"/>
  <c r="S49" i="7"/>
  <c r="R49" i="7"/>
  <c r="Q49" i="7"/>
  <c r="O49" i="7"/>
  <c r="N49" i="7"/>
  <c r="M49" i="7"/>
  <c r="K49" i="7"/>
  <c r="J49" i="7"/>
  <c r="I49" i="7"/>
  <c r="G49" i="7"/>
  <c r="F49" i="7"/>
  <c r="E49" i="7"/>
  <c r="BD48" i="7"/>
  <c r="BC48" i="7"/>
  <c r="BB48" i="7"/>
  <c r="AZ48" i="7"/>
  <c r="AY48" i="7"/>
  <c r="AX48" i="7"/>
  <c r="BA48" i="7" s="1"/>
  <c r="AW48" i="7"/>
  <c r="AV48" i="7"/>
  <c r="AU48" i="7"/>
  <c r="AT48" i="7"/>
  <c r="AR48" i="7"/>
  <c r="AQ48" i="7"/>
  <c r="AP48" i="7"/>
  <c r="AS48" i="7" s="1"/>
  <c r="AO48" i="7"/>
  <c r="AN48" i="7"/>
  <c r="AM48" i="7"/>
  <c r="AL48" i="7"/>
  <c r="AJ48" i="7"/>
  <c r="AI48" i="7"/>
  <c r="AH48" i="7"/>
  <c r="AK48" i="7" s="1"/>
  <c r="AA48" i="7"/>
  <c r="Z48" i="7"/>
  <c r="Y48" i="7"/>
  <c r="W48" i="7"/>
  <c r="V48" i="7"/>
  <c r="U48" i="7"/>
  <c r="S48" i="7"/>
  <c r="R48" i="7"/>
  <c r="Q48" i="7"/>
  <c r="O48" i="7"/>
  <c r="N48" i="7"/>
  <c r="M48" i="7"/>
  <c r="K48" i="7"/>
  <c r="J48" i="7"/>
  <c r="I48" i="7"/>
  <c r="G48" i="7"/>
  <c r="F48" i="7"/>
  <c r="E48" i="7"/>
  <c r="BD47" i="7"/>
  <c r="BC47" i="7"/>
  <c r="BB47" i="7"/>
  <c r="AZ47" i="7"/>
  <c r="AY47" i="7"/>
  <c r="AX47" i="7"/>
  <c r="AV47" i="7"/>
  <c r="AU47" i="7"/>
  <c r="AT47" i="7"/>
  <c r="AR47" i="7"/>
  <c r="AQ47" i="7"/>
  <c r="AP47" i="7"/>
  <c r="AS47" i="7" s="1"/>
  <c r="AN47" i="7"/>
  <c r="AM47" i="7"/>
  <c r="AL47" i="7"/>
  <c r="AJ47" i="7"/>
  <c r="AI47" i="7"/>
  <c r="AH47" i="7"/>
  <c r="AA47" i="7"/>
  <c r="Z47" i="7"/>
  <c r="Y47" i="7"/>
  <c r="W47" i="7"/>
  <c r="V47" i="7"/>
  <c r="U47" i="7"/>
  <c r="X47" i="7" s="1"/>
  <c r="S47" i="7"/>
  <c r="R47" i="7"/>
  <c r="Q47" i="7"/>
  <c r="O47" i="7"/>
  <c r="N47" i="7"/>
  <c r="M47" i="7"/>
  <c r="K47" i="7"/>
  <c r="J47" i="7"/>
  <c r="I47" i="7"/>
  <c r="G47" i="7"/>
  <c r="F47" i="7"/>
  <c r="E47" i="7"/>
  <c r="BD46" i="7"/>
  <c r="BC46" i="7"/>
  <c r="BB46" i="7"/>
  <c r="BE46" i="7" s="1"/>
  <c r="AZ46" i="7"/>
  <c r="AY46" i="7"/>
  <c r="AX46" i="7"/>
  <c r="AV46" i="7"/>
  <c r="AU46" i="7"/>
  <c r="AT46" i="7"/>
  <c r="AW46" i="7" s="1"/>
  <c r="AR46" i="7"/>
  <c r="AQ46" i="7"/>
  <c r="AP46" i="7"/>
  <c r="AN46" i="7"/>
  <c r="AM46" i="7"/>
  <c r="AL46" i="7"/>
  <c r="AJ46" i="7"/>
  <c r="AI46" i="7"/>
  <c r="AH46" i="7"/>
  <c r="AA46" i="7"/>
  <c r="Z46" i="7"/>
  <c r="Y46" i="7"/>
  <c r="W46" i="7"/>
  <c r="V46" i="7"/>
  <c r="U46" i="7"/>
  <c r="X46" i="7" s="1"/>
  <c r="S46" i="7"/>
  <c r="R46" i="7"/>
  <c r="Q46" i="7"/>
  <c r="T46" i="7" s="1"/>
  <c r="O46" i="7"/>
  <c r="N46" i="7"/>
  <c r="M46" i="7"/>
  <c r="K46" i="7"/>
  <c r="J46" i="7"/>
  <c r="I46" i="7"/>
  <c r="G46" i="7"/>
  <c r="F46" i="7"/>
  <c r="E46" i="7"/>
  <c r="BD45" i="7"/>
  <c r="BC45" i="7"/>
  <c r="BB45" i="7"/>
  <c r="AZ45" i="7"/>
  <c r="AY45" i="7"/>
  <c r="AX45" i="7"/>
  <c r="BA45" i="7" s="1"/>
  <c r="AV45" i="7"/>
  <c r="AU45" i="7"/>
  <c r="AT45" i="7"/>
  <c r="AR45" i="7"/>
  <c r="AQ45" i="7"/>
  <c r="AP45" i="7"/>
  <c r="AS45" i="7" s="1"/>
  <c r="AN45" i="7"/>
  <c r="AM45" i="7"/>
  <c r="AL45" i="7"/>
  <c r="AJ45" i="7"/>
  <c r="AK45" i="7" s="1"/>
  <c r="AI45" i="7"/>
  <c r="AH45" i="7"/>
  <c r="AA45" i="7"/>
  <c r="Z45" i="7"/>
  <c r="Y45" i="7"/>
  <c r="AB45" i="7" s="1"/>
  <c r="W45" i="7"/>
  <c r="V45" i="7"/>
  <c r="U45" i="7"/>
  <c r="S45" i="7"/>
  <c r="R45" i="7"/>
  <c r="Q45" i="7"/>
  <c r="O45" i="7"/>
  <c r="N45" i="7"/>
  <c r="M45" i="7"/>
  <c r="P45" i="7" s="1"/>
  <c r="K45" i="7"/>
  <c r="J45" i="7"/>
  <c r="I45" i="7"/>
  <c r="G45" i="7"/>
  <c r="F45" i="7"/>
  <c r="E45" i="7"/>
  <c r="BD44" i="7"/>
  <c r="BE44" i="7" s="1"/>
  <c r="BC44" i="7"/>
  <c r="BB44" i="7"/>
  <c r="AZ44" i="7"/>
  <c r="AY44" i="7"/>
  <c r="AX44" i="7"/>
  <c r="AV44" i="7"/>
  <c r="AU44" i="7"/>
  <c r="AT44" i="7"/>
  <c r="AW44" i="7" s="1"/>
  <c r="AR44" i="7"/>
  <c r="AQ44" i="7"/>
  <c r="AP44" i="7"/>
  <c r="AN44" i="7"/>
  <c r="AM44" i="7"/>
  <c r="AL44" i="7"/>
  <c r="AO44" i="7" s="1"/>
  <c r="AJ44" i="7"/>
  <c r="AI44" i="7"/>
  <c r="AH44" i="7"/>
  <c r="AA44" i="7"/>
  <c r="Z44" i="7"/>
  <c r="Y44" i="7"/>
  <c r="W44" i="7"/>
  <c r="V44" i="7"/>
  <c r="U44" i="7"/>
  <c r="X44" i="7" s="1"/>
  <c r="S44" i="7"/>
  <c r="R44" i="7"/>
  <c r="Q44" i="7"/>
  <c r="O44" i="7"/>
  <c r="N44" i="7"/>
  <c r="M44" i="7"/>
  <c r="K44" i="7"/>
  <c r="J44" i="7"/>
  <c r="I44" i="7"/>
  <c r="G44" i="7"/>
  <c r="F44" i="7"/>
  <c r="E44" i="7"/>
  <c r="BD43" i="7"/>
  <c r="BC43" i="7"/>
  <c r="BB43" i="7"/>
  <c r="BE43" i="7" s="1"/>
  <c r="AZ43" i="7"/>
  <c r="AY43" i="7"/>
  <c r="AX43" i="7"/>
  <c r="AV43" i="7"/>
  <c r="AU43" i="7"/>
  <c r="AT43" i="7"/>
  <c r="AR43" i="7"/>
  <c r="AQ43" i="7"/>
  <c r="AP43" i="7"/>
  <c r="AS43" i="7" s="1"/>
  <c r="AN43" i="7"/>
  <c r="AM43" i="7"/>
  <c r="AL43" i="7"/>
  <c r="AJ43" i="7"/>
  <c r="AI43" i="7"/>
  <c r="AH43" i="7"/>
  <c r="AK43" i="7" s="1"/>
  <c r="AA43" i="7"/>
  <c r="Z43" i="7"/>
  <c r="Y43" i="7"/>
  <c r="W43" i="7"/>
  <c r="V43" i="7"/>
  <c r="U43" i="7"/>
  <c r="S43" i="7"/>
  <c r="R43" i="7"/>
  <c r="Q43" i="7"/>
  <c r="T43" i="7" s="1"/>
  <c r="O43" i="7"/>
  <c r="N43" i="7"/>
  <c r="M43" i="7"/>
  <c r="K43" i="7"/>
  <c r="J43" i="7"/>
  <c r="I43" i="7"/>
  <c r="G43" i="7"/>
  <c r="F43" i="7"/>
  <c r="E43" i="7"/>
  <c r="BD42" i="7"/>
  <c r="BC42" i="7"/>
  <c r="BB42" i="7"/>
  <c r="AZ42" i="7"/>
  <c r="AY42" i="7"/>
  <c r="AX42" i="7"/>
  <c r="AV42" i="7"/>
  <c r="AU42" i="7"/>
  <c r="AT42" i="7"/>
  <c r="AR42" i="7"/>
  <c r="AQ42" i="7"/>
  <c r="AP42" i="7"/>
  <c r="AN42" i="7"/>
  <c r="AM42" i="7"/>
  <c r="AL42" i="7"/>
  <c r="AO42" i="7" s="1"/>
  <c r="AJ42" i="7"/>
  <c r="AI42" i="7"/>
  <c r="AH42" i="7"/>
  <c r="AA42" i="7"/>
  <c r="Z42" i="7"/>
  <c r="Y42" i="7"/>
  <c r="AB42" i="7" s="1"/>
  <c r="W42" i="7"/>
  <c r="V42" i="7"/>
  <c r="U42" i="7"/>
  <c r="S42" i="7"/>
  <c r="R42" i="7"/>
  <c r="Q42" i="7"/>
  <c r="O42" i="7"/>
  <c r="N42" i="7"/>
  <c r="M42" i="7"/>
  <c r="K42" i="7"/>
  <c r="J42" i="7"/>
  <c r="I42" i="7"/>
  <c r="G42" i="7"/>
  <c r="F42" i="7"/>
  <c r="E42" i="7"/>
  <c r="BD41" i="7"/>
  <c r="BC41" i="7"/>
  <c r="BB41" i="7"/>
  <c r="BE41" i="7" s="1"/>
  <c r="AZ41" i="7"/>
  <c r="BA41" i="7" s="1"/>
  <c r="AY41" i="7"/>
  <c r="AX41" i="7"/>
  <c r="AV41" i="7"/>
  <c r="AU41" i="7"/>
  <c r="AT41" i="7"/>
  <c r="AR41" i="7"/>
  <c r="AQ41" i="7"/>
  <c r="AP41" i="7"/>
  <c r="AN41" i="7"/>
  <c r="AM41" i="7"/>
  <c r="AL41" i="7"/>
  <c r="AJ41" i="7"/>
  <c r="AI41" i="7"/>
  <c r="AH41" i="7"/>
  <c r="AA41" i="7"/>
  <c r="Z41" i="7"/>
  <c r="Y41" i="7"/>
  <c r="W41" i="7"/>
  <c r="V41" i="7"/>
  <c r="U41" i="7"/>
  <c r="X41" i="7" s="1"/>
  <c r="S41" i="7"/>
  <c r="R41" i="7"/>
  <c r="Q41" i="7"/>
  <c r="O41" i="7"/>
  <c r="N41" i="7"/>
  <c r="M41" i="7"/>
  <c r="K41" i="7"/>
  <c r="J41" i="7"/>
  <c r="I41" i="7"/>
  <c r="G41" i="7"/>
  <c r="F41" i="7"/>
  <c r="E41" i="7"/>
  <c r="BD40" i="7"/>
  <c r="BC40" i="7"/>
  <c r="BB40" i="7"/>
  <c r="AZ40" i="7"/>
  <c r="AY40" i="7"/>
  <c r="AX40" i="7"/>
  <c r="BA40" i="7" s="1"/>
  <c r="AV40" i="7"/>
  <c r="AU40" i="7"/>
  <c r="AT40" i="7"/>
  <c r="AR40" i="7"/>
  <c r="AQ40" i="7"/>
  <c r="AP40" i="7"/>
  <c r="AN40" i="7"/>
  <c r="AM40" i="7"/>
  <c r="AL40" i="7"/>
  <c r="AO40" i="7" s="1"/>
  <c r="AJ40" i="7"/>
  <c r="AI40" i="7"/>
  <c r="AH40" i="7"/>
  <c r="AA40" i="7"/>
  <c r="Z40" i="7"/>
  <c r="Y40" i="7"/>
  <c r="AB40" i="7" s="1"/>
  <c r="W40" i="7"/>
  <c r="V40" i="7"/>
  <c r="U40" i="7"/>
  <c r="S40" i="7"/>
  <c r="R40" i="7"/>
  <c r="Q40" i="7"/>
  <c r="O40" i="7"/>
  <c r="N40" i="7"/>
  <c r="M40" i="7"/>
  <c r="P40" i="7" s="1"/>
  <c r="K40" i="7"/>
  <c r="J40" i="7"/>
  <c r="I40" i="7"/>
  <c r="G40" i="7"/>
  <c r="F40" i="7"/>
  <c r="E40" i="7"/>
  <c r="BD39" i="7"/>
  <c r="BC39" i="7"/>
  <c r="BB39" i="7"/>
  <c r="AZ39" i="7"/>
  <c r="BA39" i="7" s="1"/>
  <c r="AY39" i="7"/>
  <c r="AX39" i="7"/>
  <c r="AV39" i="7"/>
  <c r="AU39" i="7"/>
  <c r="AT39" i="7"/>
  <c r="AR39" i="7"/>
  <c r="AQ39" i="7"/>
  <c r="AP39" i="7"/>
  <c r="AN39" i="7"/>
  <c r="AM39" i="7"/>
  <c r="AL39" i="7"/>
  <c r="AJ39" i="7"/>
  <c r="AI39" i="7"/>
  <c r="AH39" i="7"/>
  <c r="AK39" i="7" s="1"/>
  <c r="AA39" i="7"/>
  <c r="Z39" i="7"/>
  <c r="Y39" i="7"/>
  <c r="W39" i="7"/>
  <c r="V39" i="7"/>
  <c r="U39" i="7"/>
  <c r="X39" i="7" s="1"/>
  <c r="S39" i="7"/>
  <c r="R39" i="7"/>
  <c r="Q39" i="7"/>
  <c r="O39" i="7"/>
  <c r="N39" i="7"/>
  <c r="M39" i="7"/>
  <c r="K39" i="7"/>
  <c r="J39" i="7"/>
  <c r="I39" i="7"/>
  <c r="G39" i="7"/>
  <c r="F39" i="7"/>
  <c r="E39" i="7"/>
  <c r="BD38" i="7"/>
  <c r="BC38" i="7"/>
  <c r="BB38" i="7"/>
  <c r="BE38" i="7" s="1"/>
  <c r="AZ38" i="7"/>
  <c r="AY38" i="7"/>
  <c r="AX38" i="7"/>
  <c r="AV38" i="7"/>
  <c r="AU38" i="7"/>
  <c r="AT38" i="7"/>
  <c r="AR38" i="7"/>
  <c r="AQ38" i="7"/>
  <c r="AP38" i="7"/>
  <c r="AN38" i="7"/>
  <c r="AM38" i="7"/>
  <c r="AL38" i="7"/>
  <c r="AJ38" i="7"/>
  <c r="AI38" i="7"/>
  <c r="AH38" i="7"/>
  <c r="AA38" i="7"/>
  <c r="Z38" i="7"/>
  <c r="Y38" i="7"/>
  <c r="AB38" i="7" s="1"/>
  <c r="X38" i="7"/>
  <c r="W38" i="7"/>
  <c r="V38" i="7"/>
  <c r="U38" i="7"/>
  <c r="S38" i="7"/>
  <c r="R38" i="7"/>
  <c r="Q38" i="7"/>
  <c r="T38" i="7" s="1"/>
  <c r="O38" i="7"/>
  <c r="P38" i="7" s="1"/>
  <c r="N38" i="7"/>
  <c r="M38" i="7"/>
  <c r="K38" i="7"/>
  <c r="J38" i="7"/>
  <c r="I38" i="7"/>
  <c r="G38" i="7"/>
  <c r="F38" i="7"/>
  <c r="E38" i="7"/>
  <c r="BD37" i="7"/>
  <c r="BC37" i="7"/>
  <c r="BB37" i="7"/>
  <c r="AZ37" i="7"/>
  <c r="AY37" i="7"/>
  <c r="AX37" i="7"/>
  <c r="BA37" i="7" s="1"/>
  <c r="AV37" i="7"/>
  <c r="AU37" i="7"/>
  <c r="AT37" i="7"/>
  <c r="AR37" i="7"/>
  <c r="AQ37" i="7"/>
  <c r="AP37" i="7"/>
  <c r="AS37" i="7" s="1"/>
  <c r="AN37" i="7"/>
  <c r="AM37" i="7"/>
  <c r="AL37" i="7"/>
  <c r="AJ37" i="7"/>
  <c r="AI37" i="7"/>
  <c r="AH37" i="7"/>
  <c r="AK37" i="7" s="1"/>
  <c r="AA37" i="7"/>
  <c r="Z37" i="7"/>
  <c r="Y37" i="7"/>
  <c r="AB37" i="7" s="1"/>
  <c r="W37" i="7"/>
  <c r="X37" i="7" s="1"/>
  <c r="V37" i="7"/>
  <c r="U37" i="7"/>
  <c r="S37" i="7"/>
  <c r="R37" i="7"/>
  <c r="Q37" i="7"/>
  <c r="T37" i="7" s="1"/>
  <c r="O37" i="7"/>
  <c r="N37" i="7"/>
  <c r="M37" i="7"/>
  <c r="K37" i="7"/>
  <c r="J37" i="7"/>
  <c r="I37" i="7"/>
  <c r="G37" i="7"/>
  <c r="F37" i="7"/>
  <c r="E37" i="7"/>
  <c r="BD36" i="7"/>
  <c r="BC36" i="7"/>
  <c r="BB36" i="7"/>
  <c r="AZ36" i="7"/>
  <c r="AY36" i="7"/>
  <c r="AX36" i="7"/>
  <c r="AV36" i="7"/>
  <c r="AU36" i="7"/>
  <c r="AT36" i="7"/>
  <c r="AR36" i="7"/>
  <c r="AQ36" i="7"/>
  <c r="AS36" i="7" s="1"/>
  <c r="AP36" i="7"/>
  <c r="AN36" i="7"/>
  <c r="AM36" i="7"/>
  <c r="AL36" i="7"/>
  <c r="AO36" i="7" s="1"/>
  <c r="AJ36" i="7"/>
  <c r="AI36" i="7"/>
  <c r="AH36" i="7"/>
  <c r="AA36" i="7"/>
  <c r="Z36" i="7"/>
  <c r="Y36" i="7"/>
  <c r="AB36" i="7" s="1"/>
  <c r="W36" i="7"/>
  <c r="V36" i="7"/>
  <c r="U36" i="7"/>
  <c r="S36" i="7"/>
  <c r="R36" i="7"/>
  <c r="Q36" i="7"/>
  <c r="O36" i="7"/>
  <c r="N36" i="7"/>
  <c r="M36" i="7"/>
  <c r="P36" i="7" s="1"/>
  <c r="K36" i="7"/>
  <c r="J36" i="7"/>
  <c r="I36" i="7"/>
  <c r="G36" i="7"/>
  <c r="F36" i="7"/>
  <c r="E36" i="7"/>
  <c r="BD35" i="7"/>
  <c r="BC35" i="7"/>
  <c r="BE35" i="7" s="1"/>
  <c r="BB35" i="7"/>
  <c r="AZ35" i="7"/>
  <c r="AY35" i="7"/>
  <c r="AX35" i="7"/>
  <c r="AV35" i="7"/>
  <c r="AU35" i="7"/>
  <c r="AT35" i="7"/>
  <c r="AR35" i="7"/>
  <c r="AQ35" i="7"/>
  <c r="AP35" i="7"/>
  <c r="AN35" i="7"/>
  <c r="AM35" i="7"/>
  <c r="AL35" i="7"/>
  <c r="AJ35" i="7"/>
  <c r="AI35" i="7"/>
  <c r="AH35" i="7"/>
  <c r="AK35" i="7" s="1"/>
  <c r="AA35" i="7"/>
  <c r="Z35" i="7"/>
  <c r="Y35" i="7"/>
  <c r="W35" i="7"/>
  <c r="V35" i="7"/>
  <c r="U35" i="7"/>
  <c r="X35" i="7" s="1"/>
  <c r="S35" i="7"/>
  <c r="R35" i="7"/>
  <c r="Q35" i="7"/>
  <c r="O35" i="7"/>
  <c r="N35" i="7"/>
  <c r="M35" i="7"/>
  <c r="P35" i="7" s="1"/>
  <c r="K35" i="7"/>
  <c r="J35" i="7"/>
  <c r="I35" i="7"/>
  <c r="G35" i="7"/>
  <c r="F35" i="7"/>
  <c r="E35" i="7"/>
  <c r="BD34" i="7"/>
  <c r="BC34" i="7"/>
  <c r="BB34" i="7"/>
  <c r="BE34" i="7" s="1"/>
  <c r="AZ34" i="7"/>
  <c r="AY34" i="7"/>
  <c r="AX34" i="7"/>
  <c r="AV34" i="7"/>
  <c r="AU34" i="7"/>
  <c r="AT34" i="7"/>
  <c r="AR34" i="7"/>
  <c r="AQ34" i="7"/>
  <c r="AP34" i="7"/>
  <c r="AN34" i="7"/>
  <c r="AM34" i="7"/>
  <c r="AL34" i="7"/>
  <c r="AJ34" i="7"/>
  <c r="AI34" i="7"/>
  <c r="AH34" i="7"/>
  <c r="AA34" i="7"/>
  <c r="Z34" i="7"/>
  <c r="Y34" i="7"/>
  <c r="W34" i="7"/>
  <c r="V34" i="7"/>
  <c r="U34" i="7"/>
  <c r="S34" i="7"/>
  <c r="R34" i="7"/>
  <c r="Q34" i="7"/>
  <c r="T34" i="7" s="1"/>
  <c r="O34" i="7"/>
  <c r="N34" i="7"/>
  <c r="M34" i="7"/>
  <c r="K34" i="7"/>
  <c r="J34" i="7"/>
  <c r="I34" i="7"/>
  <c r="G34" i="7"/>
  <c r="F34" i="7"/>
  <c r="E34" i="7"/>
  <c r="BD33" i="7"/>
  <c r="BC33" i="7"/>
  <c r="BE33" i="7" s="1"/>
  <c r="BB33" i="7"/>
  <c r="AZ33" i="7"/>
  <c r="AY33" i="7"/>
  <c r="AX33" i="7"/>
  <c r="AV33" i="7"/>
  <c r="AU33" i="7"/>
  <c r="AT33" i="7"/>
  <c r="AR33" i="7"/>
  <c r="AQ33" i="7"/>
  <c r="AP33" i="7"/>
  <c r="AS33" i="7" s="1"/>
  <c r="AN33" i="7"/>
  <c r="AM33" i="7"/>
  <c r="AL33" i="7"/>
  <c r="AJ33" i="7"/>
  <c r="AI33" i="7"/>
  <c r="AH33" i="7"/>
  <c r="AA33" i="7"/>
  <c r="Z33" i="7"/>
  <c r="Y33" i="7"/>
  <c r="AB33" i="7" s="1"/>
  <c r="W33" i="7"/>
  <c r="X33" i="7" s="1"/>
  <c r="V33" i="7"/>
  <c r="U33" i="7"/>
  <c r="S33" i="7"/>
  <c r="R33" i="7"/>
  <c r="Q33" i="7"/>
  <c r="T33" i="7" s="1"/>
  <c r="O33" i="7"/>
  <c r="N33" i="7"/>
  <c r="M33" i="7"/>
  <c r="P33" i="7" s="1"/>
  <c r="K33" i="7"/>
  <c r="J33" i="7"/>
  <c r="I33" i="7"/>
  <c r="G33" i="7"/>
  <c r="F33" i="7"/>
  <c r="E33" i="7"/>
  <c r="BD32" i="7"/>
  <c r="BC32" i="7"/>
  <c r="BB32" i="7"/>
  <c r="AZ32" i="7"/>
  <c r="AY32" i="7"/>
  <c r="AX32" i="7"/>
  <c r="AV32" i="7"/>
  <c r="AU32" i="7"/>
  <c r="AT32" i="7"/>
  <c r="AR32" i="7"/>
  <c r="AQ32" i="7"/>
  <c r="AS32" i="7" s="1"/>
  <c r="AP32" i="7"/>
  <c r="AN32" i="7"/>
  <c r="AM32" i="7"/>
  <c r="AL32" i="7"/>
  <c r="AJ32" i="7"/>
  <c r="AI32" i="7"/>
  <c r="AH32" i="7"/>
  <c r="AA32" i="7"/>
  <c r="Z32" i="7"/>
  <c r="Y32" i="7"/>
  <c r="W32" i="7"/>
  <c r="V32" i="7"/>
  <c r="U32" i="7"/>
  <c r="X32" i="7" s="1"/>
  <c r="S32" i="7"/>
  <c r="T32" i="7" s="1"/>
  <c r="R32" i="7"/>
  <c r="Q32" i="7"/>
  <c r="O32" i="7"/>
  <c r="N32" i="7"/>
  <c r="M32" i="7"/>
  <c r="P32" i="7" s="1"/>
  <c r="K32" i="7"/>
  <c r="L32" i="7" s="1"/>
  <c r="J32" i="7"/>
  <c r="I32" i="7"/>
  <c r="G32" i="7"/>
  <c r="F32" i="7"/>
  <c r="E32" i="7"/>
  <c r="BD31" i="7"/>
  <c r="BC31" i="7"/>
  <c r="BB31" i="7"/>
  <c r="BE31" i="7" s="1"/>
  <c r="AZ31" i="7"/>
  <c r="AY31" i="7"/>
  <c r="AX31" i="7"/>
  <c r="AV31" i="7"/>
  <c r="AU31" i="7"/>
  <c r="AT31" i="7"/>
  <c r="AW31" i="7" s="1"/>
  <c r="AR31" i="7"/>
  <c r="AQ31" i="7"/>
  <c r="AP31" i="7"/>
  <c r="AN31" i="7"/>
  <c r="AM31" i="7"/>
  <c r="AL31" i="7"/>
  <c r="AO31" i="7" s="1"/>
  <c r="AJ31" i="7"/>
  <c r="AI31" i="7"/>
  <c r="AH31" i="7"/>
  <c r="AA31" i="7"/>
  <c r="Z31" i="7"/>
  <c r="Y31" i="7"/>
  <c r="W31" i="7"/>
  <c r="V31" i="7"/>
  <c r="U31" i="7"/>
  <c r="X31" i="7" s="1"/>
  <c r="S31" i="7"/>
  <c r="R31" i="7"/>
  <c r="Q31" i="7"/>
  <c r="O31" i="7"/>
  <c r="N31" i="7"/>
  <c r="M31" i="7"/>
  <c r="P31" i="7" s="1"/>
  <c r="K31" i="7"/>
  <c r="J31" i="7"/>
  <c r="I31" i="7"/>
  <c r="G31" i="7"/>
  <c r="F31" i="7"/>
  <c r="H31" i="7" s="1"/>
  <c r="E31" i="7"/>
  <c r="BD30" i="7"/>
  <c r="BC30" i="7"/>
  <c r="BB30" i="7"/>
  <c r="AZ30" i="7"/>
  <c r="AY30" i="7"/>
  <c r="AX30" i="7"/>
  <c r="AV30" i="7"/>
  <c r="AU30" i="7"/>
  <c r="AT30" i="7"/>
  <c r="AW30" i="7" s="1"/>
  <c r="AR30" i="7"/>
  <c r="AQ30" i="7"/>
  <c r="AP30" i="7"/>
  <c r="AS30" i="7" s="1"/>
  <c r="AN30" i="7"/>
  <c r="AM30" i="7"/>
  <c r="AL30" i="7"/>
  <c r="AJ30" i="7"/>
  <c r="AI30" i="7"/>
  <c r="AH30" i="7"/>
  <c r="AK30" i="7" s="1"/>
  <c r="AA30" i="7"/>
  <c r="Z30" i="7"/>
  <c r="Y30" i="7"/>
  <c r="W30" i="7"/>
  <c r="V30" i="7"/>
  <c r="U30" i="7"/>
  <c r="S30" i="7"/>
  <c r="R30" i="7"/>
  <c r="Q30" i="7"/>
  <c r="T30" i="7" s="1"/>
  <c r="O30" i="7"/>
  <c r="N30" i="7"/>
  <c r="M30" i="7"/>
  <c r="K30" i="7"/>
  <c r="J30" i="7"/>
  <c r="I30" i="7"/>
  <c r="G30" i="7"/>
  <c r="F30" i="7"/>
  <c r="E30" i="7"/>
  <c r="BD29" i="7"/>
  <c r="BC29" i="7"/>
  <c r="BB29" i="7"/>
  <c r="AZ29" i="7"/>
  <c r="AY29" i="7"/>
  <c r="AX29" i="7"/>
  <c r="AV29" i="7"/>
  <c r="AU29" i="7"/>
  <c r="AT29" i="7"/>
  <c r="AR29" i="7"/>
  <c r="AQ29" i="7"/>
  <c r="AP29" i="7"/>
  <c r="AN29" i="7"/>
  <c r="AM29" i="7"/>
  <c r="AL29" i="7"/>
  <c r="AO29" i="7" s="1"/>
  <c r="AJ29" i="7"/>
  <c r="AI29" i="7"/>
  <c r="AH29" i="7"/>
  <c r="AA29" i="7"/>
  <c r="Z29" i="7"/>
  <c r="Y29" i="7"/>
  <c r="AB29" i="7" s="1"/>
  <c r="W29" i="7"/>
  <c r="V29" i="7"/>
  <c r="U29" i="7"/>
  <c r="X29" i="7" s="1"/>
  <c r="S29" i="7"/>
  <c r="R29" i="7"/>
  <c r="Q29" i="7"/>
  <c r="T29" i="7" s="1"/>
  <c r="O29" i="7"/>
  <c r="N29" i="7"/>
  <c r="M29" i="7"/>
  <c r="K29" i="7"/>
  <c r="J29" i="7"/>
  <c r="I29" i="7"/>
  <c r="G29" i="7"/>
  <c r="F29" i="7"/>
  <c r="E29" i="7"/>
  <c r="BD28" i="7"/>
  <c r="BC28" i="7"/>
  <c r="BB28" i="7"/>
  <c r="AZ28" i="7"/>
  <c r="AY28" i="7"/>
  <c r="AX28" i="7"/>
  <c r="AV28" i="7"/>
  <c r="AU28" i="7"/>
  <c r="AT28" i="7"/>
  <c r="AR28" i="7"/>
  <c r="AQ28" i="7"/>
  <c r="AP28" i="7"/>
  <c r="AN28" i="7"/>
  <c r="AM28" i="7"/>
  <c r="AL28" i="7"/>
  <c r="AO28" i="7" s="1"/>
  <c r="AJ28" i="7"/>
  <c r="AI28" i="7"/>
  <c r="AH28" i="7"/>
  <c r="AK28" i="7" s="1"/>
  <c r="AA28" i="7"/>
  <c r="Z28" i="7"/>
  <c r="Y28" i="7"/>
  <c r="W28" i="7"/>
  <c r="V28" i="7"/>
  <c r="U28" i="7"/>
  <c r="X28" i="7" s="1"/>
  <c r="S28" i="7"/>
  <c r="R28" i="7"/>
  <c r="Q28" i="7"/>
  <c r="T28" i="7" s="1"/>
  <c r="O28" i="7"/>
  <c r="N28" i="7"/>
  <c r="M28" i="7"/>
  <c r="P28" i="7" s="1"/>
  <c r="K28" i="7"/>
  <c r="J28" i="7"/>
  <c r="I28" i="7"/>
  <c r="G28" i="7"/>
  <c r="F28" i="7"/>
  <c r="E28" i="7"/>
  <c r="BD27" i="7"/>
  <c r="BC27" i="7"/>
  <c r="BB27" i="7"/>
  <c r="AZ27" i="7"/>
  <c r="AY27" i="7"/>
  <c r="AX27" i="7"/>
  <c r="AV27" i="7"/>
  <c r="AU27" i="7"/>
  <c r="AT27" i="7"/>
  <c r="AW27" i="7" s="1"/>
  <c r="AR27" i="7"/>
  <c r="AQ27" i="7"/>
  <c r="AP27" i="7"/>
  <c r="AN27" i="7"/>
  <c r="AM27" i="7"/>
  <c r="AL27" i="7"/>
  <c r="AJ27" i="7"/>
  <c r="AI27" i="7"/>
  <c r="AH27" i="7"/>
  <c r="AA27" i="7"/>
  <c r="Z27" i="7"/>
  <c r="Y27" i="7"/>
  <c r="AB27" i="7" s="1"/>
  <c r="W27" i="7"/>
  <c r="V27" i="7"/>
  <c r="U27" i="7"/>
  <c r="S27" i="7"/>
  <c r="R27" i="7"/>
  <c r="Q27" i="7"/>
  <c r="T27" i="7" s="1"/>
  <c r="O27" i="7"/>
  <c r="N27" i="7"/>
  <c r="M27" i="7"/>
  <c r="K27" i="7"/>
  <c r="J27" i="7"/>
  <c r="I27" i="7"/>
  <c r="G27" i="7"/>
  <c r="F27" i="7"/>
  <c r="E27" i="7"/>
  <c r="BD26" i="7"/>
  <c r="BC26" i="7"/>
  <c r="BB26" i="7"/>
  <c r="AZ26" i="7"/>
  <c r="AY26" i="7"/>
  <c r="AX26" i="7"/>
  <c r="AV26" i="7"/>
  <c r="AU26" i="7"/>
  <c r="AT26" i="7"/>
  <c r="AR26" i="7"/>
  <c r="AQ26" i="7"/>
  <c r="AP26" i="7"/>
  <c r="AN26" i="7"/>
  <c r="AM26" i="7"/>
  <c r="AL26" i="7"/>
  <c r="AO26" i="7" s="1"/>
  <c r="AJ26" i="7"/>
  <c r="AI26" i="7"/>
  <c r="AH26" i="7"/>
  <c r="AA26" i="7"/>
  <c r="Z26" i="7"/>
  <c r="Y26" i="7"/>
  <c r="AB26" i="7" s="1"/>
  <c r="W26" i="7"/>
  <c r="V26" i="7"/>
  <c r="U26" i="7"/>
  <c r="S26" i="7"/>
  <c r="R26" i="7"/>
  <c r="Q26" i="7"/>
  <c r="O26" i="7"/>
  <c r="N26" i="7"/>
  <c r="M26" i="7"/>
  <c r="K26" i="7"/>
  <c r="J26" i="7"/>
  <c r="I26" i="7"/>
  <c r="G26" i="7"/>
  <c r="F26" i="7"/>
  <c r="E26" i="7"/>
  <c r="BD25" i="7"/>
  <c r="BC25" i="7"/>
  <c r="BB25" i="7"/>
  <c r="BE25" i="7" s="1"/>
  <c r="AZ25" i="7"/>
  <c r="AY25" i="7"/>
  <c r="AX25" i="7"/>
  <c r="AV25" i="7"/>
  <c r="AU25" i="7"/>
  <c r="AT25" i="7"/>
  <c r="AR25" i="7"/>
  <c r="AQ25" i="7"/>
  <c r="AP25" i="7"/>
  <c r="AN25" i="7"/>
  <c r="AM25" i="7"/>
  <c r="AL25" i="7"/>
  <c r="AJ25" i="7"/>
  <c r="AI25" i="7"/>
  <c r="AH25" i="7"/>
  <c r="AK25" i="7" s="1"/>
  <c r="AA25" i="7"/>
  <c r="Z25" i="7"/>
  <c r="Y25" i="7"/>
  <c r="W25" i="7"/>
  <c r="V25" i="7"/>
  <c r="U25" i="7"/>
  <c r="S25" i="7"/>
  <c r="R25" i="7"/>
  <c r="Q25" i="7"/>
  <c r="O25" i="7"/>
  <c r="N25" i="7"/>
  <c r="M25" i="7"/>
  <c r="K25" i="7"/>
  <c r="J25" i="7"/>
  <c r="I25" i="7"/>
  <c r="G25" i="7"/>
  <c r="F25" i="7"/>
  <c r="E25" i="7"/>
  <c r="BD24" i="7"/>
  <c r="BC24" i="7"/>
  <c r="BB24" i="7"/>
  <c r="AZ24" i="7"/>
  <c r="AY24" i="7"/>
  <c r="AX24" i="7"/>
  <c r="AV24" i="7"/>
  <c r="AU24" i="7"/>
  <c r="AT24" i="7"/>
  <c r="AR24" i="7"/>
  <c r="AQ24" i="7"/>
  <c r="AP24" i="7"/>
  <c r="AN24" i="7"/>
  <c r="AM24" i="7"/>
  <c r="AL24" i="7"/>
  <c r="AJ24" i="7"/>
  <c r="AI24" i="7"/>
  <c r="AH24" i="7"/>
  <c r="AA24" i="7"/>
  <c r="Z24" i="7"/>
  <c r="Y24" i="7"/>
  <c r="AB24" i="7" s="1"/>
  <c r="W24" i="7"/>
  <c r="V24" i="7"/>
  <c r="U24" i="7"/>
  <c r="S24" i="7"/>
  <c r="R24" i="7"/>
  <c r="Q24" i="7"/>
  <c r="O24" i="7"/>
  <c r="N24" i="7"/>
  <c r="M24" i="7"/>
  <c r="P24" i="7" s="1"/>
  <c r="K24" i="7"/>
  <c r="J24" i="7"/>
  <c r="I24" i="7"/>
  <c r="G24" i="7"/>
  <c r="F24" i="7"/>
  <c r="E24" i="7"/>
  <c r="BD23" i="7"/>
  <c r="BC23" i="7"/>
  <c r="BB23" i="7"/>
  <c r="AZ23" i="7"/>
  <c r="AY23" i="7"/>
  <c r="AX23" i="7"/>
  <c r="BA23" i="7" s="1"/>
  <c r="AV23" i="7"/>
  <c r="AU23" i="7"/>
  <c r="AT23" i="7"/>
  <c r="AW23" i="7" s="1"/>
  <c r="AR23" i="7"/>
  <c r="AQ23" i="7"/>
  <c r="AP23" i="7"/>
  <c r="AN23" i="7"/>
  <c r="AM23" i="7"/>
  <c r="AL23" i="7"/>
  <c r="AO23" i="7" s="1"/>
  <c r="AJ23" i="7"/>
  <c r="AI23" i="7"/>
  <c r="AH23" i="7"/>
  <c r="AK23" i="7" s="1"/>
  <c r="AA23" i="7"/>
  <c r="AB23" i="7" s="1"/>
  <c r="Z23" i="7"/>
  <c r="Y23" i="7"/>
  <c r="W23" i="7"/>
  <c r="V23" i="7"/>
  <c r="U23" i="7"/>
  <c r="S23" i="7"/>
  <c r="T23" i="7" s="1"/>
  <c r="R23" i="7"/>
  <c r="Q23" i="7"/>
  <c r="O23" i="7"/>
  <c r="N23" i="7"/>
  <c r="M23" i="7"/>
  <c r="P23" i="7" s="1"/>
  <c r="K23" i="7"/>
  <c r="J23" i="7"/>
  <c r="I23" i="7"/>
  <c r="G23" i="7"/>
  <c r="F23" i="7"/>
  <c r="E23" i="7"/>
  <c r="BD22" i="7"/>
  <c r="BC22" i="7"/>
  <c r="BB22" i="7"/>
  <c r="BE22" i="7" s="1"/>
  <c r="AZ22" i="7"/>
  <c r="AY22" i="7"/>
  <c r="AX22" i="7"/>
  <c r="AV22" i="7"/>
  <c r="AU22" i="7"/>
  <c r="AT22" i="7"/>
  <c r="AW22" i="7" s="1"/>
  <c r="AR22" i="7"/>
  <c r="AQ22" i="7"/>
  <c r="AP22" i="7"/>
  <c r="AN22" i="7"/>
  <c r="AM22" i="7"/>
  <c r="AL22" i="7"/>
  <c r="AJ22" i="7"/>
  <c r="AI22" i="7"/>
  <c r="AH22" i="7"/>
  <c r="AA22" i="7"/>
  <c r="Z22" i="7"/>
  <c r="Y22" i="7"/>
  <c r="W22" i="7"/>
  <c r="V22" i="7"/>
  <c r="U22" i="7"/>
  <c r="S22" i="7"/>
  <c r="R22" i="7"/>
  <c r="Q22" i="7"/>
  <c r="T22" i="7" s="1"/>
  <c r="O22" i="7"/>
  <c r="P22" i="7" s="1"/>
  <c r="N22" i="7"/>
  <c r="M22" i="7"/>
  <c r="K22" i="7"/>
  <c r="J22" i="7"/>
  <c r="I22" i="7"/>
  <c r="G22" i="7"/>
  <c r="F22" i="7"/>
  <c r="H22" i="7" s="1"/>
  <c r="E22" i="7"/>
  <c r="BD21" i="7"/>
  <c r="BC21" i="7"/>
  <c r="BB21" i="7"/>
  <c r="BE21" i="7" s="1"/>
  <c r="AZ21" i="7"/>
  <c r="AY21" i="7"/>
  <c r="AX21" i="7"/>
  <c r="BA21" i="7" s="1"/>
  <c r="AV21" i="7"/>
  <c r="AU21" i="7"/>
  <c r="AT21" i="7"/>
  <c r="AR21" i="7"/>
  <c r="AQ21" i="7"/>
  <c r="AP21" i="7"/>
  <c r="AS21" i="7" s="1"/>
  <c r="AN21" i="7"/>
  <c r="AM21" i="7"/>
  <c r="AL21" i="7"/>
  <c r="AO21" i="7" s="1"/>
  <c r="AJ21" i="7"/>
  <c r="AI21" i="7"/>
  <c r="AH21" i="7"/>
  <c r="AA21" i="7"/>
  <c r="Z21" i="7"/>
  <c r="Y21" i="7"/>
  <c r="AB21" i="7" s="1"/>
  <c r="W21" i="7"/>
  <c r="V21" i="7"/>
  <c r="U21" i="7"/>
  <c r="S21" i="7"/>
  <c r="R21" i="7"/>
  <c r="Q21" i="7"/>
  <c r="O21" i="7"/>
  <c r="N21" i="7"/>
  <c r="M21" i="7"/>
  <c r="P21" i="7" s="1"/>
  <c r="L21" i="7"/>
  <c r="K21" i="7"/>
  <c r="J21" i="7"/>
  <c r="I21" i="7"/>
  <c r="G21" i="7"/>
  <c r="F21" i="7"/>
  <c r="E21" i="7"/>
  <c r="BD20" i="7"/>
  <c r="BC20" i="7"/>
  <c r="BB20" i="7"/>
  <c r="AZ20" i="7"/>
  <c r="AY20" i="7"/>
  <c r="AX20" i="7"/>
  <c r="BA20" i="7" s="1"/>
  <c r="AV20" i="7"/>
  <c r="AU20" i="7"/>
  <c r="AT20" i="7"/>
  <c r="AW20" i="7" s="1"/>
  <c r="AR20" i="7"/>
  <c r="AQ20" i="7"/>
  <c r="AP20" i="7"/>
  <c r="AN20" i="7"/>
  <c r="AM20" i="7"/>
  <c r="AL20" i="7"/>
  <c r="AO20" i="7" s="1"/>
  <c r="AJ20" i="7"/>
  <c r="AI20" i="7"/>
  <c r="AH20" i="7"/>
  <c r="AA20" i="7"/>
  <c r="Z20" i="7"/>
  <c r="Y20" i="7"/>
  <c r="W20" i="7"/>
  <c r="V20" i="7"/>
  <c r="U20" i="7"/>
  <c r="S20" i="7"/>
  <c r="R20" i="7"/>
  <c r="Q20" i="7"/>
  <c r="O20" i="7"/>
  <c r="N20" i="7"/>
  <c r="M20" i="7"/>
  <c r="K20" i="7"/>
  <c r="J20" i="7"/>
  <c r="I20" i="7"/>
  <c r="G20" i="7"/>
  <c r="H20" i="7" s="1"/>
  <c r="F20" i="7"/>
  <c r="E20" i="7"/>
  <c r="BD19" i="7"/>
  <c r="BC19" i="7"/>
  <c r="BB19" i="7"/>
  <c r="AZ19" i="7"/>
  <c r="AY19" i="7"/>
  <c r="AX19" i="7"/>
  <c r="AV19" i="7"/>
  <c r="AU19" i="7"/>
  <c r="AT19" i="7"/>
  <c r="AR19" i="7"/>
  <c r="AQ19" i="7"/>
  <c r="AP19" i="7"/>
  <c r="AS19" i="7" s="1"/>
  <c r="AN19" i="7"/>
  <c r="AM19" i="7"/>
  <c r="AL19" i="7"/>
  <c r="AJ19" i="7"/>
  <c r="AI19" i="7"/>
  <c r="AH19" i="7"/>
  <c r="AK19" i="7" s="1"/>
  <c r="AA19" i="7"/>
  <c r="Z19" i="7"/>
  <c r="AB19" i="7" s="1"/>
  <c r="Y19" i="7"/>
  <c r="W19" i="7"/>
  <c r="V19" i="7"/>
  <c r="U19" i="7"/>
  <c r="S19" i="7"/>
  <c r="R19" i="7"/>
  <c r="Q19" i="7"/>
  <c r="T19" i="7" s="1"/>
  <c r="O19" i="7"/>
  <c r="N19" i="7"/>
  <c r="M19" i="7"/>
  <c r="K19" i="7"/>
  <c r="J19" i="7"/>
  <c r="I19" i="7"/>
  <c r="G19" i="7"/>
  <c r="F19" i="7"/>
  <c r="E19" i="7"/>
  <c r="BD18" i="7"/>
  <c r="BC18" i="7"/>
  <c r="BB18" i="7"/>
  <c r="AZ18" i="7"/>
  <c r="AY18" i="7"/>
  <c r="AX18" i="7"/>
  <c r="BA18" i="7" s="1"/>
  <c r="AV18" i="7"/>
  <c r="AU18" i="7"/>
  <c r="AT18" i="7"/>
  <c r="AR18" i="7"/>
  <c r="AQ18" i="7"/>
  <c r="AP18" i="7"/>
  <c r="AS18" i="7" s="1"/>
  <c r="AN18" i="7"/>
  <c r="AM18" i="7"/>
  <c r="AL18" i="7"/>
  <c r="AJ18" i="7"/>
  <c r="AI18" i="7"/>
  <c r="AH18" i="7"/>
  <c r="AA18" i="7"/>
  <c r="Z18" i="7"/>
  <c r="Y18" i="7"/>
  <c r="AB18" i="7" s="1"/>
  <c r="W18" i="7"/>
  <c r="V18" i="7"/>
  <c r="U18" i="7"/>
  <c r="S18" i="7"/>
  <c r="R18" i="7"/>
  <c r="Q18" i="7"/>
  <c r="T18" i="7" s="1"/>
  <c r="O18" i="7"/>
  <c r="N18" i="7"/>
  <c r="M18" i="7"/>
  <c r="P18" i="7" s="1"/>
  <c r="K18" i="7"/>
  <c r="J18" i="7"/>
  <c r="I18" i="7"/>
  <c r="G18" i="7"/>
  <c r="F18" i="7"/>
  <c r="E18" i="7"/>
  <c r="BD17" i="7"/>
  <c r="BC17" i="7"/>
  <c r="BB17" i="7"/>
  <c r="AZ17" i="7"/>
  <c r="AY17" i="7"/>
  <c r="AX17" i="7"/>
  <c r="AV17" i="7"/>
  <c r="AU17" i="7"/>
  <c r="AT17" i="7"/>
  <c r="AR17" i="7"/>
  <c r="AQ17" i="7"/>
  <c r="AP17" i="7"/>
  <c r="AN17" i="7"/>
  <c r="AM17" i="7"/>
  <c r="AL17" i="7"/>
  <c r="AJ17" i="7"/>
  <c r="AI17" i="7"/>
  <c r="AH17" i="7"/>
  <c r="AA17" i="7"/>
  <c r="AB17" i="7" s="1"/>
  <c r="Z17" i="7"/>
  <c r="Y17" i="7"/>
  <c r="W17" i="7"/>
  <c r="V17" i="7"/>
  <c r="U17" i="7"/>
  <c r="X17" i="7" s="1"/>
  <c r="S17" i="7"/>
  <c r="R17" i="7"/>
  <c r="Q17" i="7"/>
  <c r="O17" i="7"/>
  <c r="N17" i="7"/>
  <c r="M17" i="7"/>
  <c r="P17" i="7" s="1"/>
  <c r="K17" i="7"/>
  <c r="J17" i="7"/>
  <c r="I17" i="7"/>
  <c r="G17" i="7"/>
  <c r="F17" i="7"/>
  <c r="E17" i="7"/>
  <c r="BD16" i="7"/>
  <c r="BC16" i="7"/>
  <c r="BB16" i="7"/>
  <c r="BE16" i="7" s="1"/>
  <c r="AZ16" i="7"/>
  <c r="AY16" i="7"/>
  <c r="AX16" i="7"/>
  <c r="AV16" i="7"/>
  <c r="AU16" i="7"/>
  <c r="AT16" i="7"/>
  <c r="AR16" i="7"/>
  <c r="AQ16" i="7"/>
  <c r="AP16" i="7"/>
  <c r="AS16" i="7" s="1"/>
  <c r="AN16" i="7"/>
  <c r="AM16" i="7"/>
  <c r="AL16" i="7"/>
  <c r="AJ16" i="7"/>
  <c r="AI16" i="7"/>
  <c r="AH16" i="7"/>
  <c r="AK16" i="7" s="1"/>
  <c r="AA16" i="7"/>
  <c r="Z16" i="7"/>
  <c r="Y16" i="7"/>
  <c r="W16" i="7"/>
  <c r="V16" i="7"/>
  <c r="U16" i="7"/>
  <c r="S16" i="7"/>
  <c r="R16" i="7"/>
  <c r="Q16" i="7"/>
  <c r="O16" i="7"/>
  <c r="N16" i="7"/>
  <c r="M16" i="7"/>
  <c r="P16" i="7" s="1"/>
  <c r="K16" i="7"/>
  <c r="J16" i="7"/>
  <c r="I16" i="7"/>
  <c r="G16" i="7"/>
  <c r="F16" i="7"/>
  <c r="E16" i="7"/>
  <c r="BD15" i="7"/>
  <c r="BC15" i="7"/>
  <c r="BB15" i="7"/>
  <c r="AZ15" i="7"/>
  <c r="AY15" i="7"/>
  <c r="AX15" i="7"/>
  <c r="AV15" i="7"/>
  <c r="AU15" i="7"/>
  <c r="AT15" i="7"/>
  <c r="AW15" i="7" s="1"/>
  <c r="AR15" i="7"/>
  <c r="AQ15" i="7"/>
  <c r="AP15" i="7"/>
  <c r="AN15" i="7"/>
  <c r="AM15" i="7"/>
  <c r="AL15" i="7"/>
  <c r="AJ15" i="7"/>
  <c r="AI15" i="7"/>
  <c r="AH15" i="7"/>
  <c r="AK15" i="7" s="1"/>
  <c r="AA15" i="7"/>
  <c r="Z15" i="7"/>
  <c r="Y15" i="7"/>
  <c r="W15" i="7"/>
  <c r="V15" i="7"/>
  <c r="U15" i="7"/>
  <c r="X15" i="7" s="1"/>
  <c r="S15" i="7"/>
  <c r="T15" i="7" s="1"/>
  <c r="R15" i="7"/>
  <c r="Q15" i="7"/>
  <c r="O15" i="7"/>
  <c r="N15" i="7"/>
  <c r="M15" i="7"/>
  <c r="P15" i="7" s="1"/>
  <c r="K15" i="7"/>
  <c r="J15" i="7"/>
  <c r="I15" i="7"/>
  <c r="G15" i="7"/>
  <c r="F15" i="7"/>
  <c r="E15" i="7"/>
  <c r="BD14" i="7"/>
  <c r="BC14" i="7"/>
  <c r="BB14" i="7"/>
  <c r="BE14" i="7" s="1"/>
  <c r="AZ14" i="7"/>
  <c r="AY14" i="7"/>
  <c r="AX14" i="7"/>
  <c r="AV14" i="7"/>
  <c r="AU14" i="7"/>
  <c r="AT14" i="7"/>
  <c r="AR14" i="7"/>
  <c r="AQ14" i="7"/>
  <c r="AP14" i="7"/>
  <c r="AN14" i="7"/>
  <c r="AO14" i="7" s="1"/>
  <c r="AM14" i="7"/>
  <c r="AL14" i="7"/>
  <c r="AJ14" i="7"/>
  <c r="AI14" i="7"/>
  <c r="AH14" i="7"/>
  <c r="AA14" i="7"/>
  <c r="Z14" i="7"/>
  <c r="Y14" i="7"/>
  <c r="W14" i="7"/>
  <c r="V14" i="7"/>
  <c r="U14" i="7"/>
  <c r="S14" i="7"/>
  <c r="R14" i="7"/>
  <c r="Q14" i="7"/>
  <c r="T14" i="7" s="1"/>
  <c r="O14" i="7"/>
  <c r="N14" i="7"/>
  <c r="M14" i="7"/>
  <c r="K14" i="7"/>
  <c r="J14" i="7"/>
  <c r="I14" i="7"/>
  <c r="G14" i="7"/>
  <c r="F14" i="7"/>
  <c r="E14" i="7"/>
  <c r="BD13" i="7"/>
  <c r="BC13" i="7"/>
  <c r="BB13" i="7"/>
  <c r="AZ13" i="7"/>
  <c r="AY13" i="7"/>
  <c r="AX13" i="7"/>
  <c r="BA13" i="7" s="1"/>
  <c r="AV13" i="7"/>
  <c r="AU13" i="7"/>
  <c r="AT13" i="7"/>
  <c r="AR13" i="7"/>
  <c r="AQ13" i="7"/>
  <c r="AP13" i="7"/>
  <c r="AS13" i="7" s="1"/>
  <c r="AN13" i="7"/>
  <c r="AM13" i="7"/>
  <c r="AL13" i="7"/>
  <c r="AO13" i="7" s="1"/>
  <c r="AJ13" i="7"/>
  <c r="AI13" i="7"/>
  <c r="AH13" i="7"/>
  <c r="AA13" i="7"/>
  <c r="Z13" i="7"/>
  <c r="Y13" i="7"/>
  <c r="W13" i="7"/>
  <c r="V13" i="7"/>
  <c r="U13" i="7"/>
  <c r="S13" i="7"/>
  <c r="R13" i="7"/>
  <c r="T13" i="7" s="1"/>
  <c r="Q13" i="7"/>
  <c r="O13" i="7"/>
  <c r="N13" i="7"/>
  <c r="M13" i="7"/>
  <c r="K13" i="7"/>
  <c r="J13" i="7"/>
  <c r="I13" i="7"/>
  <c r="G13" i="7"/>
  <c r="F13" i="7"/>
  <c r="E13" i="7"/>
  <c r="BD12" i="7"/>
  <c r="BC12" i="7"/>
  <c r="BB12" i="7"/>
  <c r="AZ12" i="7"/>
  <c r="AY12" i="7"/>
  <c r="AX12" i="7"/>
  <c r="AV12" i="7"/>
  <c r="AU12" i="7"/>
  <c r="AT12" i="7"/>
  <c r="AR12" i="7"/>
  <c r="AQ12" i="7"/>
  <c r="AP12" i="7"/>
  <c r="AN12" i="7"/>
  <c r="AM12" i="7"/>
  <c r="AL12" i="7"/>
  <c r="AJ12" i="7"/>
  <c r="AI12" i="7"/>
  <c r="AH12" i="7"/>
  <c r="AK12" i="7" s="1"/>
  <c r="AA12" i="7"/>
  <c r="Z12" i="7"/>
  <c r="Y12" i="7"/>
  <c r="W12" i="7"/>
  <c r="V12" i="7"/>
  <c r="U12" i="7"/>
  <c r="X12" i="7" s="1"/>
  <c r="S12" i="7"/>
  <c r="R12" i="7"/>
  <c r="Q12" i="7"/>
  <c r="O12" i="7"/>
  <c r="N12" i="7"/>
  <c r="M12" i="7"/>
  <c r="K12" i="7"/>
  <c r="J12" i="7"/>
  <c r="I12" i="7"/>
  <c r="G12" i="7"/>
  <c r="F12" i="7"/>
  <c r="E12" i="7"/>
  <c r="BD11" i="7"/>
  <c r="BC11" i="7"/>
  <c r="BE11" i="7" s="1"/>
  <c r="BB11" i="7"/>
  <c r="AZ11" i="7"/>
  <c r="AY11" i="7"/>
  <c r="AX11" i="7"/>
  <c r="BA11" i="7" s="1"/>
  <c r="AV11" i="7"/>
  <c r="AU11" i="7"/>
  <c r="AT11" i="7"/>
  <c r="AR11" i="7"/>
  <c r="AQ11" i="7"/>
  <c r="AP11" i="7"/>
  <c r="AS11" i="7" s="1"/>
  <c r="AN11" i="7"/>
  <c r="AM11" i="7"/>
  <c r="AL11" i="7"/>
  <c r="AJ11" i="7"/>
  <c r="AI11" i="7"/>
  <c r="AH11" i="7"/>
  <c r="AA11" i="7"/>
  <c r="Z11" i="7"/>
  <c r="Y11" i="7"/>
  <c r="AB11" i="7" s="1"/>
  <c r="W11" i="7"/>
  <c r="V11" i="7"/>
  <c r="U11" i="7"/>
  <c r="S11" i="7"/>
  <c r="R11" i="7"/>
  <c r="Q11" i="7"/>
  <c r="O11" i="7"/>
  <c r="N11" i="7"/>
  <c r="M11" i="7"/>
  <c r="K11" i="7"/>
  <c r="J11" i="7"/>
  <c r="I11" i="7"/>
  <c r="G11" i="7"/>
  <c r="F11" i="7"/>
  <c r="E11" i="7"/>
  <c r="BD10" i="7"/>
  <c r="BC10" i="7"/>
  <c r="BB10" i="7"/>
  <c r="AZ10" i="7"/>
  <c r="AY10" i="7"/>
  <c r="AX10" i="7"/>
  <c r="AV10" i="7"/>
  <c r="AU10" i="7"/>
  <c r="AT10" i="7"/>
  <c r="AR10" i="7"/>
  <c r="AQ10" i="7"/>
  <c r="AP10" i="7"/>
  <c r="AN10" i="7"/>
  <c r="AM10" i="7"/>
  <c r="AL10" i="7"/>
  <c r="AJ10" i="7"/>
  <c r="AI10" i="7"/>
  <c r="AH10" i="7"/>
  <c r="AK10" i="7" s="1"/>
  <c r="AA10" i="7"/>
  <c r="Z10" i="7"/>
  <c r="Y10" i="7"/>
  <c r="W10" i="7"/>
  <c r="V10" i="7"/>
  <c r="U10" i="7"/>
  <c r="X10" i="7" s="1"/>
  <c r="S10" i="7"/>
  <c r="R10" i="7"/>
  <c r="Q10" i="7"/>
  <c r="O10" i="7"/>
  <c r="N10" i="7"/>
  <c r="M10" i="7"/>
  <c r="K10" i="7"/>
  <c r="J10" i="7"/>
  <c r="I10" i="7"/>
  <c r="G10" i="7"/>
  <c r="F10" i="7"/>
  <c r="E10" i="7"/>
  <c r="BD9" i="7"/>
  <c r="BC9" i="7"/>
  <c r="BB9" i="7"/>
  <c r="AZ9" i="7"/>
  <c r="AY9" i="7"/>
  <c r="AX9" i="7"/>
  <c r="BA9" i="7" s="1"/>
  <c r="AV9" i="7"/>
  <c r="AW9" i="7" s="1"/>
  <c r="AU9" i="7"/>
  <c r="AT9" i="7"/>
  <c r="AR9" i="7"/>
  <c r="AQ9" i="7"/>
  <c r="AP9" i="7"/>
  <c r="AS9" i="7" s="1"/>
  <c r="AN9" i="7"/>
  <c r="AM9" i="7"/>
  <c r="AL9" i="7"/>
  <c r="AJ9" i="7"/>
  <c r="AI9" i="7"/>
  <c r="AH9" i="7"/>
  <c r="AA9" i="7"/>
  <c r="Z9" i="7"/>
  <c r="Y9" i="7"/>
  <c r="AB9" i="7" s="1"/>
  <c r="W9" i="7"/>
  <c r="V9" i="7"/>
  <c r="U9" i="7"/>
  <c r="S9" i="7"/>
  <c r="R9" i="7"/>
  <c r="Q9" i="7"/>
  <c r="T9" i="7" s="1"/>
  <c r="O9" i="7"/>
  <c r="N9" i="7"/>
  <c r="M9" i="7"/>
  <c r="K9" i="7"/>
  <c r="J9" i="7"/>
  <c r="I9" i="7"/>
  <c r="G9" i="7"/>
  <c r="F9" i="7"/>
  <c r="E9" i="7"/>
  <c r="BE8" i="7"/>
  <c r="BD8" i="7"/>
  <c r="BC8" i="7"/>
  <c r="BB8" i="7"/>
  <c r="AZ8" i="7"/>
  <c r="AY8" i="7"/>
  <c r="AX8" i="7"/>
  <c r="BA8" i="7" s="1"/>
  <c r="AV8" i="7"/>
  <c r="AW8" i="7" s="1"/>
  <c r="AU8" i="7"/>
  <c r="AT8" i="7"/>
  <c r="AR8" i="7"/>
  <c r="AQ8" i="7"/>
  <c r="AP8" i="7"/>
  <c r="AS8" i="7" s="1"/>
  <c r="AN8" i="7"/>
  <c r="AM8" i="7"/>
  <c r="AO8" i="7" s="1"/>
  <c r="AL8" i="7"/>
  <c r="AJ8" i="7"/>
  <c r="AI8" i="7"/>
  <c r="AH8" i="7"/>
  <c r="AK8" i="7" s="1"/>
  <c r="AA8" i="7"/>
  <c r="Z8" i="7"/>
  <c r="Y8" i="7"/>
  <c r="W8" i="7"/>
  <c r="V8" i="7"/>
  <c r="U8" i="7"/>
  <c r="S8" i="7"/>
  <c r="R8" i="7"/>
  <c r="Q8" i="7"/>
  <c r="T8" i="7" s="1"/>
  <c r="O8" i="7"/>
  <c r="N8" i="7"/>
  <c r="M8" i="7"/>
  <c r="P8" i="7" s="1"/>
  <c r="K8" i="7"/>
  <c r="J8" i="7"/>
  <c r="I8" i="7"/>
  <c r="G8" i="7"/>
  <c r="F8" i="7"/>
  <c r="E8" i="7"/>
  <c r="BD7" i="7"/>
  <c r="BC7" i="7"/>
  <c r="BB7" i="7"/>
  <c r="AZ7" i="7"/>
  <c r="BA7" i="7" s="1"/>
  <c r="AY7" i="7"/>
  <c r="AX7" i="7"/>
  <c r="AV7" i="7"/>
  <c r="AU7" i="7"/>
  <c r="AT7" i="7"/>
  <c r="AW7" i="7" s="1"/>
  <c r="AR7" i="7"/>
  <c r="AS7" i="7" s="1"/>
  <c r="AQ7" i="7"/>
  <c r="AP7" i="7"/>
  <c r="AN7" i="7"/>
  <c r="AM7" i="7"/>
  <c r="AL7" i="7"/>
  <c r="AO7" i="7" s="1"/>
  <c r="AJ7" i="7"/>
  <c r="AI7" i="7"/>
  <c r="AH7" i="7"/>
  <c r="AA7" i="7"/>
  <c r="Z7" i="7"/>
  <c r="Y7" i="7"/>
  <c r="W7" i="7"/>
  <c r="V7" i="7"/>
  <c r="U7" i="7"/>
  <c r="X7" i="7" s="1"/>
  <c r="S7" i="7"/>
  <c r="R7" i="7"/>
  <c r="Q7" i="7"/>
  <c r="O7" i="7"/>
  <c r="N7" i="7"/>
  <c r="M7" i="7"/>
  <c r="K7" i="7"/>
  <c r="J7" i="7"/>
  <c r="I7" i="7"/>
  <c r="L7" i="7" s="1"/>
  <c r="G7" i="7"/>
  <c r="F7" i="7"/>
  <c r="E7" i="7"/>
  <c r="BD6" i="7"/>
  <c r="BC6" i="7"/>
  <c r="BB6" i="7"/>
  <c r="AZ6" i="7"/>
  <c r="AY6" i="7"/>
  <c r="AX6" i="7"/>
  <c r="AV6" i="7"/>
  <c r="AU6" i="7"/>
  <c r="AT6" i="7"/>
  <c r="AR6" i="7"/>
  <c r="AQ6" i="7"/>
  <c r="AP6" i="7"/>
  <c r="AN6" i="7"/>
  <c r="AM6" i="7"/>
  <c r="AL6" i="7"/>
  <c r="AJ6" i="7"/>
  <c r="AI6" i="7"/>
  <c r="AH6" i="7"/>
  <c r="AA6" i="7"/>
  <c r="Z6" i="7"/>
  <c r="Y6" i="7"/>
  <c r="W6" i="7"/>
  <c r="V6" i="7"/>
  <c r="U6" i="7"/>
  <c r="S6" i="7"/>
  <c r="R6" i="7"/>
  <c r="Q6" i="7"/>
  <c r="O6" i="7"/>
  <c r="N6" i="7"/>
  <c r="M6" i="7"/>
  <c r="K6" i="7"/>
  <c r="J6" i="7"/>
  <c r="I6" i="7"/>
  <c r="G6" i="7"/>
  <c r="F6" i="7"/>
  <c r="E6" i="7"/>
  <c r="BD5" i="7"/>
  <c r="BC5" i="7"/>
  <c r="BB5" i="7"/>
  <c r="AZ5" i="7"/>
  <c r="BA5" i="7" s="1"/>
  <c r="AY5" i="7"/>
  <c r="AX5" i="7"/>
  <c r="AV5" i="7"/>
  <c r="AU5" i="7"/>
  <c r="AT5" i="7"/>
  <c r="AW5" i="7" s="1"/>
  <c r="AR5" i="7"/>
  <c r="AS5" i="7" s="1"/>
  <c r="AQ5" i="7"/>
  <c r="AP5" i="7"/>
  <c r="AN5" i="7"/>
  <c r="AM5" i="7"/>
  <c r="AL5" i="7"/>
  <c r="AO5" i="7" s="1"/>
  <c r="AJ5" i="7"/>
  <c r="AI5" i="7"/>
  <c r="AH5" i="7"/>
  <c r="AA5" i="7"/>
  <c r="Z5" i="7"/>
  <c r="Y5" i="7"/>
  <c r="W5" i="7"/>
  <c r="V5" i="7"/>
  <c r="U5" i="7"/>
  <c r="X5" i="7" s="1"/>
  <c r="S5" i="7"/>
  <c r="R5" i="7"/>
  <c r="Q5" i="7"/>
  <c r="O5" i="7"/>
  <c r="N5" i="7"/>
  <c r="M5" i="7"/>
  <c r="K5" i="7"/>
  <c r="J5" i="7"/>
  <c r="I5" i="7"/>
  <c r="L5" i="7" s="1"/>
  <c r="G5" i="7"/>
  <c r="F5" i="7"/>
  <c r="E5" i="7"/>
  <c r="BD4" i="7"/>
  <c r="BC4" i="7"/>
  <c r="BB4" i="7"/>
  <c r="AZ4" i="7"/>
  <c r="AY4" i="7"/>
  <c r="AX4" i="7"/>
  <c r="BA4" i="7" s="1"/>
  <c r="AV4" i="7"/>
  <c r="AU4" i="7"/>
  <c r="AT4" i="7"/>
  <c r="AR4" i="7"/>
  <c r="AQ4" i="7"/>
  <c r="AP4" i="7"/>
  <c r="AS4" i="7" s="1"/>
  <c r="AN4" i="7"/>
  <c r="AM4" i="7"/>
  <c r="AL4" i="7"/>
  <c r="AJ4" i="7"/>
  <c r="AI4" i="7"/>
  <c r="AH4" i="7"/>
  <c r="AA4" i="7"/>
  <c r="Z4" i="7"/>
  <c r="Y4" i="7"/>
  <c r="AB4" i="7" s="1"/>
  <c r="W4" i="7"/>
  <c r="V4" i="7"/>
  <c r="U4" i="7"/>
  <c r="S4" i="7"/>
  <c r="R4" i="7"/>
  <c r="Q4" i="7"/>
  <c r="T4" i="7" s="1"/>
  <c r="O4" i="7"/>
  <c r="N4" i="7"/>
  <c r="M4" i="7"/>
  <c r="P4" i="7" s="1"/>
  <c r="K4" i="7"/>
  <c r="J4" i="7"/>
  <c r="I4" i="7"/>
  <c r="G4" i="7"/>
  <c r="F4" i="7"/>
  <c r="E4" i="7"/>
  <c r="BD3" i="7"/>
  <c r="BC3" i="7"/>
  <c r="BB3" i="7"/>
  <c r="AZ3" i="7"/>
  <c r="BA3" i="7" s="1"/>
  <c r="AY3" i="7"/>
  <c r="AX3" i="7"/>
  <c r="AV3" i="7"/>
  <c r="AU3" i="7"/>
  <c r="AT3" i="7"/>
  <c r="AW3" i="7" s="1"/>
  <c r="AR3" i="7"/>
  <c r="AS3" i="7" s="1"/>
  <c r="AQ3" i="7"/>
  <c r="AP3" i="7"/>
  <c r="AN3" i="7"/>
  <c r="AM3" i="7"/>
  <c r="AL3" i="7"/>
  <c r="AO3" i="7" s="1"/>
  <c r="AJ3" i="7"/>
  <c r="AI3" i="7"/>
  <c r="AH3" i="7"/>
  <c r="AA3" i="7"/>
  <c r="Z3" i="7"/>
  <c r="Y3" i="7"/>
  <c r="W3" i="7"/>
  <c r="V3" i="7"/>
  <c r="U3" i="7"/>
  <c r="X3" i="7" s="1"/>
  <c r="S3" i="7"/>
  <c r="R3" i="7"/>
  <c r="Q3" i="7"/>
  <c r="O3" i="7"/>
  <c r="N3" i="7"/>
  <c r="M3" i="7"/>
  <c r="K3" i="7"/>
  <c r="J3" i="7"/>
  <c r="I3" i="7"/>
  <c r="L3" i="7" s="1"/>
  <c r="G3" i="7"/>
  <c r="F3" i="7"/>
  <c r="E3" i="7"/>
  <c r="BD2" i="7"/>
  <c r="BC2" i="7"/>
  <c r="BB2" i="7"/>
  <c r="AZ2" i="7"/>
  <c r="AY2" i="7"/>
  <c r="AX2" i="7"/>
  <c r="BA2" i="7" s="1"/>
  <c r="AV2" i="7"/>
  <c r="AU2" i="7"/>
  <c r="AT2" i="7"/>
  <c r="AR2" i="7"/>
  <c r="AQ2" i="7"/>
  <c r="AP2" i="7"/>
  <c r="AS2" i="7" s="1"/>
  <c r="AN2" i="7"/>
  <c r="AM2" i="7"/>
  <c r="AL2" i="7"/>
  <c r="AJ2" i="7"/>
  <c r="AI2" i="7"/>
  <c r="AH2" i="7"/>
  <c r="AA2" i="7"/>
  <c r="Z2" i="7"/>
  <c r="Y2" i="7"/>
  <c r="AB2" i="7" s="1"/>
  <c r="W2" i="7"/>
  <c r="V2" i="7"/>
  <c r="U2" i="7"/>
  <c r="S2" i="7"/>
  <c r="R2" i="7"/>
  <c r="Q2" i="7"/>
  <c r="T2" i="7" s="1"/>
  <c r="O2" i="7"/>
  <c r="N2" i="7"/>
  <c r="M2" i="7"/>
  <c r="P2" i="7" s="1"/>
  <c r="K2" i="7"/>
  <c r="J2" i="7"/>
  <c r="I2" i="7"/>
  <c r="G2" i="7"/>
  <c r="F2" i="7"/>
  <c r="E2" i="7"/>
  <c r="BE1" i="7"/>
  <c r="BA1" i="7"/>
  <c r="AW1" i="7"/>
  <c r="AS1" i="7"/>
  <c r="AO1" i="7"/>
  <c r="AK1" i="7"/>
  <c r="AB1" i="7"/>
  <c r="X1" i="7"/>
  <c r="T1" i="7"/>
  <c r="P1" i="7"/>
  <c r="L1" i="7"/>
  <c r="H1" i="7"/>
  <c r="P6" i="7" l="1"/>
  <c r="BA6" i="7"/>
  <c r="AB6" i="7"/>
  <c r="AS6" i="7"/>
  <c r="L12" i="7"/>
  <c r="L14" i="7"/>
  <c r="L20" i="7"/>
  <c r="L87" i="7"/>
  <c r="L83" i="7"/>
  <c r="L67" i="7"/>
  <c r="L100" i="7"/>
  <c r="L36" i="7"/>
  <c r="AC36" i="7" s="1"/>
  <c r="AD36" i="7" s="1"/>
  <c r="L48" i="7"/>
  <c r="L59" i="7"/>
  <c r="L88" i="7"/>
  <c r="L78" i="7"/>
  <c r="L68" i="7"/>
  <c r="L93" i="7"/>
  <c r="L94" i="7"/>
  <c r="L71" i="7"/>
  <c r="L62" i="7"/>
  <c r="H91" i="7"/>
  <c r="H78" i="7"/>
  <c r="H68" i="7"/>
  <c r="H33" i="7"/>
  <c r="H52" i="7"/>
  <c r="H56" i="7"/>
  <c r="H76" i="7"/>
  <c r="H72" i="7"/>
  <c r="H64" i="7"/>
  <c r="H2" i="7"/>
  <c r="H87" i="7"/>
  <c r="H32" i="7"/>
  <c r="H36" i="7"/>
  <c r="H101" i="7"/>
  <c r="H88" i="7"/>
  <c r="H97" i="7"/>
  <c r="AC97" i="7" s="1"/>
  <c r="AD97" i="7" s="1"/>
  <c r="H96" i="7"/>
  <c r="AC96" i="7" s="1"/>
  <c r="AD96" i="7" s="1"/>
  <c r="T6" i="7"/>
  <c r="L22" i="7"/>
  <c r="L28" i="7"/>
  <c r="L30" i="7"/>
  <c r="L95" i="7"/>
  <c r="L81" i="7"/>
  <c r="L69" i="7"/>
  <c r="L101" i="7"/>
  <c r="L38" i="7"/>
  <c r="L89" i="7"/>
  <c r="L75" i="7"/>
  <c r="L70" i="7"/>
  <c r="L17" i="7"/>
  <c r="L91" i="7"/>
  <c r="AC91" i="7" s="1"/>
  <c r="AD91" i="7" s="1"/>
  <c r="AC88" i="7"/>
  <c r="AD88" i="7" s="1"/>
  <c r="L72" i="7"/>
  <c r="L63" i="7"/>
  <c r="L23" i="7"/>
  <c r="L25" i="7"/>
  <c r="L31" i="7"/>
  <c r="L73" i="7"/>
  <c r="L65" i="7"/>
  <c r="L54" i="7"/>
  <c r="L56" i="7"/>
  <c r="L80" i="7"/>
  <c r="L77" i="7"/>
  <c r="L99" i="7"/>
  <c r="AC99" i="7" s="1"/>
  <c r="AD99" i="7" s="1"/>
  <c r="L39" i="7"/>
  <c r="H53" i="7"/>
  <c r="H100" i="7"/>
  <c r="AC100" i="7" s="1"/>
  <c r="AD100" i="7" s="1"/>
  <c r="H13" i="7"/>
  <c r="H21" i="7"/>
  <c r="H90" i="7"/>
  <c r="AC90" i="7" s="1"/>
  <c r="AD90" i="7" s="1"/>
  <c r="H70" i="7"/>
  <c r="H23" i="7"/>
  <c r="H25" i="7"/>
  <c r="H27" i="7"/>
  <c r="H29" i="7"/>
  <c r="H82" i="7"/>
  <c r="H62" i="7"/>
  <c r="AC62" i="7" s="1"/>
  <c r="AD62" i="7" s="1"/>
  <c r="H50" i="7"/>
  <c r="H4" i="7"/>
  <c r="H6" i="7"/>
  <c r="H8" i="7"/>
  <c r="H37" i="7"/>
  <c r="H86" i="7"/>
  <c r="H65" i="7"/>
  <c r="H16" i="7"/>
  <c r="H43" i="7"/>
  <c r="H58" i="7"/>
  <c r="H94" i="7"/>
  <c r="AC94" i="7" s="1"/>
  <c r="AD94" i="7" s="1"/>
  <c r="H80" i="7"/>
  <c r="H77" i="7"/>
  <c r="H66" i="7"/>
  <c r="H14" i="7"/>
  <c r="H24" i="7"/>
  <c r="H26" i="7"/>
  <c r="H30" i="7"/>
  <c r="H60" i="7"/>
  <c r="H74" i="7"/>
  <c r="H98" i="7"/>
  <c r="AC98" i="7" s="1"/>
  <c r="AD98" i="7" s="1"/>
  <c r="BF98" i="7"/>
  <c r="BG98" i="7" s="1"/>
  <c r="BF99" i="7"/>
  <c r="BG99" i="7" s="1"/>
  <c r="BF100" i="7"/>
  <c r="BG100" i="7" s="1"/>
  <c r="BF101" i="7"/>
  <c r="BG101" i="7" s="1"/>
  <c r="BF96" i="7"/>
  <c r="BG96" i="7" s="1"/>
  <c r="AC101" i="7"/>
  <c r="AD101" i="7" s="1"/>
  <c r="AC95" i="7"/>
  <c r="AD95" i="7" s="1"/>
  <c r="AC92" i="7"/>
  <c r="AD92" i="7" s="1"/>
  <c r="BF89" i="7"/>
  <c r="BG89" i="7" s="1"/>
  <c r="AC87" i="7"/>
  <c r="AD87" i="7" s="1"/>
  <c r="AC89" i="7"/>
  <c r="AD89" i="7" s="1"/>
  <c r="BF92" i="7"/>
  <c r="BG92" i="7" s="1"/>
  <c r="BF81" i="7"/>
  <c r="BG81" i="7" s="1"/>
  <c r="BF93" i="7"/>
  <c r="BG93" i="7" s="1"/>
  <c r="BF94" i="7"/>
  <c r="BG94" i="7" s="1"/>
  <c r="BF87" i="7"/>
  <c r="BG87" i="7" s="1"/>
  <c r="BF86" i="7"/>
  <c r="BG86" i="7" s="1"/>
  <c r="BF95" i="7"/>
  <c r="BG95" i="7" s="1"/>
  <c r="AC93" i="7"/>
  <c r="AD93" i="7" s="1"/>
  <c r="BF85" i="7"/>
  <c r="BG85" i="7" s="1"/>
  <c r="BF83" i="7"/>
  <c r="BG83" i="7" s="1"/>
  <c r="BF91" i="7"/>
  <c r="BG91" i="7" s="1"/>
  <c r="BF84" i="7"/>
  <c r="BG84" i="7" s="1"/>
  <c r="BF88" i="7"/>
  <c r="BG88" i="7" s="1"/>
  <c r="BF78" i="7"/>
  <c r="BG78" i="7" s="1"/>
  <c r="BF73" i="7"/>
  <c r="BG73" i="7" s="1"/>
  <c r="P85" i="7"/>
  <c r="L84" i="7"/>
  <c r="H83" i="7"/>
  <c r="AC83" i="7" s="1"/>
  <c r="AD83" i="7" s="1"/>
  <c r="T82" i="7"/>
  <c r="P79" i="7"/>
  <c r="AB78" i="7"/>
  <c r="T74" i="7"/>
  <c r="H63" i="7"/>
  <c r="AB62" i="7"/>
  <c r="P83" i="7"/>
  <c r="AO82" i="7"/>
  <c r="BF82" i="7" s="1"/>
  <c r="BG82" i="7" s="1"/>
  <c r="AB82" i="7"/>
  <c r="T81" i="7"/>
  <c r="AK79" i="7"/>
  <c r="BF79" i="7" s="1"/>
  <c r="BG79" i="7" s="1"/>
  <c r="X79" i="7"/>
  <c r="BE78" i="7"/>
  <c r="AB77" i="7"/>
  <c r="H75" i="7"/>
  <c r="AB74" i="7"/>
  <c r="H67" i="7"/>
  <c r="AC67" i="7" s="1"/>
  <c r="AD67" i="7" s="1"/>
  <c r="AB66" i="7"/>
  <c r="BF62" i="7"/>
  <c r="BG62" i="7" s="1"/>
  <c r="X85" i="7"/>
  <c r="T84" i="7"/>
  <c r="L85" i="7"/>
  <c r="H84" i="7"/>
  <c r="AW82" i="7"/>
  <c r="P82" i="7"/>
  <c r="H81" i="7"/>
  <c r="T80" i="7"/>
  <c r="AS79" i="7"/>
  <c r="L79" i="7"/>
  <c r="X78" i="7"/>
  <c r="AC78" i="7" s="1"/>
  <c r="AD78" i="7" s="1"/>
  <c r="P77" i="7"/>
  <c r="H73" i="7"/>
  <c r="AC73" i="7" s="1"/>
  <c r="AD73" i="7" s="1"/>
  <c r="AB72" i="7"/>
  <c r="H71" i="7"/>
  <c r="AB70" i="7"/>
  <c r="AC70" i="7" s="1"/>
  <c r="AD70" i="7" s="1"/>
  <c r="H69" i="7"/>
  <c r="AB68" i="7"/>
  <c r="AC68" i="7" s="1"/>
  <c r="AD68" i="7" s="1"/>
  <c r="P65" i="7"/>
  <c r="BF64" i="7"/>
  <c r="BG64" i="7" s="1"/>
  <c r="L86" i="7"/>
  <c r="AB84" i="7"/>
  <c r="BF74" i="7"/>
  <c r="BG74" i="7" s="1"/>
  <c r="BF66" i="7"/>
  <c r="BG66" i="7" s="1"/>
  <c r="T85" i="7"/>
  <c r="P84" i="7"/>
  <c r="P81" i="7"/>
  <c r="AB80" i="7"/>
  <c r="X77" i="7"/>
  <c r="L76" i="7"/>
  <c r="P73" i="7"/>
  <c r="BF72" i="7"/>
  <c r="BG72" i="7" s="1"/>
  <c r="P71" i="7"/>
  <c r="BF70" i="7"/>
  <c r="BG70" i="7" s="1"/>
  <c r="P69" i="7"/>
  <c r="BF68" i="7"/>
  <c r="BG68" i="7" s="1"/>
  <c r="X65" i="7"/>
  <c r="L64" i="7"/>
  <c r="H85" i="7"/>
  <c r="L82" i="7"/>
  <c r="AC82" i="7" s="1"/>
  <c r="AD82" i="7" s="1"/>
  <c r="AW80" i="7"/>
  <c r="BF80" i="7" s="1"/>
  <c r="BG80" i="7" s="1"/>
  <c r="P80" i="7"/>
  <c r="H79" i="7"/>
  <c r="T78" i="7"/>
  <c r="AS77" i="7"/>
  <c r="BF77" i="7" s="1"/>
  <c r="BG77" i="7" s="1"/>
  <c r="X75" i="7"/>
  <c r="L74" i="7"/>
  <c r="X67" i="7"/>
  <c r="L66" i="7"/>
  <c r="T62" i="7"/>
  <c r="AO11" i="7"/>
  <c r="H3" i="7"/>
  <c r="X4" i="7"/>
  <c r="H5" i="7"/>
  <c r="AC5" i="7" s="1"/>
  <c r="AD5" i="7" s="1"/>
  <c r="X6" i="7"/>
  <c r="H7" i="7"/>
  <c r="AC7" i="7" s="1"/>
  <c r="AD7" i="7" s="1"/>
  <c r="AW2" i="7"/>
  <c r="T3" i="7"/>
  <c r="BE3" i="7"/>
  <c r="AW4" i="7"/>
  <c r="T5" i="7"/>
  <c r="BE5" i="7"/>
  <c r="BF5" i="7" s="1"/>
  <c r="BG5" i="7" s="1"/>
  <c r="AW6" i="7"/>
  <c r="T7" i="7"/>
  <c r="BE7" i="7"/>
  <c r="P9" i="7"/>
  <c r="AW11" i="7"/>
  <c r="H12" i="7"/>
  <c r="AS12" i="7"/>
  <c r="BF12" i="7" s="1"/>
  <c r="BG12" i="7" s="1"/>
  <c r="BE15" i="7"/>
  <c r="AO16" i="7"/>
  <c r="T17" i="7"/>
  <c r="BE17" i="7"/>
  <c r="X18" i="7"/>
  <c r="H19" i="7"/>
  <c r="BA19" i="7"/>
  <c r="AK20" i="7"/>
  <c r="BF20" i="7" s="1"/>
  <c r="BG20" i="7" s="1"/>
  <c r="AW24" i="7"/>
  <c r="AB25" i="7"/>
  <c r="L26" i="7"/>
  <c r="P27" i="7"/>
  <c r="T31" i="7"/>
  <c r="AS31" i="7"/>
  <c r="AW33" i="7"/>
  <c r="H34" i="7"/>
  <c r="AC34" i="7" s="1"/>
  <c r="AD34" i="7" s="1"/>
  <c r="BA34" i="7"/>
  <c r="L35" i="7"/>
  <c r="X36" i="7"/>
  <c r="AK36" i="7"/>
  <c r="AO38" i="7"/>
  <c r="H41" i="7"/>
  <c r="X42" i="7"/>
  <c r="AO45" i="7"/>
  <c r="BF45" i="7" s="1"/>
  <c r="BG45" i="7" s="1"/>
  <c r="AB46" i="7"/>
  <c r="T49" i="7"/>
  <c r="AO50" i="7"/>
  <c r="L52" i="7"/>
  <c r="AW52" i="7"/>
  <c r="BE54" i="7"/>
  <c r="AO55" i="7"/>
  <c r="AB56" i="7"/>
  <c r="L57" i="7"/>
  <c r="BE57" i="7"/>
  <c r="AO58" i="7"/>
  <c r="L60" i="7"/>
  <c r="AW60" i="7"/>
  <c r="AB61" i="7"/>
  <c r="AO9" i="7"/>
  <c r="AS34" i="7"/>
  <c r="AS39" i="7"/>
  <c r="BE12" i="7"/>
  <c r="L15" i="7"/>
  <c r="X23" i="7"/>
  <c r="X24" i="7"/>
  <c r="AW35" i="7"/>
  <c r="H38" i="7"/>
  <c r="AK49" i="7"/>
  <c r="BF56" i="7"/>
  <c r="BG56" i="7" s="1"/>
  <c r="AO4" i="7"/>
  <c r="AK5" i="7"/>
  <c r="AW10" i="7"/>
  <c r="X20" i="7"/>
  <c r="BA32" i="7"/>
  <c r="AK34" i="7"/>
  <c r="BF34" i="7" s="1"/>
  <c r="BG34" i="7" s="1"/>
  <c r="BA36" i="7"/>
  <c r="AK51" i="7"/>
  <c r="AB34" i="7"/>
  <c r="AS51" i="7"/>
  <c r="AK7" i="7"/>
  <c r="P3" i="7"/>
  <c r="AK4" i="7"/>
  <c r="P5" i="7"/>
  <c r="AK6" i="7"/>
  <c r="P7" i="7"/>
  <c r="BF8" i="7"/>
  <c r="BG8" i="7" s="1"/>
  <c r="AK9" i="7"/>
  <c r="P10" i="7"/>
  <c r="BA10" i="7"/>
  <c r="AW12" i="7"/>
  <c r="AB13" i="7"/>
  <c r="BE13" i="7"/>
  <c r="X14" i="7"/>
  <c r="BA15" i="7"/>
  <c r="H18" i="7"/>
  <c r="L19" i="7"/>
  <c r="AW19" i="7"/>
  <c r="AB20" i="7"/>
  <c r="X25" i="7"/>
  <c r="X30" i="7"/>
  <c r="L33" i="7"/>
  <c r="AC33" i="7" s="1"/>
  <c r="AD33" i="7" s="1"/>
  <c r="L34" i="7"/>
  <c r="X34" i="7"/>
  <c r="AO35" i="7"/>
  <c r="L37" i="7"/>
  <c r="BE40" i="7"/>
  <c r="AS42" i="7"/>
  <c r="BF42" i="7" s="1"/>
  <c r="BG42" i="7" s="1"/>
  <c r="BA47" i="7"/>
  <c r="X48" i="7"/>
  <c r="AS60" i="7"/>
  <c r="AO2" i="7"/>
  <c r="AO6" i="7"/>
  <c r="AB30" i="7"/>
  <c r="AO33" i="7"/>
  <c r="P37" i="7"/>
  <c r="AS41" i="7"/>
  <c r="AW42" i="7"/>
  <c r="AK3" i="7"/>
  <c r="AK2" i="7"/>
  <c r="L2" i="7"/>
  <c r="BE2" i="7"/>
  <c r="BF2" i="7" s="1"/>
  <c r="BG2" i="7" s="1"/>
  <c r="AB3" i="7"/>
  <c r="AC3" i="7" s="1"/>
  <c r="AD3" i="7" s="1"/>
  <c r="L4" i="7"/>
  <c r="AC4" i="7" s="1"/>
  <c r="AD4" i="7" s="1"/>
  <c r="BE4" i="7"/>
  <c r="AB5" i="7"/>
  <c r="L6" i="7"/>
  <c r="BE6" i="7"/>
  <c r="AB7" i="7"/>
  <c r="L8" i="7"/>
  <c r="BE9" i="7"/>
  <c r="BF9" i="7" s="1"/>
  <c r="BG9" i="7" s="1"/>
  <c r="AB10" i="7"/>
  <c r="AO10" i="7"/>
  <c r="BF10" i="7" s="1"/>
  <c r="BG10" i="7" s="1"/>
  <c r="T11" i="7"/>
  <c r="AK11" i="7"/>
  <c r="P12" i="7"/>
  <c r="BA12" i="7"/>
  <c r="AK13" i="7"/>
  <c r="BF13" i="7" s="1"/>
  <c r="BG13" i="7" s="1"/>
  <c r="AW14" i="7"/>
  <c r="AB15" i="7"/>
  <c r="L16" i="7"/>
  <c r="L18" i="7"/>
  <c r="P20" i="7"/>
  <c r="T21" i="7"/>
  <c r="AK21" i="7"/>
  <c r="AO22" i="7"/>
  <c r="T24" i="7"/>
  <c r="AS26" i="7"/>
  <c r="X27" i="7"/>
  <c r="H28" i="7"/>
  <c r="AC28" i="7" s="1"/>
  <c r="AD28" i="7" s="1"/>
  <c r="BE29" i="7"/>
  <c r="AB32" i="7"/>
  <c r="P34" i="7"/>
  <c r="AO34" i="7"/>
  <c r="AB35" i="7"/>
  <c r="AW38" i="7"/>
  <c r="AB39" i="7"/>
  <c r="AK42" i="7"/>
  <c r="BE42" i="7"/>
  <c r="T44" i="7"/>
  <c r="BE45" i="7"/>
  <c r="AO46" i="7"/>
  <c r="BE47" i="7"/>
  <c r="BE48" i="7"/>
  <c r="L50" i="7"/>
  <c r="P51" i="7"/>
  <c r="BE52" i="7"/>
  <c r="L55" i="7"/>
  <c r="BE55" i="7"/>
  <c r="AO56" i="7"/>
  <c r="L58" i="7"/>
  <c r="AC58" i="7" s="1"/>
  <c r="AD58" i="7" s="1"/>
  <c r="AW58" i="7"/>
  <c r="AB59" i="7"/>
  <c r="BE60" i="7"/>
  <c r="BE10" i="7"/>
  <c r="X2" i="7"/>
  <c r="X8" i="7"/>
  <c r="L9" i="7"/>
  <c r="X9" i="7"/>
  <c r="H10" i="7"/>
  <c r="AS10" i="7"/>
  <c r="L11" i="7"/>
  <c r="X11" i="7"/>
  <c r="AO12" i="7"/>
  <c r="L13" i="7"/>
  <c r="AW13" i="7"/>
  <c r="P14" i="7"/>
  <c r="BA14" i="7"/>
  <c r="X16" i="7"/>
  <c r="AS17" i="7"/>
  <c r="AW18" i="7"/>
  <c r="AO19" i="7"/>
  <c r="BE20" i="7"/>
  <c r="X22" i="7"/>
  <c r="BA22" i="7"/>
  <c r="AS23" i="7"/>
  <c r="P25" i="7"/>
  <c r="BA25" i="7"/>
  <c r="AB28" i="7"/>
  <c r="L29" i="7"/>
  <c r="AK29" i="7"/>
  <c r="P30" i="7"/>
  <c r="AC30" i="7" s="1"/>
  <c r="AD30" i="7" s="1"/>
  <c r="BA30" i="7"/>
  <c r="AB31" i="7"/>
  <c r="AK32" i="7"/>
  <c r="H35" i="7"/>
  <c r="T35" i="7"/>
  <c r="T36" i="7"/>
  <c r="AW37" i="7"/>
  <c r="AW40" i="7"/>
  <c r="L42" i="7"/>
  <c r="BA43" i="7"/>
  <c r="AK44" i="7"/>
  <c r="AW45" i="7"/>
  <c r="P46" i="7"/>
  <c r="AK47" i="7"/>
  <c r="P48" i="7"/>
  <c r="H49" i="7"/>
  <c r="AS49" i="7"/>
  <c r="AB51" i="7"/>
  <c r="P53" i="7"/>
  <c r="AS54" i="7"/>
  <c r="X55" i="7"/>
  <c r="AW55" i="7"/>
  <c r="BF55" i="7" s="1"/>
  <c r="BG55" i="7" s="1"/>
  <c r="BA56" i="7"/>
  <c r="AK57" i="7"/>
  <c r="BF57" i="7" s="1"/>
  <c r="BG57" i="7" s="1"/>
  <c r="X58" i="7"/>
  <c r="AK60" i="7"/>
  <c r="P61" i="7"/>
  <c r="BF4" i="7"/>
  <c r="BG4" i="7" s="1"/>
  <c r="BF7" i="7"/>
  <c r="BG7" i="7" s="1"/>
  <c r="BF3" i="7"/>
  <c r="BG3" i="7" s="1"/>
  <c r="BF19" i="7"/>
  <c r="BG19" i="7" s="1"/>
  <c r="BF11" i="7"/>
  <c r="BG11" i="7" s="1"/>
  <c r="H9" i="7"/>
  <c r="P11" i="7"/>
  <c r="X13" i="7"/>
  <c r="AS14" i="7"/>
  <c r="H15" i="7"/>
  <c r="AW16" i="7"/>
  <c r="AK17" i="7"/>
  <c r="BE18" i="7"/>
  <c r="T20" i="7"/>
  <c r="AC20" i="7" s="1"/>
  <c r="AD20" i="7" s="1"/>
  <c r="AS20" i="7"/>
  <c r="AB22" i="7"/>
  <c r="T25" i="7"/>
  <c r="AC32" i="7"/>
  <c r="AD32" i="7" s="1"/>
  <c r="AB8" i="7"/>
  <c r="H11" i="7"/>
  <c r="P13" i="7"/>
  <c r="AK14" i="7"/>
  <c r="AO15" i="7"/>
  <c r="AW17" i="7"/>
  <c r="AK18" i="7"/>
  <c r="BE19" i="7"/>
  <c r="AS22" i="7"/>
  <c r="BF25" i="7"/>
  <c r="BG25" i="7" s="1"/>
  <c r="AC31" i="7"/>
  <c r="AD31" i="7" s="1"/>
  <c r="BF48" i="7"/>
  <c r="BG48" i="7" s="1"/>
  <c r="T10" i="7"/>
  <c r="AB12" i="7"/>
  <c r="AB16" i="7"/>
  <c r="BA16" i="7"/>
  <c r="BF16" i="7" s="1"/>
  <c r="BG16" i="7" s="1"/>
  <c r="H17" i="7"/>
  <c r="AC17" i="7" s="1"/>
  <c r="AD17" i="7" s="1"/>
  <c r="AO17" i="7"/>
  <c r="X19" i="7"/>
  <c r="AK22" i="7"/>
  <c r="BE23" i="7"/>
  <c r="BF23" i="7" s="1"/>
  <c r="BG23" i="7" s="1"/>
  <c r="L24" i="7"/>
  <c r="BE28" i="7"/>
  <c r="AC23" i="7"/>
  <c r="AD23" i="7" s="1"/>
  <c r="L10" i="7"/>
  <c r="T12" i="7"/>
  <c r="AC12" i="7" s="1"/>
  <c r="AD12" i="7" s="1"/>
  <c r="AB14" i="7"/>
  <c r="AS15" i="7"/>
  <c r="T16" i="7"/>
  <c r="BA17" i="7"/>
  <c r="AO18" i="7"/>
  <c r="P19" i="7"/>
  <c r="X21" i="7"/>
  <c r="AW21" i="7"/>
  <c r="BF21" i="7" s="1"/>
  <c r="BG21" i="7" s="1"/>
  <c r="T26" i="7"/>
  <c r="P29" i="7"/>
  <c r="BA35" i="7"/>
  <c r="AK24" i="7"/>
  <c r="AO25" i="7"/>
  <c r="P26" i="7"/>
  <c r="AW26" i="7"/>
  <c r="AK27" i="7"/>
  <c r="AS28" i="7"/>
  <c r="AS29" i="7"/>
  <c r="AO32" i="7"/>
  <c r="BA33" i="7"/>
  <c r="AW36" i="7"/>
  <c r="BE37" i="7"/>
  <c r="AK38" i="7"/>
  <c r="AO39" i="7"/>
  <c r="T48" i="7"/>
  <c r="AW50" i="7"/>
  <c r="L53" i="7"/>
  <c r="BF59" i="7"/>
  <c r="BG59" i="7" s="1"/>
  <c r="AO24" i="7"/>
  <c r="AS25" i="7"/>
  <c r="BA26" i="7"/>
  <c r="AO27" i="7"/>
  <c r="AW28" i="7"/>
  <c r="AW29" i="7"/>
  <c r="BE30" i="7"/>
  <c r="AK31" i="7"/>
  <c r="AS35" i="7"/>
  <c r="T39" i="7"/>
  <c r="BA42" i="7"/>
  <c r="P50" i="7"/>
  <c r="AK52" i="7"/>
  <c r="BF61" i="7"/>
  <c r="BG61" i="7" s="1"/>
  <c r="BA24" i="7"/>
  <c r="BA27" i="7"/>
  <c r="BE32" i="7"/>
  <c r="AK33" i="7"/>
  <c r="L47" i="7"/>
  <c r="BF58" i="7"/>
  <c r="BG58" i="7" s="1"/>
  <c r="L61" i="7"/>
  <c r="AS24" i="7"/>
  <c r="AW25" i="7"/>
  <c r="BE26" i="7"/>
  <c r="L27" i="7"/>
  <c r="AC27" i="7" s="1"/>
  <c r="AD27" i="7" s="1"/>
  <c r="AS27" i="7"/>
  <c r="BA28" i="7"/>
  <c r="BA29" i="7"/>
  <c r="AW32" i="7"/>
  <c r="BE36" i="7"/>
  <c r="BF36" i="7" s="1"/>
  <c r="BG36" i="7" s="1"/>
  <c r="AW39" i="7"/>
  <c r="AK41" i="7"/>
  <c r="AB44" i="7"/>
  <c r="X51" i="7"/>
  <c r="BF54" i="7"/>
  <c r="BG54" i="7" s="1"/>
  <c r="BE24" i="7"/>
  <c r="X26" i="7"/>
  <c r="AK26" i="7"/>
  <c r="BE27" i="7"/>
  <c r="AO30" i="7"/>
  <c r="BA31" i="7"/>
  <c r="AW34" i="7"/>
  <c r="L41" i="7"/>
  <c r="H44" i="7"/>
  <c r="AK46" i="7"/>
  <c r="AB49" i="7"/>
  <c r="BF60" i="7"/>
  <c r="BG60" i="7" s="1"/>
  <c r="AO37" i="7"/>
  <c r="BF37" i="7" s="1"/>
  <c r="BG37" i="7" s="1"/>
  <c r="H40" i="7"/>
  <c r="P41" i="7"/>
  <c r="AW41" i="7"/>
  <c r="L43" i="7"/>
  <c r="BA44" i="7"/>
  <c r="H45" i="7"/>
  <c r="AO51" i="7"/>
  <c r="BF51" i="7" s="1"/>
  <c r="BG51" i="7" s="1"/>
  <c r="T40" i="7"/>
  <c r="AB41" i="7"/>
  <c r="AO41" i="7"/>
  <c r="P42" i="7"/>
  <c r="X43" i="7"/>
  <c r="L44" i="7"/>
  <c r="AS44" i="7"/>
  <c r="BF44" i="7" s="1"/>
  <c r="BG44" i="7" s="1"/>
  <c r="T45" i="7"/>
  <c r="H46" i="7"/>
  <c r="P47" i="7"/>
  <c r="AW47" i="7"/>
  <c r="L49" i="7"/>
  <c r="BA50" i="7"/>
  <c r="H51" i="7"/>
  <c r="AB52" i="7"/>
  <c r="AB53" i="7"/>
  <c r="AO53" i="7"/>
  <c r="BF53" i="7" s="1"/>
  <c r="BG53" i="7" s="1"/>
  <c r="P54" i="7"/>
  <c r="P55" i="7"/>
  <c r="P56" i="7"/>
  <c r="P57" i="7"/>
  <c r="P58" i="7"/>
  <c r="P60" i="7"/>
  <c r="AB47" i="7"/>
  <c r="AO47" i="7"/>
  <c r="AB54" i="7"/>
  <c r="AB55" i="7"/>
  <c r="AB57" i="7"/>
  <c r="BA38" i="7"/>
  <c r="P39" i="7"/>
  <c r="L40" i="7"/>
  <c r="AS40" i="7"/>
  <c r="T41" i="7"/>
  <c r="H42" i="7"/>
  <c r="P43" i="7"/>
  <c r="AW43" i="7"/>
  <c r="L45" i="7"/>
  <c r="BA46" i="7"/>
  <c r="H47" i="7"/>
  <c r="AB48" i="7"/>
  <c r="BE49" i="7"/>
  <c r="X50" i="7"/>
  <c r="AK50" i="7"/>
  <c r="T52" i="7"/>
  <c r="BA52" i="7"/>
  <c r="T53" i="7"/>
  <c r="H54" i="7"/>
  <c r="H55" i="7"/>
  <c r="H57" i="7"/>
  <c r="H59" i="7"/>
  <c r="H61" i="7"/>
  <c r="AC61" i="7" s="1"/>
  <c r="AD61" i="7" s="1"/>
  <c r="AS38" i="7"/>
  <c r="H39" i="7"/>
  <c r="BE39" i="7"/>
  <c r="X40" i="7"/>
  <c r="AK40" i="7"/>
  <c r="T42" i="7"/>
  <c r="AB43" i="7"/>
  <c r="AO43" i="7"/>
  <c r="BF43" i="7" s="1"/>
  <c r="BG43" i="7" s="1"/>
  <c r="P44" i="7"/>
  <c r="X45" i="7"/>
  <c r="L46" i="7"/>
  <c r="AS46" i="7"/>
  <c r="T47" i="7"/>
  <c r="H48" i="7"/>
  <c r="P49" i="7"/>
  <c r="AW49" i="7"/>
  <c r="BF49" i="7" s="1"/>
  <c r="BG49" i="7" s="1"/>
  <c r="L51" i="7"/>
  <c r="AS52" i="7"/>
  <c r="T54" i="7"/>
  <c r="T55" i="7"/>
  <c r="T56" i="7"/>
  <c r="T57" i="7"/>
  <c r="T58" i="7"/>
  <c r="T59" i="7"/>
  <c r="T60" i="7"/>
  <c r="T61" i="7"/>
  <c r="AC15" i="7" l="1"/>
  <c r="AD15" i="7" s="1"/>
  <c r="AC75" i="7"/>
  <c r="AD75" i="7" s="1"/>
  <c r="AC50" i="7"/>
  <c r="AD50" i="7" s="1"/>
  <c r="AC11" i="7"/>
  <c r="AD11" i="7" s="1"/>
  <c r="AC76" i="7"/>
  <c r="AD76" i="7" s="1"/>
  <c r="AC53" i="7"/>
  <c r="AD53" i="7" s="1"/>
  <c r="AC77" i="7"/>
  <c r="AD77" i="7" s="1"/>
  <c r="AC86" i="7"/>
  <c r="AD86" i="7" s="1"/>
  <c r="AC29" i="7"/>
  <c r="AD29" i="7" s="1"/>
  <c r="AC37" i="7"/>
  <c r="AD37" i="7" s="1"/>
  <c r="AC14" i="7"/>
  <c r="AD14" i="7" s="1"/>
  <c r="AC65" i="7"/>
  <c r="AD65" i="7" s="1"/>
  <c r="AC38" i="7"/>
  <c r="AD38" i="7" s="1"/>
  <c r="AC6" i="7"/>
  <c r="AD6" i="7" s="1"/>
  <c r="AC56" i="7"/>
  <c r="AD56" i="7" s="1"/>
  <c r="AC66" i="7"/>
  <c r="AD66" i="7" s="1"/>
  <c r="AC72" i="7"/>
  <c r="AD72" i="7" s="1"/>
  <c r="AC19" i="7"/>
  <c r="AD19" i="7" s="1"/>
  <c r="AC2" i="7"/>
  <c r="AD2" i="7" s="1"/>
  <c r="AC16" i="7"/>
  <c r="AD16" i="7" s="1"/>
  <c r="AC64" i="7"/>
  <c r="AD64" i="7" s="1"/>
  <c r="AC35" i="7"/>
  <c r="AD35" i="7" s="1"/>
  <c r="AC52" i="7"/>
  <c r="AD52" i="7" s="1"/>
  <c r="AC41" i="7"/>
  <c r="AD41" i="7" s="1"/>
  <c r="AC21" i="7"/>
  <c r="AD21" i="7" s="1"/>
  <c r="BF6" i="7"/>
  <c r="BG6" i="7" s="1"/>
  <c r="AC63" i="7"/>
  <c r="AD63" i="7" s="1"/>
  <c r="AC8" i="7"/>
  <c r="AD8" i="7" s="1"/>
  <c r="AC80" i="7"/>
  <c r="AD80" i="7" s="1"/>
  <c r="AC74" i="7"/>
  <c r="AD74" i="7" s="1"/>
  <c r="AC49" i="7"/>
  <c r="AD49" i="7" s="1"/>
  <c r="AC10" i="7"/>
  <c r="AD10" i="7" s="1"/>
  <c r="AC79" i="7"/>
  <c r="AD79" i="7" s="1"/>
  <c r="AC84" i="7"/>
  <c r="AD84" i="7" s="1"/>
  <c r="AC69" i="7"/>
  <c r="AD69" i="7" s="1"/>
  <c r="AC85" i="7"/>
  <c r="AD85" i="7" s="1"/>
  <c r="AC71" i="7"/>
  <c r="AD71" i="7" s="1"/>
  <c r="AC81" i="7"/>
  <c r="AD81" i="7" s="1"/>
  <c r="AC43" i="7"/>
  <c r="AD43" i="7" s="1"/>
  <c r="BF39" i="7"/>
  <c r="BG39" i="7" s="1"/>
  <c r="BF35" i="7"/>
  <c r="BG35" i="7" s="1"/>
  <c r="AC13" i="7"/>
  <c r="AD13" i="7" s="1"/>
  <c r="AC9" i="7"/>
  <c r="AD9" i="7" s="1"/>
  <c r="BF29" i="7"/>
  <c r="BG29" i="7" s="1"/>
  <c r="BF15" i="7"/>
  <c r="BG15" i="7" s="1"/>
  <c r="AC24" i="7"/>
  <c r="AD24" i="7" s="1"/>
  <c r="BF40" i="7"/>
  <c r="BG40" i="7" s="1"/>
  <c r="AC57" i="7"/>
  <c r="AD57" i="7" s="1"/>
  <c r="BF47" i="7"/>
  <c r="BG47" i="7" s="1"/>
  <c r="AC46" i="7"/>
  <c r="AD46" i="7" s="1"/>
  <c r="BF52" i="7"/>
  <c r="BG52" i="7" s="1"/>
  <c r="BF28" i="7"/>
  <c r="BG28" i="7" s="1"/>
  <c r="BF18" i="7"/>
  <c r="BG18" i="7" s="1"/>
  <c r="BF24" i="7"/>
  <c r="BG24" i="7" s="1"/>
  <c r="BF32" i="7"/>
  <c r="BG32" i="7" s="1"/>
  <c r="BF22" i="7"/>
  <c r="BG22" i="7" s="1"/>
  <c r="AC25" i="7"/>
  <c r="AD25" i="7" s="1"/>
  <c r="AC54" i="7"/>
  <c r="AD54" i="7" s="1"/>
  <c r="AC47" i="7"/>
  <c r="AD47" i="7" s="1"/>
  <c r="AC60" i="7"/>
  <c r="AD60" i="7" s="1"/>
  <c r="BF30" i="7"/>
  <c r="BG30" i="7" s="1"/>
  <c r="AC22" i="7"/>
  <c r="AD22" i="7" s="1"/>
  <c r="AC18" i="7"/>
  <c r="AD18" i="7" s="1"/>
  <c r="AC26" i="7"/>
  <c r="AD26" i="7" s="1"/>
  <c r="BF38" i="7"/>
  <c r="BG38" i="7" s="1"/>
  <c r="AC39" i="7"/>
  <c r="AD39" i="7" s="1"/>
  <c r="AC55" i="7"/>
  <c r="AD55" i="7" s="1"/>
  <c r="BF14" i="7"/>
  <c r="BG14" i="7" s="1"/>
  <c r="AC45" i="7"/>
  <c r="AD45" i="7" s="1"/>
  <c r="AC51" i="7"/>
  <c r="AD51" i="7" s="1"/>
  <c r="BF41" i="7"/>
  <c r="BG41" i="7" s="1"/>
  <c r="AC48" i="7"/>
  <c r="AD48" i="7" s="1"/>
  <c r="AC59" i="7"/>
  <c r="AD59" i="7" s="1"/>
  <c r="BF46" i="7"/>
  <c r="BG46" i="7" s="1"/>
  <c r="BF26" i="7"/>
  <c r="BG26" i="7" s="1"/>
  <c r="BF33" i="7"/>
  <c r="BG33" i="7" s="1"/>
  <c r="BF50" i="7"/>
  <c r="BG50" i="7" s="1"/>
  <c r="AC44" i="7"/>
  <c r="AD44" i="7" s="1"/>
  <c r="AC42" i="7"/>
  <c r="AD42" i="7" s="1"/>
  <c r="BF17" i="7"/>
  <c r="BG17" i="7" s="1"/>
  <c r="BF27" i="7"/>
  <c r="BG27" i="7" s="1"/>
  <c r="AC40" i="7"/>
  <c r="AD40" i="7" s="1"/>
  <c r="BF31" i="7"/>
  <c r="BG31" i="7" s="1"/>
  <c r="B2" i="5" l="1"/>
  <c r="C2" i="5"/>
  <c r="B3" i="5"/>
  <c r="C3" i="5"/>
  <c r="B4" i="5"/>
  <c r="C4" i="5"/>
  <c r="B5" i="5"/>
  <c r="C5" i="5"/>
  <c r="B6" i="5"/>
  <c r="C6" i="5"/>
  <c r="B7" i="5"/>
  <c r="C7" i="5"/>
  <c r="B8" i="5"/>
  <c r="C8" i="5"/>
  <c r="B9" i="5"/>
  <c r="C9" i="5"/>
  <c r="B10" i="5"/>
  <c r="C10" i="5"/>
  <c r="B11" i="5"/>
  <c r="C11" i="5"/>
  <c r="B12" i="5"/>
  <c r="C12" i="5"/>
  <c r="B13" i="5"/>
  <c r="C13" i="5"/>
  <c r="B14" i="5"/>
  <c r="C14" i="5"/>
  <c r="B15" i="5"/>
  <c r="C15" i="5"/>
  <c r="B16" i="5"/>
  <c r="C16" i="5"/>
  <c r="B17" i="5"/>
  <c r="C17" i="5"/>
  <c r="B18" i="5"/>
  <c r="C18" i="5"/>
  <c r="B19" i="5"/>
  <c r="C19" i="5"/>
  <c r="B20" i="5"/>
  <c r="C20" i="5"/>
  <c r="B21" i="5"/>
  <c r="C21" i="5"/>
  <c r="B22" i="5"/>
  <c r="C22" i="5"/>
  <c r="B23" i="5"/>
  <c r="C23" i="5"/>
  <c r="B24" i="5"/>
  <c r="C24" i="5"/>
  <c r="B25" i="5"/>
  <c r="C25" i="5"/>
  <c r="B26" i="5"/>
  <c r="C26" i="5"/>
  <c r="B27" i="5"/>
  <c r="C27" i="5"/>
  <c r="B28" i="5"/>
  <c r="C28" i="5"/>
  <c r="B29" i="5"/>
  <c r="C29" i="5"/>
  <c r="B30" i="5"/>
  <c r="C30" i="5"/>
  <c r="B31" i="5"/>
  <c r="C31" i="5"/>
  <c r="B32" i="5"/>
  <c r="C32" i="5"/>
  <c r="B33" i="5"/>
  <c r="C33" i="5"/>
  <c r="B34" i="5"/>
  <c r="C34" i="5"/>
  <c r="B35" i="5"/>
  <c r="C35" i="5"/>
  <c r="B36" i="5"/>
  <c r="C36" i="5"/>
  <c r="B37" i="5"/>
  <c r="C37" i="5"/>
  <c r="B38" i="5"/>
  <c r="C38" i="5"/>
  <c r="B39" i="5"/>
  <c r="C39" i="5"/>
  <c r="B40" i="5"/>
  <c r="C40" i="5"/>
  <c r="B41" i="5"/>
  <c r="C41" i="5"/>
  <c r="B42" i="5"/>
  <c r="C42" i="5"/>
  <c r="B43" i="5"/>
  <c r="C43" i="5"/>
  <c r="B44" i="5"/>
  <c r="C44" i="5"/>
  <c r="B45" i="5"/>
  <c r="C45" i="5"/>
  <c r="B46" i="5"/>
  <c r="C46" i="5"/>
  <c r="B47" i="5"/>
  <c r="C47" i="5"/>
  <c r="B48" i="5"/>
  <c r="C48" i="5"/>
  <c r="B49" i="5"/>
  <c r="C49" i="5"/>
  <c r="B50" i="5"/>
  <c r="C50" i="5"/>
  <c r="B51" i="5"/>
  <c r="C51" i="5"/>
  <c r="B52" i="5"/>
  <c r="C52" i="5"/>
  <c r="B53" i="5"/>
  <c r="C53" i="5"/>
  <c r="B54" i="5"/>
  <c r="C54" i="5"/>
  <c r="B55" i="5"/>
  <c r="C55" i="5"/>
  <c r="B56" i="5"/>
  <c r="C56" i="5"/>
  <c r="B57" i="5"/>
  <c r="C57" i="5"/>
  <c r="B58" i="5"/>
  <c r="C58" i="5"/>
  <c r="B59" i="5"/>
  <c r="C59" i="5"/>
  <c r="B60" i="5"/>
  <c r="C60" i="5"/>
  <c r="B61" i="5"/>
  <c r="C61" i="5"/>
  <c r="B62" i="5"/>
  <c r="C62" i="5"/>
  <c r="B63" i="5"/>
  <c r="C63" i="5"/>
  <c r="B64" i="5"/>
  <c r="C64" i="5"/>
  <c r="B65" i="5"/>
  <c r="C65" i="5"/>
  <c r="B66" i="5"/>
  <c r="C66" i="5"/>
  <c r="B67" i="5"/>
  <c r="C67" i="5"/>
  <c r="B68" i="5"/>
  <c r="C68" i="5"/>
  <c r="B69" i="5"/>
  <c r="C69" i="5"/>
  <c r="B70" i="5"/>
  <c r="C70" i="5"/>
  <c r="B71" i="5"/>
  <c r="C71" i="5"/>
  <c r="B72" i="5"/>
  <c r="C72" i="5"/>
  <c r="B73" i="5"/>
  <c r="C73" i="5"/>
  <c r="B74" i="5"/>
  <c r="C74" i="5"/>
  <c r="B75" i="5"/>
  <c r="C75" i="5"/>
  <c r="B76" i="5"/>
  <c r="C76" i="5"/>
  <c r="B77" i="5"/>
  <c r="C77" i="5"/>
  <c r="B78" i="5"/>
  <c r="C78" i="5"/>
  <c r="B79" i="5"/>
  <c r="C79" i="5"/>
  <c r="B80" i="5"/>
  <c r="C80" i="5"/>
  <c r="B81" i="5"/>
  <c r="C81" i="5"/>
  <c r="B82" i="5"/>
  <c r="C82" i="5"/>
  <c r="B83" i="5"/>
  <c r="C83" i="5"/>
  <c r="B84" i="5"/>
  <c r="C84" i="5"/>
  <c r="B85" i="5"/>
  <c r="C85" i="5"/>
  <c r="B86" i="5"/>
  <c r="C86" i="5"/>
  <c r="B87" i="5"/>
  <c r="C87" i="5"/>
  <c r="B88" i="5"/>
  <c r="C88" i="5"/>
  <c r="B89" i="5"/>
  <c r="C89" i="5"/>
  <c r="B90" i="5"/>
  <c r="C90" i="5"/>
  <c r="B91" i="5"/>
  <c r="C91" i="5"/>
  <c r="B92" i="5"/>
  <c r="C92" i="5"/>
  <c r="B93" i="5"/>
  <c r="C93" i="5"/>
  <c r="B94" i="5"/>
  <c r="C94" i="5"/>
  <c r="B95" i="5"/>
  <c r="C95" i="5"/>
  <c r="B96" i="5"/>
  <c r="C96" i="5"/>
  <c r="B97" i="5"/>
  <c r="C97" i="5"/>
  <c r="B98" i="5"/>
  <c r="C98" i="5"/>
  <c r="B99" i="5"/>
  <c r="C99" i="5"/>
  <c r="B100" i="5"/>
  <c r="C100" i="5"/>
  <c r="B101" i="5"/>
  <c r="C101" i="5"/>
  <c r="B102" i="5"/>
  <c r="C102" i="5"/>
  <c r="B103" i="5"/>
  <c r="C103" i="5"/>
  <c r="B104" i="5"/>
  <c r="C104" i="5"/>
  <c r="B105" i="5"/>
  <c r="C105" i="5"/>
  <c r="B106" i="5"/>
  <c r="C106" i="5"/>
  <c r="B107" i="5"/>
  <c r="C107" i="5"/>
  <c r="B108" i="5"/>
  <c r="C108" i="5"/>
  <c r="B109" i="5"/>
  <c r="C109" i="5"/>
  <c r="B110" i="5"/>
  <c r="C110" i="5"/>
  <c r="B111" i="5"/>
  <c r="C111" i="5"/>
  <c r="B112" i="5"/>
  <c r="C112" i="5"/>
  <c r="B113" i="5"/>
  <c r="C113" i="5"/>
  <c r="B114" i="5"/>
  <c r="C114" i="5"/>
  <c r="B115" i="5"/>
  <c r="C115" i="5"/>
  <c r="B116" i="5"/>
  <c r="C116" i="5"/>
  <c r="B117" i="5"/>
  <c r="C117" i="5"/>
  <c r="B118" i="5"/>
  <c r="C118" i="5"/>
  <c r="B119" i="5"/>
  <c r="C119" i="5"/>
  <c r="B120" i="5"/>
  <c r="C120" i="5"/>
  <c r="B121" i="5"/>
  <c r="C121" i="5"/>
  <c r="B122" i="5"/>
  <c r="C122" i="5"/>
  <c r="B123" i="5"/>
  <c r="C123" i="5"/>
  <c r="B124" i="5"/>
  <c r="C124" i="5"/>
  <c r="B125" i="5"/>
  <c r="C125" i="5"/>
  <c r="B126" i="5"/>
  <c r="C126" i="5"/>
  <c r="B127" i="5"/>
  <c r="C127" i="5"/>
  <c r="B128" i="5"/>
  <c r="C128" i="5"/>
  <c r="B129" i="5"/>
  <c r="C129" i="5"/>
  <c r="B130" i="5"/>
  <c r="C130" i="5"/>
  <c r="B131" i="5"/>
  <c r="C131" i="5"/>
  <c r="B132" i="5"/>
  <c r="C132" i="5"/>
  <c r="B133" i="5"/>
  <c r="C133" i="5"/>
  <c r="B134" i="5"/>
  <c r="C134" i="5"/>
  <c r="B135" i="5"/>
  <c r="C135" i="5"/>
  <c r="B136" i="5"/>
  <c r="C136" i="5"/>
  <c r="B137" i="5"/>
  <c r="C137" i="5"/>
  <c r="B138" i="5"/>
  <c r="C138" i="5"/>
  <c r="B139" i="5"/>
  <c r="C139" i="5"/>
  <c r="B140" i="5"/>
  <c r="C140" i="5"/>
  <c r="B141" i="5"/>
  <c r="C141" i="5"/>
  <c r="B142" i="5"/>
  <c r="C142" i="5"/>
  <c r="B143" i="5"/>
  <c r="C143" i="5"/>
  <c r="B144" i="5"/>
  <c r="C144" i="5"/>
  <c r="B145" i="5"/>
  <c r="C145" i="5"/>
  <c r="B146" i="5"/>
  <c r="C146" i="5"/>
  <c r="B147" i="5"/>
  <c r="C147" i="5"/>
  <c r="B148" i="5"/>
  <c r="C148" i="5"/>
  <c r="B149" i="5"/>
  <c r="C149" i="5"/>
  <c r="B150" i="5"/>
  <c r="C150" i="5"/>
  <c r="B151" i="5"/>
  <c r="C151" i="5"/>
  <c r="B152" i="5"/>
  <c r="C152" i="5"/>
  <c r="B153" i="5"/>
  <c r="C153" i="5"/>
  <c r="B154" i="5"/>
  <c r="C154" i="5"/>
  <c r="B155" i="5"/>
  <c r="C155" i="5"/>
  <c r="B156" i="5"/>
  <c r="C156" i="5"/>
  <c r="B157" i="5"/>
  <c r="C157" i="5"/>
  <c r="B158" i="5"/>
  <c r="C158" i="5"/>
  <c r="B159" i="5"/>
  <c r="C159" i="5"/>
  <c r="B160" i="5"/>
  <c r="C160" i="5"/>
  <c r="B161" i="5"/>
  <c r="C161" i="5"/>
  <c r="B162" i="5"/>
  <c r="C162" i="5"/>
  <c r="B163" i="5"/>
  <c r="C163" i="5"/>
  <c r="B164" i="5"/>
  <c r="C164" i="5"/>
  <c r="B165" i="5"/>
  <c r="C165" i="5"/>
  <c r="B166" i="5"/>
  <c r="C166" i="5"/>
  <c r="B167" i="5"/>
  <c r="C167" i="5"/>
  <c r="B168" i="5"/>
  <c r="C168" i="5"/>
  <c r="B169" i="5"/>
  <c r="C169" i="5"/>
  <c r="B170" i="5"/>
  <c r="C170" i="5"/>
  <c r="B171" i="5"/>
  <c r="C171" i="5"/>
  <c r="B172" i="5"/>
  <c r="C172" i="5"/>
  <c r="B173" i="5"/>
  <c r="C173" i="5"/>
  <c r="B174" i="5"/>
  <c r="C174" i="5"/>
  <c r="B175" i="5"/>
  <c r="C175" i="5"/>
  <c r="B176" i="5"/>
  <c r="C176" i="5"/>
  <c r="B177" i="5"/>
  <c r="C177" i="5"/>
  <c r="B178" i="5"/>
  <c r="C178" i="5"/>
  <c r="B179" i="5"/>
  <c r="C179" i="5"/>
  <c r="B180" i="5"/>
  <c r="C180" i="5"/>
  <c r="B181" i="5"/>
  <c r="C181" i="5"/>
  <c r="B182" i="5"/>
  <c r="C182" i="5"/>
  <c r="B183" i="5"/>
  <c r="C183" i="5"/>
  <c r="B184" i="5"/>
  <c r="C184" i="5"/>
  <c r="B185" i="5"/>
  <c r="C185" i="5"/>
  <c r="B186" i="5"/>
  <c r="C186" i="5"/>
  <c r="B187" i="5"/>
  <c r="C187" i="5"/>
  <c r="B188" i="5"/>
  <c r="C188" i="5"/>
  <c r="B189" i="5"/>
  <c r="C189" i="5"/>
  <c r="B190" i="5"/>
  <c r="C190" i="5"/>
  <c r="B191" i="5"/>
  <c r="C191" i="5"/>
  <c r="B192" i="5"/>
  <c r="C192" i="5"/>
  <c r="B193" i="5"/>
  <c r="C193" i="5"/>
  <c r="B194" i="5"/>
  <c r="C194" i="5"/>
  <c r="B195" i="5"/>
  <c r="C195" i="5"/>
  <c r="B196" i="5"/>
  <c r="C196" i="5"/>
  <c r="B197" i="5"/>
  <c r="C197" i="5"/>
  <c r="B198" i="5"/>
  <c r="C198" i="5"/>
  <c r="B199" i="5"/>
  <c r="C199" i="5"/>
  <c r="B200" i="5"/>
  <c r="C200" i="5"/>
  <c r="B201" i="5"/>
  <c r="C201" i="5"/>
  <c r="B202" i="5"/>
  <c r="C202" i="5"/>
  <c r="B203" i="5"/>
  <c r="C203" i="5"/>
  <c r="B204" i="5"/>
  <c r="C204" i="5"/>
  <c r="B205" i="5"/>
  <c r="C205" i="5"/>
  <c r="B206" i="5"/>
  <c r="C206" i="5"/>
  <c r="B207" i="5"/>
  <c r="C207" i="5"/>
  <c r="B208" i="5"/>
  <c r="C208" i="5"/>
  <c r="B209" i="5"/>
  <c r="C209" i="5"/>
  <c r="B210" i="5"/>
  <c r="C210" i="5"/>
  <c r="B211" i="5"/>
  <c r="C211" i="5"/>
  <c r="B212" i="5"/>
  <c r="C212" i="5"/>
  <c r="B213" i="5"/>
  <c r="C213" i="5"/>
  <c r="B214" i="5"/>
  <c r="C214" i="5"/>
  <c r="B215" i="5"/>
  <c r="C215" i="5"/>
  <c r="B216" i="5"/>
  <c r="C216" i="5"/>
  <c r="B217" i="5"/>
  <c r="C217" i="5"/>
  <c r="B218" i="5"/>
  <c r="C218" i="5"/>
  <c r="B219" i="5"/>
  <c r="C219" i="5"/>
  <c r="B220" i="5"/>
  <c r="C220" i="5"/>
  <c r="B221" i="5"/>
  <c r="C221" i="5"/>
  <c r="B222" i="5"/>
  <c r="C222" i="5"/>
  <c r="B223" i="5"/>
  <c r="C223" i="5"/>
  <c r="B224" i="5"/>
  <c r="C224" i="5"/>
  <c r="B225" i="5"/>
  <c r="C225" i="5"/>
  <c r="B226" i="5"/>
  <c r="C226" i="5"/>
  <c r="B227" i="5"/>
  <c r="C227" i="5"/>
  <c r="B228" i="5"/>
  <c r="C228" i="5"/>
  <c r="B229" i="5"/>
  <c r="C229" i="5"/>
  <c r="B230" i="5"/>
  <c r="C230" i="5"/>
  <c r="B231" i="5"/>
  <c r="C231" i="5"/>
  <c r="B232" i="5"/>
  <c r="C232" i="5"/>
  <c r="N13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tc={635B106C-458F-4DAB-9C0C-823A26C5F113}</author>
  </authors>
  <commentList>
    <comment ref="C1" authorId="0" shapeId="0" xr:uid="{635B106C-458F-4DAB-9C0C-823A26C5F113}">
      <text>
        <t>[Threaded comment]
Your version of Excel allows you to read this threaded comment; however, any edits to it will get removed if the file is opened in a newer version of Excel. Learn more: https://go.microsoft.com/fwlink/?linkid=870924
Comment:
    0 = does not meet criteria
1 = potentially meets criteria
2 = does meet criteria</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copus" description="Connection to the 'scopus' query in the workbook." type="5" refreshedVersion="6" background="1" saveData="1">
    <dbPr connection="Provider=Microsoft.Mashup.OleDb.1;Data Source=$Workbook$;Location=scopus;Extended Properties=&quot;&quot;" command="SELECT * FROM [scopus]"/>
  </connection>
  <connection id="2" xr16:uid="{00000000-0015-0000-FFFF-FFFF01000000}" keepAlive="1" name="Query - scopus (1)" description="Connection to the 'scopus (1)' query in the workbook." type="5" refreshedVersion="6" background="1" saveData="1">
    <dbPr connection="Provider=Microsoft.Mashup.OleDb.1;Data Source=$Workbook$;Location=scopus (1);Extended Properties=&quot;&quot;" command="SELECT * FROM [scopus (1)]"/>
  </connection>
</connections>
</file>

<file path=xl/sharedStrings.xml><?xml version="1.0" encoding="utf-8"?>
<sst xmlns="http://schemas.openxmlformats.org/spreadsheetml/2006/main" count="5567" uniqueCount="3528">
  <si>
    <t>Authors</t>
  </si>
  <si>
    <t>Author(s) ID</t>
  </si>
  <si>
    <t>Title</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</si>
  <si>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</si>
  <si>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</si>
  <si>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</si>
  <si>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</si>
  <si>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</si>
  <si>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</si>
  <si>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</si>
  <si>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</si>
  <si>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</si>
  <si>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</si>
  <si>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</si>
  <si>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</si>
  <si>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</si>
  <si>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</si>
  <si>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</si>
  <si>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</si>
  <si>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Correspondence Address</t>
  </si>
  <si>
    <t>Editors</t>
  </si>
  <si>
    <t>Publisher</t>
  </si>
  <si>
    <t>ISSN</t>
  </si>
  <si>
    <t>ISBN</t>
  </si>
  <si>
    <t>CODEN</t>
  </si>
  <si>
    <t>PubMed ID</t>
  </si>
  <si>
    <t>Language of Original Document</t>
  </si>
  <si>
    <t>Abbreviated Source Title</t>
  </si>
  <si>
    <t>Document Type</t>
  </si>
  <si>
    <t>Publication Stage</t>
  </si>
  <si>
    <t>Access Type</t>
  </si>
  <si>
    <t>Source</t>
  </si>
  <si>
    <t>EID</t>
  </si>
  <si>
    <t>Ren H.; Wallhagen M.; Bahrami A.; Cehlin M.</t>
  </si>
  <si>
    <t>58508037500; 36706721900; 57197657593; 12786288600</t>
  </si>
  <si>
    <t>Life Cycle Impacts of Timber and Reinforced Concrete Floor Slabs: A Comparative Assessment</t>
  </si>
  <si>
    <t>Infrastructures</t>
  </si>
  <si>
    <t>10.3390/infrastructures10120346</t>
  </si>
  <si>
    <t>https://www.scopus.com/pages/publications/105025941668?origin=resultslist</t>
  </si>
  <si>
    <t>Department of Building Engineering, Energy Systems and Sustainability Science, Faculty of Engineering and Sustainable Development, University of Gävle, Gävle, 801 76, Sweden</t>
  </si>
  <si>
    <t>Ren H., Department of Building Engineering, Energy Systems and Sustainability Science, Faculty of Engineering and Sustainable Development, University of Gävle, Gävle, 801 76, Sweden; Wallhagen M., Department of Building Engineering, Energy Systems and Sustainability Science, Faculty of Engineering and Sustainable Development, University of Gävle, Gävle, 801 76, Sweden; Bahrami A., Department of Building Engineering, Energy Systems and Sustainability Science, Faculty of Engineering and Sustainable Development, University of Gävle, Gävle, 801 76, Sweden; Cehlin M., Department of Building Engineering, Energy Systems and Sustainability Science, Faculty of Engineering and Sustainable Development, University of Gävle, Gävle, 801 76, Sweden</t>
  </si>
  <si>
    <t>Due to their sustainability, lightweight qualities, and simplicity of installation, wood slab systems have gained increasing attention in the building industry. Cross-laminated timber (CLT), an engineered wood product (EWP), improves structural strength and stability, offering a good alternative to conventional reinforced concrete (RC) slab systems. Conventional CLT, however, contains adhesives that pose environmental and end-of-life (EOL) disposal challenges. Adhesive-free CLT (AFCLT) panels have recently been introduced as a sustainable option, but their environmental performance has not yet been thoroughly investigated. In this study, the environmental impacts of five slab systems are evaluated and compared using the life cycle assessment (LCA) methodology. The investigated slab systems include a standard CLT slab (SCLT), three different AFCLT slabs (AFCLT1, AFCLT2, and AFCLT3), and an RC slab. The assessment considered abiotic depletion potential (ADP), global warming potential (GWP), ozone layer depletion potential (ODP), human toxicity potential (HTP), freshwater aquatic ecotoxicity potential (FAETP), marine aquatic ecotoxicity potential (MAETP), terrestrial ecotoxicity potential (TETP), photochemical oxidation potential (POCP), acidification potential (AP), and eutrophication potential (EP), covering the entire life cycle from production to disposal, excluding part of the use stage (B2-B7). The results highlight the advantages and drawbacks of each slab system, providing insights into selecting sustainable slab solutions. AFCLT2 exhibited the lowest environmental impacts across the assessed categories. On the contrary, the RC slab showed the highest environmental impact among the studied products. For example, the RC slab had the highest GWP of 67.422 kg CO2 eq, which was 1784.3% higher than that of AFCLT2 (3.779 kg CO2 eq). Additionally, the simulation displayed that the analysis results vary depending on the electricity source, which is influenced by geographical location. Using the Norwegian electricity mix resulted in the most sustainable outcomes compared with Sweden, Finland, and Saudi Arabia. This study contributes to the advancement of low-carbon construction techniques and the development of building materials with reduced environmental impacts in the construction sector. © 2025 by the authors.</t>
  </si>
  <si>
    <t>adhesive-free; cross-laminated timber; life cycle assessment; slab; sustainability</t>
  </si>
  <si>
    <t>H. Ren; Department of Building Engineering, Energy Systems and Sustainability Science, Faculty of Engineering and Sustainable Development, University of Gävle, Gävle, 801 76, Sweden; email: ren.honghao@hig.se</t>
  </si>
  <si>
    <t>Multidisciplinary Digital Publishing Institute (MDPI)</t>
  </si>
  <si>
    <t>English</t>
  </si>
  <si>
    <t>Article</t>
  </si>
  <si>
    <t>Final</t>
  </si>
  <si>
    <t>All Open Access; Gold Open Access; Green Open Access</t>
  </si>
  <si>
    <t>Scopus</t>
  </si>
  <si>
    <t>2-s2.0-105025941668</t>
  </si>
  <si>
    <t>Becker I.; Anderson F.; Phillips A.R.</t>
  </si>
  <si>
    <t>58315871900; 58315621200; 56642281000</t>
  </si>
  <si>
    <t>Structural design of hybrid steel-timber buildings for lower production stage embodied carbon emissions</t>
  </si>
  <si>
    <t>Journal of Building Engineering</t>
  </si>
  <si>
    <t>10.1016/j.jobe.2023.107053</t>
  </si>
  <si>
    <t>https://www.scopus.com/pages/publications/85161998408?origin=resultslist</t>
  </si>
  <si>
    <t>Department of Civil &amp; Environmental Engineering, Washington State University, Pullman, 99163, WA, United States</t>
  </si>
  <si>
    <t>Becker I., Department of Civil &amp; Environmental Engineering, Washington State University, Pullman, 99163, WA, United States; Anderson F., Department of Civil &amp; Environmental Engineering, Washington State University, Pullman, 99163, WA, United States; Phillips A.R., Department of Civil &amp; Environmental Engineering, Washington State University, Pullman, 99163, WA, United States</t>
  </si>
  <si>
    <t>Using cross laminated timber (CLT) floor panels in combination with steel framing has been identified as a promising new structural configuration that can reduce the embodied greenhouse gas emissions of buildings. This project evaluated efficient structural design of hybrid steel-timber floor sections for a wide range of design parameters to determine the reductions in global warming potential possible relative to a conventional steel-concrete cross section. Each of the structural designs was checked for strength limit states, deflection, and minimum fire rating of either unrated, 1-h, or 2-h for a range of deck spans between 2.3 m and 4.6 m and beam spans between 5.5 m and 13.5 m. For an unrated floor assembly there is little global warming potential benefit to use steel-timber floors if a topping slab is included on top of the CLT slab. Whereas, using steel-timber configurations without a topping slab result in the largest global warming potential reductions. For the 1-h and 2-h ratings, even steel-timber configurations with a 64 mm thick topping slab had up to 20% reduction in global warming potential compared to the steel-concrete alternative. Additionally, several considerations that can drastically affect the global warming potential results were discussed. The results from this project demonstrate the best practices for structural design of hybrid steel-timber buildings to reduce global warming potential of the superstructure frame by between 5% and 35% relative to conventional steel and concrete construction. © 2023 Elsevier Ltd</t>
  </si>
  <si>
    <t>Architectural design; Carbon; Concretes; Floors; Gas emissions; Global warming; Greenhouse gases; Timber; % reductions; Conventional steel; Cross laminated; Embodied carbons; Global warming potential; Laminated timber; Production stage; Steel concrete; Timber buildings; Timber floors; Structural design</t>
  </si>
  <si>
    <t>A.R. Phillips; Department of Civil &amp; Environmental Engineering, Washington State University, Pullman, 99163, United States; email: a.phillips@wsu.edu</t>
  </si>
  <si>
    <t>Elsevier Ltd</t>
  </si>
  <si>
    <t>J. Build. Eng.</t>
  </si>
  <si>
    <t>2-s2.0-85161998408</t>
  </si>
  <si>
    <t>Salles E Portugal R.; Lawrence B.; Laleicke P.F.; Sinha A.</t>
  </si>
  <si>
    <t>57203041069; 57203043062; 57201461333; 57203184231</t>
  </si>
  <si>
    <t>Technical note: A preliminary study to quantify the environmental impacts of concrete and cork flooring</t>
  </si>
  <si>
    <t>Wood and Fiber Science</t>
  </si>
  <si>
    <t>10.22382/wfs-2018-011</t>
  </si>
  <si>
    <t>https://www.scopus.com/pages/publications/85050349907?origin=resultslist</t>
  </si>
  <si>
    <t>Department of Forest Biomaterials, North Carolina State University, Raleigh, 27695, NC, United States; Department of Wood Science and Engineering, Oregon State University, Corvallis, 97331, OR, United States</t>
  </si>
  <si>
    <t>Salles E Portugal R., Department of Forest Biomaterials, North Carolina State University, Raleigh, 27695, NC, United States; Lawrence B., Department of Forest Biomaterials, North Carolina State University, Raleigh, 27695, NC, United States; Laleicke P.F., Department of Forest Biomaterials, North Carolina State University, Raleigh, 27695, NC, United States; Sinha A., Department of Wood Science and Engineering, Oregon State University, Corvallis, 97331, OR, United States</t>
  </si>
  <si>
    <t>Cross-laminated timber (CLT) is currently sought as a sustainable and green building material. It does not meet the International Building Code sound insulating requirements, and either a concrete slab or hardwood flooring is needed to meet the acoustic and vibrational performance benchmark. Cork, the bark of the cork oak, is well known for its sound insulating properties and often used for flooring applications in Europe. The cork-based flooring system is a potential solution to the acoustic problem faced by the CLT building industry. The goal of this preliminary study was to quantify the environmental impacts of a concrete and a cork-based flooring system that includes CLT. A life-cycle analysis (LCA) is conducted to focus on a cradle-to-gate comparison of a cork flooring system with a locally sourced concrete flooring system for use in a proposed CLT structure in Portland, OR. The LCA reveals that the global warming potential (GWP) of concrete is 25% higher for the concrete flooring system. For cork flooring, the GWP is mainly driven by inorganic compounds in the flooring assembly. The main source for cork is Portugal, which increases the GWP of the cork flooring system, in contrast to that of concrete flooring, which typically has a regional production and supply system. As environmental abatement costs increase, the profitability of cork flooring can increase to justify the creation of an appropriate system to close the loop. © 2018 by the Society of Wood Science and Technology.</t>
  </si>
  <si>
    <t>Cement; CLT; Cork; Flooring; LCA; Renewable; Sustainable</t>
  </si>
  <si>
    <t>Cork; Floors; Hardwoods; Inorganic Compounds; International; Life Cycle; Acoustic fields; Artificial life; Benchmarking; Building codes; Cements; Concrete construction; Concrete slabs; Construction industry; Environmental impact; Global warming; Hardwoods; Inorganic compounds; Life cycle; Sustainable development; Cork; Environmental abatement costs; Flooring; Global warming potential; Green building materials; International Building Code; Renewable; Sustainable; Floors</t>
  </si>
  <si>
    <t>P.F. Laleicke; Department of Forest Biomaterials, North Carolina State University, Raleigh, 27695, United States; email: Frederik@Laleicke.com</t>
  </si>
  <si>
    <t>Society of Wood Science and Technology</t>
  </si>
  <si>
    <t>WFSCD</t>
  </si>
  <si>
    <t>Wood Fiber Sci</t>
  </si>
  <si>
    <t>All Open Access; Gold Open Access</t>
  </si>
  <si>
    <t>2-s2.0-85050349907</t>
  </si>
  <si>
    <t>Eslami H.; Yaghma A.; Jayasinghe L.B.; Waldmann D.</t>
  </si>
  <si>
    <t>57272842800; 58604635500; 55626539700; 26636742700</t>
  </si>
  <si>
    <t>INFLUENCE OF DIFFERENT END-OF-LIFE CYCLE SCENARIOS ON THE ENVIRONMENTAL IMPACTS OF TIMBER-CONCRETE COMPOSITE FLOOR SYSTEMS</t>
  </si>
  <si>
    <t>13th World Conference on Timber Engineering, WCTE 2023</t>
  </si>
  <si>
    <t>10.52202/069179-0134</t>
  </si>
  <si>
    <t>https://www.scopus.com/pages/publications/85166200336?origin=resultslist</t>
  </si>
  <si>
    <t>FSTM University of Luxembourg, Luxembourg; Massivbau TU Darmstadt, Germany</t>
  </si>
  <si>
    <t>Eslami H., FSTM University of Luxembourg, Luxembourg; Yaghma A., FSTM University of Luxembourg, Luxembourg; Jayasinghe L.B., FSTM University of Luxembourg, Luxembourg; Waldmann D., Massivbau TU Darmstadt, Germany</t>
  </si>
  <si>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</si>
  <si>
    <t>Environmental impact; Life cycle assessment; Reusable slab; Timber-concrete composite floor system</t>
  </si>
  <si>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</si>
  <si>
    <t>Nyrud A.Q.; Malo K.A.; Nore K.; Alsen K.W.L.; Tulebekova S.; Staehr E.R.; Bergh G.; Wuyts W.</t>
  </si>
  <si>
    <t>World Conference on Timber Engineering (WCTE)</t>
  </si>
  <si>
    <t>978-171387329-7</t>
  </si>
  <si>
    <t>World Conf. Timber Eng., WCTE</t>
  </si>
  <si>
    <t>Conference paper</t>
  </si>
  <si>
    <t>2-s2.0-85166200336</t>
  </si>
  <si>
    <t>Hassan O.A.B.; Öberg F.; Gezelius E.</t>
  </si>
  <si>
    <t>14022549700; 59429427900; 57210149692</t>
  </si>
  <si>
    <t>Cross-laminated timber flooring and concrete slab flooring: A comparative study of structural design, economic and environmental consequences</t>
  </si>
  <si>
    <t>10.1016/j.jobe.2019.100881</t>
  </si>
  <si>
    <t>https://www.scopus.com/pages/publications/85069640267?origin=resultslist</t>
  </si>
  <si>
    <t>Department of Science and Technology, Linköping University, Norrköping, 601 74, Sweden; Drivhusvägen 38, Huskvarna, 56139, Sweden; Värmbolsvägen 3, Katrineholm, 641 51, Sweden</t>
  </si>
  <si>
    <t>Hassan O.A.B., Department of Science and Technology, Linköping University, Norrköping, 601 74, Sweden; Öberg F., Drivhusvägen 38, Huskvarna, 56139, Sweden; Gezelius E., Värmbolsvägen 3, Katrineholm, 641 51, Sweden</t>
  </si>
  <si>
    <t>This paper compares cross-laminated timber (CLT) flooring and concrete slab flooring with respect to structural design, cost analysis, and greenhouse gas emissions. The effect of floor span on design values, costs, and carbon dioxide emissions is analysed in terms of structural design, economy, and environmental impact. Different cross-sections are chosen for this purpose. The study shows that CLT flooring has significantly lower emissions of climate-impact greenhouse gases, and its ability to store carbon is significantly greater than the capacity of concrete storage. From an economic point of view, the CLT material is more expensive than concrete. However, the estimated “ready-to-assemble” cost of both floor types is quite similar. The study shows that CLT flooring can compete with a concrete slab floor when it comes to a span as wide as 7 m without violating the structural requirements. However, with an increase in span, it is more difficult to meet the requirements for vibration for a CLT floor than for a concrete slab. At shorter spans, the moment capacity is often a decisive factor for concrete slabs while deformation is the decisive factor for a CLT floor. For larger spans, resonance frequency and deformation are crucial for the CLT floor, while the long-term deformation of the concrete is the decisive factor in structural design. © 2019 Elsevier Ltd</t>
  </si>
  <si>
    <t>Cost analysis; Eurocode 2; Eurocode 3; Greenhouse effects; Timber and concrete slabs</t>
  </si>
  <si>
    <t>Carbon dioxide; Codes (standards); Concrete slabs; Cost accounting; Cost benefit analysis; Deformation; Environmental impact; Finite difference method; Floors; Gas emissions; Global warming; Greenhouse effect; Greenhouse gases; Laminating; Structural design; Comparatives studies; Cost analysis; Cross laminated; Economic consequences; Environmental consequences; Eurocode 3; Eurocode2; Laminated timber; Timber and concrete slab; Timber floors; Timber</t>
  </si>
  <si>
    <t>O.A.B. Hassan; Department of Science and Technology, Linköping University, Norrköping, 601 74, Sweden; email: osama.hassan@liu.se</t>
  </si>
  <si>
    <t>Review</t>
  </si>
  <si>
    <t>2-s2.0-85069640267</t>
  </si>
  <si>
    <t>Rauf A.; Shafiq M.T.</t>
  </si>
  <si>
    <t>56592043300; 55671258600</t>
  </si>
  <si>
    <t>Reducing Embodied Energy of Floor Assembly: A Case for Using CLT in Mid-Rise Residential Buildings</t>
  </si>
  <si>
    <t>Lecture Notes in Civil Engineering</t>
  </si>
  <si>
    <t>10.1007/978-981-99-6368-3_14</t>
  </si>
  <si>
    <t>https://www.scopus.com/pages/publications/85185826337?origin=resultslist</t>
  </si>
  <si>
    <t>Department of Architectural Engineering, College of Engineering, United Arab Emirates University, Al Ain, Abu Dhabi, 15551, United Arab Emirates</t>
  </si>
  <si>
    <t>Rauf A., Department of Architectural Engineering, College of Engineering, United Arab Emirates University, Al Ain, Abu Dhabi, 15551, United Arab Emirates; Shafiq M.T., Department of Architectural Engineering, College of Engineering, United Arab Emirates University, Al Ain, Abu Dhabi, 15551, United Arab Emirates</t>
  </si>
  <si>
    <t>Buildings’ energy consumption is estimated between 30 and 40% of its global use, resulting in various environmental impacts. There is a need to reduce the energy consumption by buildings in the construction phase, along with the operation phase, which is well-studied. Concrete is a construction material that is being used widely in the construction industry but has high embodied energy. In the move towards using low-energy materials, new materials and construction technologies are being developed and studied. In this regard, Cross lamented timber (CLT) can be a sustainable alternative due to its excellent load-carrying capabilities, and therefore has become an emerging choice in buildings as a low embodied energy material alternative. This paper aims to explore the potential initial embodied energy reduction benefits by comparing the initial embodied energy consumption of concrete floor systems and CLT floor systems for mid-rise residential buildings. An eight-story apartment building was used for this analysis. This study shows that replacing the reinforced concrete floor with a CLT floor results in more than four times reduction in embodied energy associated with floor construction. This demonstrates the need for careful selection of materials in buildings at the design stage to reduce their embodied energy and consider the use of CLT instead of reinforced concrete in this context. Results from this initial study also indicate the need for more studies to address the challenges associated with the adoption of this low embodied energy material. © The Author(s), under exclusive license to Springer Nature Singapore Pte Ltd. 2024.</t>
  </si>
  <si>
    <t>Construction materials; Cross-laminated timber; Floor assembly; Initial embodied energy; Input–output based hybrid assessment</t>
  </si>
  <si>
    <t>Apartment houses; Construction industry; Energy utilization; Environmental impact; Hybrid materials; Reinforced concrete; Timber; Cross laminated; Cross-laminated timber; Embodied energy; Energy materials; Floor assembly; Initial embodied energy; Input-output; Input–output based hybrid assessment; Laminated timber; Residential building; Floors</t>
  </si>
  <si>
    <t>A. Rauf; Department of Architectural Engineering, College of Engineering, United Arab Emirates University, Abu Dhabi, Al Ain, 15551, United Arab Emirates; email: a.rauf@uaeu.ac.ae</t>
  </si>
  <si>
    <t>Casini M.</t>
  </si>
  <si>
    <t>Springer Science and Business Media Deutschland GmbH</t>
  </si>
  <si>
    <t>978-981996367-6</t>
  </si>
  <si>
    <t>Lect. Notes Civ. Eng.</t>
  </si>
  <si>
    <t>2-s2.0-85185826337</t>
  </si>
  <si>
    <t>Chiniforush A.A.; Akbarnezhad A.; Valipour H.; Dackermann U.</t>
  </si>
  <si>
    <t>57190258599; 36730725400; 6508258428; 29667491700</t>
  </si>
  <si>
    <t>Dynamic response of steel-timber composite (STC) beams</t>
  </si>
  <si>
    <t>24th International Congress on Sound and Vibration, ICSV 2017</t>
  </si>
  <si>
    <t>https://www.scopus.com/pages/publications/85029448417?origin=resultslist</t>
  </si>
  <si>
    <t>Centre for Infrastructure Engineering and Safety, School of Civil and Environmental Engineering, University of New South Wales, Sydney, NSW, Australia</t>
  </si>
  <si>
    <t>Chiniforush A.A., Centre for Infrastructure Engineering and Safety, School of Civil and Environmental Engineering, University of New South Wales, Sydney, NSW, Australia; Akbarnezhad A., Centre for Infrastructure Engineering and Safety, School of Civil and Environmental Engineering, University of New South Wales, Sydney, NSW, Australia; Valipour H., Centre for Infrastructure Engineering and Safety, School of Civil and Environmental Engineering, University of New South Wales, Sydney, NSW, Australia; Dackermann U., Centre for Infrastructure Engineering and Safety, School of Civil and Environmental Engineering, University of New South Wales, Sydney, NSW, Australia</t>
  </si>
  <si>
    <t>Due to their recyclability and considerably lower embodied carbon, timber floors are advocated extensively as a more sustainable alternative to concrete slabs. Cross-Laminated Timber (CLT) is an engineered wood product with low variability in mechanical properties and therefore of high reliability and quality, presenting a very attractive alternative to concrete slabs. Replacing the reinforced concrete slabs in conventional steel-concrete composite with an engineered timber product (such as CLT) leads to a significant reduction in the overall weight of the floors, and consequently the weight of supporting structural elements including columns and beams. The combination of light CLT panels and steel may allow an increase in the load-carrying span of the floor systems which is highly desirable from an architectural viewpoint. However, one major drawback negatively affecting the serviceability and thus widespread adoption of such systems in practice is the high susceptibility of undesirable vibration in steel-timber composite (STC) floors under service load conditions due to low mass and damping ratio of timber slabs. This paper presents the results of a series of experimental impact hammer tests conducted to investigate the vibrational characteristics of different STC beams. Three STC beams with different shear connector types are experimentally tested to extract their natural frequencies. Numerical models are generated and validated using the results of previously performed short-term failure tests. The validated numerical models are then used to extract the linear flexural stiffness of STC beams to determine the deflection of the beams under self-weight. The experimental results are compared against results from analytical models calculating the fundamental natural frequencies of the beams. Further, the obtained dynamic indices of STC beams are evaluated based on available standard regulations.</t>
  </si>
  <si>
    <t>Cross laminated timber (CLT); Impact hammer testing; Steel-timber composite (STC) beams; Vibration serviceability of floors</t>
  </si>
  <si>
    <t>Building materials; Carbon; Composite structures; Concrete slabs; Concretes; Floors; Hammers; Laminated composites; Laminating; Natural frequencies; Numerical models; Reinforced concrete; Steel testing; Wood products; Architectural viewpoints; Cross laminated; Engineered wood products; Impact hammer testing; Impact hammer tests; Service load condition; Short-term failures; Vibration serviceability; Timber</t>
  </si>
  <si>
    <t>Gibbs B.</t>
  </si>
  <si>
    <t>International Institute of Acoustics and Vibration, IIAV</t>
  </si>
  <si>
    <t>Int. Congr. Sound Vib., ICSV</t>
  </si>
  <si>
    <t>2-s2.0-85029448417</t>
  </si>
  <si>
    <t>Mirdad M.A.H.; Daneshvar H.; Joyce T.; Chui Y.H.</t>
  </si>
  <si>
    <t>57190062072; 36730729900; 57204966326; 7004982369</t>
  </si>
  <si>
    <t>Sustainability Design Considerations for Timber-Concrete Composite Floor Systems</t>
  </si>
  <si>
    <t>Advances in Civil Engineering</t>
  </si>
  <si>
    <t>10.1155/2021/6688076</t>
  </si>
  <si>
    <t>https://www.scopus.com/pages/publications/85103552039?origin=resultslist</t>
  </si>
  <si>
    <t>Department of Civil and Environmental Engineering, University of Alberta, 9211 116 Street NW, Edmonton, T6G1H9, AB, Canada</t>
  </si>
  <si>
    <t>Mirdad M.A.H., Department of Civil and Environmental Engineering, University of Alberta, 9211 116 Street NW, Edmonton, T6G1H9, AB, Canada; Daneshvar H., Department of Civil and Environmental Engineering, University of Alberta, 9211 116 Street NW, Edmonton, T6G1H9, AB, Canada; Joyce T., Department of Civil and Environmental Engineering, University of Alberta, 9211 116 Street NW, Edmonton, T6G1H9, AB, Canada; Chui Y.H., Department of Civil and Environmental Engineering, University of Alberta, 9211 116 Street NW, Edmonton, T6G1H9, AB, Canada</t>
  </si>
  <si>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  © 2021 Md Abdul Hamid Mirdad et al.</t>
  </si>
  <si>
    <t>M.A.H. Mirdad; Department of Civil and Environmental Engineering, University of Alberta, Edmonton, 9211 116 Street NW, T6G1H9, Canada; email: mdabdul@ualberta.ca; M.A.H. Mirdad; Department of Civil and Environmental Engineering, University of Alberta, Edmonton, 9211 116 Street NW, T6G1H9, Canada; email: mdabdul@ualberta.ca</t>
  </si>
  <si>
    <t>Hindawi Limited</t>
  </si>
  <si>
    <t>Adv. Civ. Eng.</t>
  </si>
  <si>
    <t>2-s2.0-85103552039</t>
  </si>
  <si>
    <t>Ijeoma M.W.; Ou S.; Nabati A.; Chen H.; Stoner M.; Layton P.; Albright D.; Ross B.; Pang W.; Carbajales-Dale M.</t>
  </si>
  <si>
    <t>58644049100; 58577750400; 36601248800; 58643831700; 57193124992; 6602579104; 57193121876; 16547000500; 24315073800; 56703480100</t>
  </si>
  <si>
    <t>Environmental benefits of using an all-wood floor system in midrise office construction: an LCA based comparative case study in the Southeastern United States</t>
  </si>
  <si>
    <t>Environmental Research Communications</t>
  </si>
  <si>
    <t>10.1088/2515-7620/ae1f6a</t>
  </si>
  <si>
    <t>https://www.scopus.com/pages/publications/105034173755?origin=resultslist</t>
  </si>
  <si>
    <t>School of Civil and Environmental Engineering and Earth Sciences, Clemson University, United States; Wood Utilization + Design Institute, Clemson University, United States; School of Architecture, Clemson University, United States</t>
  </si>
  <si>
    <t>Ijeoma M.W., School of Civil and Environmental Engineering and Earth Sciences, Clemson University, United States; Ou S., School of Civil and Environmental Engineering and Earth Sciences, Clemson University, United States; Nabati A., School of Civil and Environmental Engineering and Earth Sciences, Clemson University, United States; Chen H., School of Civil and Environmental Engineering and Earth Sciences, Clemson University, United States; Stoner M., School of Civil and Environmental Engineering and Earth Sciences, Clemson University, United States; Layton P., Wood Utilization + Design Institute, Clemson University, United States; Albright D., School of Architecture, Clemson University, United States; Ross B., School of Civil and Environmental Engineering and Earth Sciences, Clemson University, United States; Pang W., School of Civil and Environmental Engineering and Earth Sciences, Clemson University, United States; Carbajales-Dale M., School of Civil and Environmental Engineering and Earth Sciences, Clemson University, United States</t>
  </si>
  <si>
    <t>This study presents a cradle-to-grave whole-building life cycle assessment (WBLCA) of two functionally equivalent mid-rise commercial office buildings in Atlanta, Georgia: one constructed using mass timber with an all-wood composite floor system (CLT and GLT), and the other using conventional steel and reinforced concrete. Using Tally®, a Revit-integrated LCA tool, environmental impacts were evaluated across eight categories: global warming, acidification, eutrophication, smog formation, ozone depletion, total primary energy, renewable and non-renewable energy use, and normalized to 1 m2 of floor area over a 50-year service life. Results showed that the mass timber building required 25% less material mass and achieved a 4.5% reduction in global warming potential (GWP) (2801.12 kg CO2-eq/m2 versus 2975.85 kg CO2-eq/m2 for the steel–concrete system) and 27.9% more renewable energy use. However, timber’s carbon advantage was diminished by conservative end-of-life modeling, assuming 63.5% wood landfilling and 98% steel recycling, which significantly influenced net GWP through Module D credits. Additionally, the mass timber building stored 857,551 tCO2-eq in wood components (long-term biogenic carbon storage). The timber structure also exhibited higher eutrophication and acidification impacts, primarily due to emissions from adhesives and chemical treatments. Contribution analysis showed that finishes and non-structural components contributed disproportionately to overall impacts in both systems, illustrating the limitations of focusing solely on structural materials in building LCA. The findings emphasize the need for integrated material strategies, circular end-of-life planning, and regionally grounded modeling to fully realize the environmental potential of wood-based construction. © 2025 The Author(s). Published by IOP Publishing Ltd.</t>
  </si>
  <si>
    <t>biogenic carbon; cross laminated timber; mid-rise office buildings; U.S. Southeast; whole building life cycle assessment; wood composite floor system</t>
  </si>
  <si>
    <t>United States; building; carbon; comparative study; composite; construction; floor; life cycle analysis; timber; wood</t>
  </si>
  <si>
    <t>M.W. Ijeoma; School of Civil and Environmental Engineering and Earth Sciences, Clemson University, United States; email: mijeoma@clemson.edu</t>
  </si>
  <si>
    <t>Institute of Physics</t>
  </si>
  <si>
    <t>Environ. Res. Commun.</t>
  </si>
  <si>
    <t>2-s2.0-105034173755</t>
  </si>
  <si>
    <t>Cleghorn S.; Callaghan A.</t>
  </si>
  <si>
    <t>59984081900; 58591306600</t>
  </si>
  <si>
    <t>BALANCING FASTENER SPACING, ACOUSTICS, AND SPAN LENGTH IN EXPOSED CLT FLOOR-CEILING ASSEMBLIES</t>
  </si>
  <si>
    <t>Proceedings from the 14th World Conference on Timber Engineering: Advancing Timber for the Future Built Environment, WCTE 2025</t>
  </si>
  <si>
    <t>10.52202/080513-0173</t>
  </si>
  <si>
    <t>https://www.scopus.com/pages/publications/105010279515?origin=resultslist</t>
  </si>
  <si>
    <t>Pliteq Inc., Toronto, Canada; Pliteq Inc., Vancouver, Canada</t>
  </si>
  <si>
    <t>Cleghorn S., Pliteq Inc., Toronto, Canada; Callaghan A., Pliteq Inc., Vancouver, Canada</t>
  </si>
  <si>
    <t>Aside from sustainability, one of the most unique benefits of mass timber as a construction material is its extremely high strength-to-weight ratio. As a result, the weight of a floor slab in a mass timber building is much lighter than in a building constructed with conventional material. This unique benefit of engineered timber also comes with unique challenges. Albeit ironic, the low mass in mass timber assemblies is to blame for two of the most prominent pain points in engineered timber construction: floor vibration and sound transmission. Limits on floor vibration often result in short span lengths and tight structural grid spacing. Timber-concrete composite (TCC) floor systems are one method that can be used to alleviate this restriction. However, connecting a concrete topping to the timber panel underneath with mechanical fasteners harms the acoustic performance of the floor assembly. In this paper, the relationship between fastener spacing, composite slab behaviour, and sound transmission is investigated. Physical testing is carried out to determine the degree of composite action achieved with a timber-concrete composite system in the presence of a resilient acoustic interlayer. The data obtained is used to analyse the resulting span and acoustic performance with various spacing of fasteners. © (2025) WORLD CONFERENCE ON TIMBER ENGINEERING 2025 (WCTE 2025) All rights reserved.</t>
  </si>
  <si>
    <t>Acoustics; Cross Laminated Timber; Span; Vibration</t>
  </si>
  <si>
    <t>Acoustic wave transmission; Architectural acoustics; Concrete slabs; Fasteners; Structural dynamics; Timber; Transmissions; Wooden buildings; Wooden construction; Acoustic performance; Cross laminated; Cross laminated timber; Floor vibrations; Laminated timber; Sound transmission; Span; Span length; Timber-concrete composites; Vibration; Floors</t>
  </si>
  <si>
    <t>Rischmiller K.; Saleem M.A.; Downey C.; Gattas J.; Hossy D.; Ottenhaus L.; Wu W.; Zhang Y.; Yan Z.</t>
  </si>
  <si>
    <t>979-833132089-8</t>
  </si>
  <si>
    <t>Proc. from World Conf. Timber Eng.: Adv. Timber Future Built Environ., WCTE</t>
  </si>
  <si>
    <t>2-s2.0-105010279515</t>
  </si>
  <si>
    <t>Park J.H.; Yuk H.; Kang S.T.; Kim S.</t>
  </si>
  <si>
    <t>32867930500; 57219846158; 59722442600; 8542733000</t>
  </si>
  <si>
    <t>Integrating thermal bridge analysis with life-cycle assessment: energy and environmental performance of Ply-Lam CLT envelopes in ZEB-Level apartments</t>
  </si>
  <si>
    <t>Building and Environment</t>
  </si>
  <si>
    <t>10.1016/j.buildenv.2025.114169</t>
  </si>
  <si>
    <t>https://www.scopus.com/pages/publications/105026165786?origin=resultslist</t>
  </si>
  <si>
    <t>Department of Architecture and Architectural Engineering, Yonsei University, Seoul, 03722, South Korea</t>
  </si>
  <si>
    <t>Park J.H., Department of Architecture and Architectural Engineering, Yonsei University, Seoul, 03722, South Korea; Yuk H., Department of Architecture and Architectural Engineering, Yonsei University, Seoul, 03722, South Korea; Kang S.T., Department of Architecture and Architectural Engineering, Yonsei University, Seoul, 03722, South Korea; Kim S., Department of Architecture and Architectural Engineering, Yonsei University, Seoul, 03722, South Korea</t>
  </si>
  <si>
    <t>Building envelopes play a decisive role in both the operational energy use and life-cycle carbon emissions, particularly when junction thermal bridges are considered. In Korean apartment housing, reinforced concrete (RC) construction with interior insulation remains dominant; however, it is structurally vulnerable to heat losses at wall–slab connections. To address this drawback, ply-lam cross-laminated timber (CLT) was evaluated as an alternative envelope system using a coupled framework integrating ISO 10,211-based thermal bridge modeling, whole-building simulations in DesignBuilder, and life-cycle assessment (LCA), following EN 15,804+A2. Substituting RC walls with ply-lam CLT reduced annual primary energy consumption by 5%–9%. Junction thermal bridges in RC resulted in additional losses of 125.1 W/K, whereas the CLT alternative achieved only 13.0 W/K, representing an 89.6% reduction. Roof and corner junctions in CLT satisfied the stringent Ψ ≤ 0.05 W/m·K benchmark, whereas floor junctions approached this target. From a carbon perspective, CLT envelopes achieved an approximately 10% reduction in 30-year operational global warming potential (GWP) and further reductions in embodied GWP through lower manufacturing emissions and biogenic carbon storage, leading to a net decrease of approximately 59 kgCO₂eq/m² relative to RC. The results highlight the structural vulnerability of RC systems and the resilience of CLT alternatives when configured with continuous insulation and optimized details. By integrating junction-scale thermal bridge modeling with whole-building energy and life-cycle carbon analyses, this study provides comprehensive evidence for CLT as a competitive pathway to support low-carbon housing and national carbon neutrality goals. © 2025</t>
  </si>
  <si>
    <t>Apartment; Cross-laminated timber; Life-cycle assessment; Thermal bridge; Zero-energy building</t>
  </si>
  <si>
    <t>Bridges; Carbon; Carbon cycle; Concrete slabs; Energy utilization; Intelligent buildings; Laminating; Life cycle; Life cycle assessment; Structural design; Walls (structural partitions); Zero energy buildings; % reductions; Apartment; Bridge analysis; Bridge model; Cross laminated; Cross-laminated timber; Global warming potential; Laminated timber; Thermal bridge; Zero energies; carbon emission; energy management; energy use; environmental assessment; life cycle analysis; Apartment houses</t>
  </si>
  <si>
    <t>S. Kim; Department of Architecture and Architectural Engineering, Yonsei University, Seoul, 03722, South Korea; email: kimsumin@yonsei.ac.kr</t>
  </si>
  <si>
    <t>BUEND</t>
  </si>
  <si>
    <t>Build. Environ.</t>
  </si>
  <si>
    <t>2-s2.0-105026165786</t>
  </si>
  <si>
    <t>Sener K.; Mutlu E.; Anil O.</t>
  </si>
  <si>
    <t>55366144500; 57215544445; 6508251680</t>
  </si>
  <si>
    <t>A COMPARATIVE DESIGN AND LCA STUDY ON THE FEASIBILITY OF EARTHQUAKE-RESISTANT MASS-TIMBER BUILDINGS</t>
  </si>
  <si>
    <t>World Conference on Earthquake Engineering proceedings</t>
  </si>
  <si>
    <t>https://www.scopus.com/pages/publications/105027857079?origin=resultslist</t>
  </si>
  <si>
    <t>Auburn University, Auburn, AL, United States; Gazi University, Ankara, Turkey</t>
  </si>
  <si>
    <t>Sener K., Auburn University, Auburn, AL, United States; Mutlu E., Auburn University, Auburn, AL, United States; Anil O., Gazi University, Ankara, Turkey</t>
  </si>
  <si>
    <t>The building and construction industry drives the largest portion of global energy use and emissions. With climate change mitigation being a forefront topic of concern, the building and construction industry has a responsibility to alleviate its environmental impact, particularly in developing countries with a need for sustainable structural systems that explicitly consider environmental impact. Mass timber has recently emerged as a viable alternative to conventional construction materials and gained significant popularity in many developed nations. Recent design code advancements on mass timber elements and systems have paved the way for their use as multi-story building systems in seismic-prone regions. The devastating earthquakes that took place on February 3, 2023, in Turkiye have showcased the poor performance of the reinforced concrete building inventory. As the earthquakes affected a populated province where a vast majority of buildings sustained significant damage, hundreds of thousands of new buildings are expected to be constructed in the near term. Considering 93% of Turkiye’s population resides in considerably high earthquake-hazard regions, this rebuilding process gives a rare opportunity for constructing buildings with low-carbon structural solutions that utilize sustainable materials as well as modularity and prefabrication practices, therefore enabling the speedy constructability needed for the region. To evaluate the feasibility and potential benefits of seismic-resistant multi-story mass timber structures in Turkiye, this study conducts a comparative study between functionally equivalent reinforced concrete and mass timber buildings. The buildings use generic floor plans obtained from governmental agencies in Turkiye that mainly utilize shear wall systems for both gravity and lateral load resistance. The objective of the study was to investigate the design, lateral load performance, and economic aspects of the systems with a particular emphasis on sustainability through conducting a comparative life cycle assessment of mass timber relative to conventional reinforced concrete systems using realistic building layouts. The designed timber structure showcased adequate performance under seismic loads and was found to be considerably more environmentally advantageous compared to the companion reinforced concrete building. The mass-timber building resulted being more expensive based on material cost, but the difference is expected to shrink with more widespread CLT manufacturing in future. © 2024, International Association for Earthquake Engineering. All rights reserved.</t>
  </si>
  <si>
    <t>Concrete buildings; Concrete construction; Earthquake effects; Mortar; Seismic design; Structural dynamics; Wooden buildings; Building and construction; Climate change mitigation; Earthquake resistant; Energy emissions; Energy use; Global energy; Lateral loads; Reinforced concrete buildings; Timber buildings; Timber structures; Shear walls</t>
  </si>
  <si>
    <t>International Association for Earthquake Engineering</t>
  </si>
  <si>
    <t>World Conf. Earthq. Eng. Proc.</t>
  </si>
  <si>
    <t>Book chapter</t>
  </si>
  <si>
    <t>2-s2.0-105027857079</t>
  </si>
  <si>
    <t>Lolli N.; Fufa S.M.; Kjendseth Wiik M.</t>
  </si>
  <si>
    <t>56395455700; 49863337000; 57913703100</t>
  </si>
  <si>
    <t>An assessment of greenhouse gas emissions from CLT and glulam in two residential nearly zero energy buildings</t>
  </si>
  <si>
    <t>Wood Material Science and Engineering</t>
  </si>
  <si>
    <t>10.1080/17480272.2019.1655792</t>
  </si>
  <si>
    <t>https://www.scopus.com/pages/publications/85070950776?origin=resultslist</t>
  </si>
  <si>
    <t>SINTEF, Building and Infrastructure, Trondheim, Norway; SINTEF, Building and Infrastructure, Oslo, Norway</t>
  </si>
  <si>
    <t>Lolli N., SINTEF, Building and Infrastructure, Trondheim, Norway; Fufa S.M., SINTEF, Building and Infrastructure, Oslo, Norway; Kjendseth Wiik M., SINTEF, Building and Infrastructure, Oslo, Norway</t>
  </si>
  <si>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m2. The apartment building in Växjö, House A, consists of 8 floors composed of glued laminated timber (glulam) beams with a wood-cassette floor, and concrete slabs with a total heated floor area of 3483 m2.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 © 2019, © 2019 Informa UK Limited, trading as Taylor &amp; Francis Group.</t>
  </si>
  <si>
    <t>Cross laminated timber; environmental product declaration; glue laminated timber; greenhouse gas emission; life cycle assessment; nearly zero energy building</t>
  </si>
  <si>
    <t>Floors; Gluing; Greenhouse Gases; Heating; Lamination; Life Cycle; Apartment houses; Concrete slabs; Electric power systems; Floors; Gas emissions; Glues; Gluing; Greenhouse gases; Heating; Laminating; Life cycle; Timber; Wooden floors; Comparative assessment; Cross laminated; Electric energy systems; Environmental product declarations; Glue laminated timber; Glued laminated timber (glulam); Life Cycle Assessment (LCA); Residential building; Zero energy buildings</t>
  </si>
  <si>
    <t>N. Lolli; SINTEF, Building and Infrastructure, Trondheim, Norway; email: nicola.lolli@sintef.no</t>
  </si>
  <si>
    <t>Taylor and Francis Ltd.</t>
  </si>
  <si>
    <t>Wood Mater. Sci. Eng.</t>
  </si>
  <si>
    <t>2-s2.0-85070950776</t>
  </si>
  <si>
    <t>Mirdad M.A.H.; Chui Y.H.</t>
  </si>
  <si>
    <t>57190062072; 7004982369</t>
  </si>
  <si>
    <t>Load-slip performance of Mass Timber Panel-Concrete (MTPC) composite connection with Self-tapping screws and insulation layer</t>
  </si>
  <si>
    <t>Construction and Building Materials</t>
  </si>
  <si>
    <t>10.1016/j.conbuildmat.2019.04.117</t>
  </si>
  <si>
    <t>https://www.scopus.com/pages/publications/85064437748?origin=resultslist</t>
  </si>
  <si>
    <t>Department of Civil and Environmental Engineering, Donadeo Innovation Centre for Engineering, University of Alberta, Edmonton, T6G 1H9, Alberta, Canada</t>
  </si>
  <si>
    <t>Mirdad M.A.H., Department of Civil and Environmental Engineering, Donadeo Innovation Centre for Engineering, University of Alberta, Edmonton, T6G 1H9, Alberta, Canada; Chui Y.H., Department of Civil and Environmental Engineering, Donadeo Innovation Centre for Engineering, University of Alberta, Edmonton, T6G 1H9, Alberta, Canada</t>
  </si>
  <si>
    <t>The Mass Timber Panel-Concrete (MTPC) composite floor systems are often encountered in mass timber buildings. Such a floor system consists of a Mass Timber Panel (MTP) connected to a reinforced concrete slab with Self-Tapping Screw (STS) connector and a sound insulation layer in between. In this study three types of MTPs with normal weight concrete, three insulation thicknesses, two screw embedment lengths and two screw angles were tested to characterize connection stiffness and strength. The main goal of this connection test program was to provide preliminary test data to assist in the development of an analytical model to predict connection lateral stiffness and strength considering the insulation layer in the MTPC system. Test results showed that connections with screws at an insertion angle of 30° had a larger stiffness and strength than connections with screws inserted at a 45° angle. Stiffness appears to be more sensitive to the presence of an insulation layer compared to strength. Overall, 35–50% and 55–65% reduction of serviceability stiffness, and 5–15% and 22–34% reduction of strength were noticed for an insulation thickness of 5 mm and 15 mm, respectively. Screws in Cross Laminated Timber (CLT) showed higher strength while screws in Glue Laminated Timber (GLT) showed higher stiffness, but the difference is insignificant in all three MTP products with different failure modes. © 2019 Elsevier Ltd</t>
  </si>
  <si>
    <t>Insulation layer; Mass timber panel; Self-tapping screw; Timber-concrete composite floor</t>
  </si>
  <si>
    <t>Concrete slabs; Floors; Laminating; Reinforced concrete; Screws; Software testing; Stiffness; Timber; Wooden buildings; Composite connections; Composite floor systems; Glue laminated timber; Insulation layers; Mass timber panel; Normal weight concrete; Self-tapping screws; Timber-concrete composites; Sound insulation</t>
  </si>
  <si>
    <t>M.A.H. Mirdad; Department of Civil and Environmental Engineering, Donadeo Innovation Centre for Engineering, University of Alberta, Edmonton, T6G 1H9, Canada; email: mdabdul@ualberta.ca</t>
  </si>
  <si>
    <t>CBUME</t>
  </si>
  <si>
    <t>Constr Build Mater</t>
  </si>
  <si>
    <t>2-s2.0-85064437748</t>
  </si>
  <si>
    <t>Jafari M.; Sgambi L.</t>
  </si>
  <si>
    <t>60173507600; 6506784463</t>
  </si>
  <si>
    <t>Assessing the Environmental Performance of Hybrid Timber-Concrete Systems in High-Rise Building</t>
  </si>
  <si>
    <t>Proceedings of the International Conference of Architectural Science Association</t>
  </si>
  <si>
    <t>10.65388/NUHN4734</t>
  </si>
  <si>
    <t>https://www.scopus.com/pages/publications/105034748919?origin=resultslist</t>
  </si>
  <si>
    <t>Université Catholique de Louvain, Louvain-la-Neuve, Belgium</t>
  </si>
  <si>
    <t>Jafari M., Université Catholique de Louvain, Louvain-la-Neuve, Belgium; Sgambi L., Université Catholique de Louvain, Louvain-la-Neuve, Belgium</t>
  </si>
  <si>
    <t>The construction industry has traditionally relied on reinforced concrete as the primary structural material in high-rise buildings, valued for its strength, durability, and fire resistance. However, its high environmental impact-mainly due to cement production, which contributes approximately 8% of global CO2 emissions-has raised concerns about its sustainability. As global efforts to reduce carbon emissions intensify, alternative construction approaches are gaining traction. Among them, hybrid timber-concrete systems offer a promising solution by combining the carbon-storing benefits of timber with the structural advantages of concrete. This study evaluates the environmental performance of hybrid timber-concrete systems in a 40-storey, 120-meter high-rise tower by comparing five structural typologies that vary in the number of Cross-Laminated Timber (CLT) floor slabs. The reference typology consists of a fully concrete frame with a cast-in-place concrete core, BubbleDeck slabs, and brick walls. The four alternative designs retain the concrete core while progressively replacing concrete slabs with CLT and using CLT for the walls. Structural modelling is conducted using Karamba 3D, while embodied greenhouse gas emissions (EGHGE) are quantified based on Global Warming Potential (GWP) indicators from the ÖKOBAUDAT database and EN 15804+A2 standards. Acoustic and fire performance are also evaluated, ensuring compliance with Belgian fire regulations and NBN EN ISO 16283 standards. The results show that total emissions decrease from 11.3 million to 7.45 million kgCO2e as CLT use increases-a reduction of over 34%. The study confirms the potential of hybrid systems to reduce embodied carbon while maintaining performance and regulatory compliance. © 2025, The Architectural Science Association and The University of Melbourne, Australia.</t>
  </si>
  <si>
    <t>embodied greenhouse gas emissions; high-rise buildings; Hybrid timber-concrete buildings; life cycle assessment</t>
  </si>
  <si>
    <t>M. Jafari; Université Catholique de Louvain, Louvain-la-Neuve, Belgium; email: Maryam.jafari@uclouvain.be</t>
  </si>
  <si>
    <t>Crawford R.H.; Stephan A.; Candido C.; Helal J.; Gobinath P.</t>
  </si>
  <si>
    <t>Architectural Science Association</t>
  </si>
  <si>
    <t>978-176373991-8</t>
  </si>
  <si>
    <t>Proc. Internat. Conf.  Architech. Sci. Asso.</t>
  </si>
  <si>
    <t>2-s2.0-105034748919</t>
  </si>
  <si>
    <t>Chapagain A.; Crovella P.</t>
  </si>
  <si>
    <t>59961156800; 57190004292</t>
  </si>
  <si>
    <t>Building Sustainable Futures: Evaluating Embodied Carbon Emissions and Biogenic Carbon Storage in a Cross-Laminated Timber Wall and Floor (Honeycomb) Mass Timber Building</t>
  </si>
  <si>
    <t>Sustainability (Switzerland)</t>
  </si>
  <si>
    <t>10.3390/su17125602</t>
  </si>
  <si>
    <t>https://www.scopus.com/pages/publications/105008954389?origin=resultslist</t>
  </si>
  <si>
    <t>Department of Sustainable Resource Management, State University of New York College of Environmental Science and Forestry (SUNY ESF), 1 Forestry Drive, Syracuse, 13210, NY, United States</t>
  </si>
  <si>
    <t>Chapagain A., Department of Sustainable Resource Management, State University of New York College of Environmental Science and Forestry (SUNY ESF), 1 Forestry Drive, Syracuse, 13210, NY, United States; Crovella P., Department of Sustainable Resource Management, State University of New York College of Environmental Science and Forestry (SUNY ESF), 1 Forestry Drive, Syracuse, 13210, NY, United States</t>
  </si>
  <si>
    <t>The building sector significantly contributes to global energy consumption and carbon emissions, primarily due to the extensive use of carbon-intensive materials such as concrete and steel. Mass timber construction, particularly using cross-laminated timber (CLT), offers a promising low-carbon alternative. This study aims to calculate the embodied carbon emissions and biogenic carbon storage of a CLT-based affordable housing project, 340+ Dixwell in New Haven, Connecticut. This project was designed using a honeycomb structural system, where mass timber floors and roofs are supported by mass timber-bearing walls. The authors are not aware of a prior study that has evaluated the life cycle impacts of honeycomb mass timber construction while considering Timber Use Intensity (TUI). Unlike traditional post-and-beam systems, the honeycomb design uses nearly twice the amount of timber, resulting in higher carbon sequestration. This makes the study significant from a sustainability perspective. This study follows International Standard Organization (ISO) standards 14044, 21930, and 21931 and reports the results for both lifecycle stages A1–A3 and A1–A5. The analysis covers key building components, including the substructure, superstructure, and enclosure, with timber, concrete, metals, glass, and insulation as the materials assessed. Material quantities were extracted using Autodesk Revit®, and the life cycle assessment (LCA) was evaluated using One Click LCA (2015)®. The A1 to A3 stage results of this honeycomb building revealed that, compared to conventional mass timber housing structures such as Adohi Hall and Heartwood, it demonstrates the lowest embodiedf carbon emissions and the highest biogenic carbon storage per square foot. This outcome is largely influenced by its higher Timber Use Intensity (TUI). Similarly, the A1-A5 findings indicate that the embodied carbon emissions of this honeycomb construction are 40% lower than the median value for other multi-family residential buildings, as assessed using the Carbon Leadership Forum (CLF) Embodied Carbon Emissions Benchmark Study of various buildings. Moreover, the biogenic carbon storage per square foot of this building is 60% higher than the average biogenic carbon storage of reference mass timber construction types. © 2025 by the authors.</t>
  </si>
  <si>
    <t>cross-laminated timber (CLT); honeycomb; life cycle assessment (LCA); Sustainable Construction; Timber Use Intensity (TUI)</t>
  </si>
  <si>
    <t>Connecticut; New Haven; United States; affordable housing; building construction; carbon emission; carbon storage; construction material; life cycle analysis; standard (regulation); timber</t>
  </si>
  <si>
    <t>P. Crovella; Department of Sustainable Resource Management, State University of New York College of Environmental Science and Forestry (SUNY ESF), Syracuse, 1 Forestry Drive, 13210, United States; email: plcrovella@esf.edu</t>
  </si>
  <si>
    <t>Sustainability</t>
  </si>
  <si>
    <t>2-s2.0-105008954389</t>
  </si>
  <si>
    <t>Furukawa S.; Iwami R.; Kimura Y.</t>
  </si>
  <si>
    <t>55737538800; 58771564400; 37088844100</t>
  </si>
  <si>
    <t>Development of an Environmentally Friendly Steel Structural Framework: Evaluation of Bending Stiffness and Yield Bending Moment of Cross-Laminated Timber Slab–H-Shaped Steel Composite Beams for Component Reuse</t>
  </si>
  <si>
    <t>10.3390/su17052073</t>
  </si>
  <si>
    <t>https://www.scopus.com/pages/publications/86000639763?origin=resultslist</t>
  </si>
  <si>
    <t>Graduate School of Engineering, Osaka Metropolitan University, Osaka, 558-8585, Japan; Graduate School of Engineering, Tohoku University, Sendai, 980-8579, Japan; KEN KEN Co., Ltd., Tokyo, 103-0012, Japan</t>
  </si>
  <si>
    <t>Furukawa S., Graduate School of Engineering, Osaka Metropolitan University, Osaka, 558-8585, Japan, Graduate School of Engineering, Tohoku University, Sendai, 980-8579, Japan; Iwami R., KEN KEN Co., Ltd., Tokyo, 103-0012, Japan; Kimura Y., Graduate School of Engineering, Tohoku University, Sendai, 980-8579, Japan</t>
  </si>
  <si>
    <t>The building and construction sector accounts for nearly 40% of global greenhouse gas emissions, with steel-framed buildings being a significant contributor due to high CO2 emissions during production. To mitigate this issue, integrating Cross-Laminated Timber (CLT) into structural systems has emerged as a sustainable alternative. CLT, known for its carbon sequestration properties, offers an environmentally friendly replacement for reinforced-concrete slabs, particularly when paired with steel structures to enhance material reuse and reduce lifecycle impacts. This study focuses on hybrid systems combining H-shaped steel beams and CLT floor panels connected using high-strength friction bolts. A four-point bending test, simulating a secondary beam, was conducted, demonstrating that the composite effect significantly enhances flexural stiffness and strength. Additionally, a simplified method for evaluating the flexural stiffness and yielding strength of these composite beams, based on material and joint properties, was shown to successfully evaluate the test results. © 2025 by the authors.</t>
  </si>
  <si>
    <t>bolt friction joint; CLT floor panel; component reuse; steel structures</t>
  </si>
  <si>
    <t>bending; bolt; building; friction; greenhouse gas; reinforced concrete; replacement; steel structure; stiffness</t>
  </si>
  <si>
    <t>S. Furukawa; Graduate School of Engineering, Osaka Metropolitan University, Osaka, 558-8585, Japan; email: furukawa-s@omu.ac.jp</t>
  </si>
  <si>
    <t>2-s2.0-86000639763</t>
  </si>
  <si>
    <t>Morrell I.; Higgins C.; Sinha A.; Barbosa A.R.</t>
  </si>
  <si>
    <t>57191162642; 57212721289; 57203184231; 55203435000</t>
  </si>
  <si>
    <t>Experimental Assessment of Alternative Shear Connections in Cross-Laminated Timber-Concrete Floor Systems</t>
  </si>
  <si>
    <t>Journal of Structural Engineering (United States)</t>
  </si>
  <si>
    <t>10.1061/JSENDH.STENG-11443</t>
  </si>
  <si>
    <t>https://www.scopus.com/pages/publications/85149952497?origin=resultslist</t>
  </si>
  <si>
    <t>Dept. of Wood Science and Engineering, Oregon State Univ., Corvallis, 97331, OR, United States; School of Civil and Construction Engineering, Oregon State Univ., Corvallis, 97331, OR, United States</t>
  </si>
  <si>
    <t>Morrell I., Dept. of Wood Science and Engineering, Oregon State Univ., Corvallis, 97331, OR, United States; Higgins C., School of Civil and Construction Engineering, Oregon State Univ., Corvallis, 97331, OR, United States; Sinha A., Dept. of Wood Science and Engineering, Oregon State Univ., Corvallis, 97331, OR, United States; Barbosa A.R., School of Civil and Construction Engineering, Oregon State Univ., Corvallis, 97331, OR, United States</t>
  </si>
  <si>
    <t>New building code changes enable mass timber panels (MTP), including cross-laminated timber (CLT), to be used in moderate and tall buildings as a floor system, usually with a concrete topping. A floor system of CLT composite with a reinforced concrete topping slab can provide increased stiffness and strength, making the system more advantageous. Present connection methods used to produce composite action within timber-concrete composites (TCC) have limitations when considering constructability or performance. This study presents experimental results from four (4) shear connectors for CLT-concrete composite floor systems, including three developed for this study. The connectors included self-tapping screws (STS) at 45-degrees, a modified lag screw with an integral plate washer that bears on the CLT surface at installation, a steel angle anchored only at the end of the span, and an inverted-T steel section with stem perforations. Different tests were performed on the different connectors including individual fastener tests, push-off group tests, and full-scale one-way bending tests. The push-off group tests showed that the proposed washer-screw exhibited higher stiffness and strength than a conventional STS. The full-scale one-way bending testing showed that the STS specimen exhibited the lowest strength of the alternatives. The inverted-T section exhibited the highest stiffness, while the other three connections had similar stiffness to the STS.  © 2023 American Society of Civil Engineers.</t>
  </si>
  <si>
    <t>Mass timber; Shear connectors; Timber-concrete composite (TCC) floors</t>
  </si>
  <si>
    <t>Bending tests; Concrete slabs; Domestic appliances; Floors; Laminated composites; Laminating; Reinforced concrete; Screws; Stiffness; Tall buildings; Composite floors; Cross laminated; Floor systems; Laminated timber; Mass timber; Push offs; Self-tapping screws; Shear connector; Timber-concrete composite  floor; Timber-concrete composites; Timber</t>
  </si>
  <si>
    <t>I. Morrell; Dept. of Wood Science and Engineering, Oregon State Univ., Corvallis, 97331, United States; email: ian.morrell@oregonstate.edu</t>
  </si>
  <si>
    <t>American Society of Civil Engineers (ASCE)</t>
  </si>
  <si>
    <t>JSEND</t>
  </si>
  <si>
    <t>J. Struct. Eng.</t>
  </si>
  <si>
    <t>2-s2.0-85149952497</t>
  </si>
  <si>
    <t>Abolghassem Tehrani M.; Froese T.M.</t>
  </si>
  <si>
    <t>57208547556; 7004593611</t>
  </si>
  <si>
    <t>A comparative life cycle assessment of tall buildings with alternative structural systems: Wood vs. Concrete</t>
  </si>
  <si>
    <t>6th CSCE-CRC International Construction Specialty Conference 2017 - Held as Part of the Canadian Society for Civil Engineering Annual Conference and General Meeting 2017</t>
  </si>
  <si>
    <t>https://www.scopus.com/pages/publications/85047094911?origin=resultslist</t>
  </si>
  <si>
    <t>University of British Columbia, Canada</t>
  </si>
  <si>
    <t>Abolghassem Tehrani M., University of British Columbia, Canada; Froese T.M., University of British Columbia, Canada</t>
  </si>
  <si>
    <t>Life cycle assessment (LCA) has been a useful decision-making tool in sustainable building design, construction and building material selection. LCA can be a valuable tool in early design stages of a project to allow designers to quantify and compare environmental impacts of different building materials as well as after the building is constructed to assess new building material technologies that can inform future projects. Arising from a study of the construction of the world's tallest mass-timber building in Vancouver, this paper makes a comparison between two different construction technologies, wood and concrete, to understand the environmental benefits and drawbacks of each technology in terms of 9 LCA impact categories. Two 18-storey residential buildings in Vancouver, Canada, were considered for this study, a traditional cast-in-place concrete frame building and a mass-timber hybrid design using glulam and CLT. The scope of this study was limited to the assessment of foundations, structures, floors, columns, beams, and roofs. Floor plans, elevation views and material quantities were obtained from construction drawings and were entered into LCA software (Athena's Impact Estimator) to obtain the two buildings' LCA results. These indicated that in 8 of the 9 impact categories, the wood building had lower environmental impacts and in 1 impact category (total primary energy) the concrete building had lower environmental impact. The variation of the results of this study with other LCA studies is considered to be due to different building types, location, system boundary, scope of the study, variation in wood construction techniques, and different LCA methodology. This study was conducted as part of a course project and acts as a placeholder study for a more detailed LCA in the future. © 2017 by Canadian Society for Civil Engineering. All rights reserved.</t>
  </si>
  <si>
    <t>Architectural design; Cast in place concrete; Decision making; Ecodesign; Environmental technology; Floors; Intelligent buildings; Life cycle; Sustainable development; Tall buildings; Timber; Wooden buildings; Wooden construction; Comparative life cycle assessment; Construction drawings; Construction technologies; Decision making tool; Environmental benefits; Life Cycle Assessment (LCA); New building materials; Sustainable building design; Environmental impact</t>
  </si>
  <si>
    <t>T.M. Froese; University of British Columbia, Canada; email: Thomas.Froese@ubc.ca</t>
  </si>
  <si>
    <t>Canadian Society for Civil Engineering</t>
  </si>
  <si>
    <t>978-151087841-9</t>
  </si>
  <si>
    <t>CSCE-CRC Int. Constr. Spec. Conf. - Held Part Can. Soc. Civ. Eng. Annu. Conf. Gen. Meet.</t>
  </si>
  <si>
    <t>2-s2.0-85047094911</t>
  </si>
  <si>
    <t>Keipour N.; Valipour H.R.; Bradford M.A.</t>
  </si>
  <si>
    <t>57193123892; 6508258428; 7102411221</t>
  </si>
  <si>
    <t>Steel-timber versus Steel-Concrete Composite floors: A numerical study</t>
  </si>
  <si>
    <t>WCTE 2016 - World Conference on Timber Engineering</t>
  </si>
  <si>
    <t>https://www.scopus.com/pages/publications/85010931951?origin=resultslist</t>
  </si>
  <si>
    <t>University of New South Wales, Australia</t>
  </si>
  <si>
    <t>Keipour N., University of New South Wales, Australia; Valipour H.R., University of New South Wales, Australia; Bradford M.A., University of New South Wales, Australia</t>
  </si>
  <si>
    <t>Concrete is the most widely used construction material in the world. This material causes formation and release of CO2 and high energy consumption during manufacturing. One way to decrease concrete consumption negative consequences is to replace it with lower needed primary energy materials, like timber. The engineered wood products such as laminated veneer lumber (LVL) and cross laminated timber (CLT/X-lam) with improved structural characteristics, durability and fire resistance have made it possible for structural engineers to design and construct large multi-storey multi-bay buildings. Use of timber in structures is beneficial from both structural and environmental points of view. To name a few advantages, it has low carbon foot print, less energy consumption to be manufactured, less demand of work force, deconstruction capability, fast installation and low self-weight that ultimately lead to smaller size for structural component (e.g. beams and columns and foundation dimensions). In this paper, at first behaviour of Steel-Timber Composite (STC) simple 2bay beam with prefabricated cross banded LVL slabs with coach screws (self-tapping screws are assumed to be utilised for transferring the interface shear between the steel girder and the prefabricated timber slab and providing a composite connection) is captured by a nonlinear finite element model and the results are compared with similar Steel-Concrete Composite (SCC) system. Concrete hybrid structures have slightly higher strength and stiffness in compare to timber hybrid structures; On the other hand, timber structures are lighter, less pollutant and green to the environment, have simpler and faster and cheaper fabrication process and can be dismantled to recycling its structural components. Moreover, in a 1bay simple beam, effect of different parameters such as screw size, screw spacing, length of beam, timber slab and beam size on the load carrying capacity and composite efficiency of the STC system with LVL slab are evaluated. Results show that, screw spacing effect is more than screw size effect. In other words, in order to reach high strength and stiffness and appropriate composite action between slab and beam, also to avoid brittle failure, it is highly recommended to use many smaller diameters screws instead of few large diameters ones.</t>
  </si>
  <si>
    <t>FEM; LVL; Steel-concrete composite(SCC); Steel-timber composite(STC)</t>
  </si>
  <si>
    <t>Composites; Concrete; Steel; Beams and girders; Building materials; Carbon; Concretes; Energy utilization; Fasteners; Finite element method; Fire resistance; Laminating; Product design; Screws; Stiffness; Timber; Wood products; Engineered wood products; High energy consumption; Laminated veneer lumber; Non-linear finite element model; Steel-concrete composite; Steel-concrete composite floor; Strength and stiffness; Structural characteristics; Structural design</t>
  </si>
  <si>
    <t>Vienna University of Technology</t>
  </si>
  <si>
    <t>978-390303900-1</t>
  </si>
  <si>
    <t>WCTE - World Conf. Timber Eng.</t>
  </si>
  <si>
    <t>2-s2.0-85010931951</t>
  </si>
  <si>
    <t>Rodrigues M.; Motal T.; Horváth Z.</t>
  </si>
  <si>
    <t>57201152960; 58572372700; 57302536400</t>
  </si>
  <si>
    <t>LABORATORY MEASUREMENTS OF LIGHTWEIGHT FLOATING FLOOR SYSTEMS ON CROSS-LAMINATED TIMBER (CLT) SLABS</t>
  </si>
  <si>
    <t>Proceedings of the International Congress on Sound and Vibration</t>
  </si>
  <si>
    <t>https://www.scopus.com/pages/publications/85170649513?origin=resultslist</t>
  </si>
  <si>
    <t>CDM Stravitec, Brussels, Belgium; CDM Stravitec, Prague, Czech Republic; CDM Stravitec, Budapest, Hungary</t>
  </si>
  <si>
    <t>Rodrigues M., CDM Stravitec, Brussels, Belgium; Motal T., CDM Stravitec, Prague, Czech Republic; Horváth Z., CDM Stravitec, Budapest, Hungary</t>
  </si>
  <si>
    <t>Mass timber solutions, including cross-laminated timber (CLT), are an excellent substitute to the more traditional fossil fuel-intensive construction materials. The use of these mass timber products allows for the reduction of the carbon footprint of the built environment. Nevertheless, the use of mass timber poses some rather unique challenges in terms of acoustics. Moreover, one of the most desired aspects of mass timber construction is the ability to leave a building's structure exposed as finish, which creates the need for asymmetric assemblies. Consequently, when talking about floor/ceiling applications, it is preferable that any acoustic component be installed on top of the assembly. One of the main advantages of mass timber is the strength-to-weight ratio, which allows for lighter setups than would be possible with other slab-type building materials. This reduces the overall mass of the building, which in turn offers many other benefits, such as reduced seismic forces and smaller building foundation requirements. To maintain these benefits and reduce the carbon footprint of the building, adding the mass of a concrete slab to improve the acoustic performance is not the best solution, leaving only the option of adding decouplers. To measure airborne sound reduction and impact noise isolation of lightweight floating floor systems and confirm that CLT-assemblies can provide satisfactory sound insulation, CDM Stravitec conducted a test campaign at the Belgian Building Research Institute. During this campaign, different types of decouplers were tested, including discrete bearings with various thicknesses and/or different void depths (filled entirely or partially with insulation material) and resilient mats and strips placed between the CLT slab and the different timber, cement and gypsum-based boards and this with and without the use of the well-known constrained layer damping technique. This paper presents the findings of that test campaign. © 2023 Proceedings of the International Congress on Sound and Vibration. All rights reserved.</t>
  </si>
  <si>
    <t>building acoustics; cross-laminated timber; floating floors; timber construction</t>
  </si>
  <si>
    <t>Carbon footprint; Concrete slabs; Fossil fuels; Laminating; Sound insulation; Wooden floors; Building acoustics; Cross laminated; Cross-laminated timber; Decouplers; Floating floor; Floating floor systems; Laboratory measurements; Laminated timber; Test campaign; Timber construction; Timber</t>
  </si>
  <si>
    <t>Carletti E.</t>
  </si>
  <si>
    <t>Society of Acoustics</t>
  </si>
  <si>
    <t>978-801103423-8</t>
  </si>
  <si>
    <t>Proc. Int. Congr. Sound Vib.</t>
  </si>
  <si>
    <t>2-s2.0-85170649513</t>
  </si>
  <si>
    <t>Qadourah J.A.; Al-Falahat A.M.; Alrwashdeh S.S.</t>
  </si>
  <si>
    <t>57483250600; 57194287907; 57160166900</t>
  </si>
  <si>
    <t>INVESTIGATE THE CARBON FOOTPRINTS OF THREE INTERMEDIATE FLOORING SYSTEMS: CROSS-LAMINATED TIMBER, SOLID CONCRETE, AND HOLLOW-CORE PRECAST CONCRETE</t>
  </si>
  <si>
    <t>Journal of Applied Engineering Science</t>
  </si>
  <si>
    <t>10.5937/jaes0-32783</t>
  </si>
  <si>
    <t>https://www.scopus.com/pages/publications/85128618069?origin=resultslist</t>
  </si>
  <si>
    <t>Department of Architecture and Building Technology, Faculty of Engineering, Mutah University, P.O. Box 7, Al-Karak, 61710, Jordan; Mechanical Engineering Department, Faculty of Engineering, Mutah University, P.O Box 7, Al-Karak, 61710, Jordan</t>
  </si>
  <si>
    <t>Qadourah J.A., Department of Architecture and Building Technology, Faculty of Engineering, Mutah University, P.O. Box 7, Al-Karak, 61710, Jordan; Al-Falahat A.M., Mechanical Engineering Department, Faculty of Engineering, Mutah University, P.O Box 7, Al-Karak, 61710, Jordan; Alrwashdeh S.S., Mechanical Engineering Department, Faculty of Engineering, Mutah University, P.O Box 7, Al-Karak, 61710, Jordan</t>
  </si>
  <si>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</si>
  <si>
    <t>cradle-to-gate; cross-laminated timber; embodied energy; environmental impact; greenhouse gas emissions; life-cycle assessment; sustainable materials</t>
  </si>
  <si>
    <t>J.A. Qadourah; Department of Architecture and Building Technology, Faculty of Engineering, Mutah University, Al-Karak, P.O. Box 7, 61710, Jordan; email: Jenan.abuqadourah@mutah.edu.jo</t>
  </si>
  <si>
    <t>Institute for Educational Research</t>
  </si>
  <si>
    <t>J. Appl. Eng. Sci.</t>
  </si>
  <si>
    <t>2-s2.0-85128618069</t>
  </si>
  <si>
    <t>Alvarez D.; Kouda R.; Ho A.D.; Kubota T.</t>
  </si>
  <si>
    <t>57225833403; 58482285300; 58414175100; 23025368600</t>
  </si>
  <si>
    <t>Scenario analysis of embodied energy and CO2 emissions for multistory apartments in Indonesia</t>
  </si>
  <si>
    <t>E3S Web of Conferences</t>
  </si>
  <si>
    <t>10.1051/e3sconf/202339604015</t>
  </si>
  <si>
    <t>https://www.scopus.com/pages/publications/85164521513?origin=resultslist</t>
  </si>
  <si>
    <t>Graduate School of Advanced Science and Engineering, The University of Hiroshima, Hiroshima, Japan</t>
  </si>
  <si>
    <t>Alvarez D., Graduate School of Advanced Science and Engineering, The University of Hiroshima, Hiroshima, Japan; Kouda R., Graduate School of Advanced Science and Engineering, The University of Hiroshima, Hiroshima, Japan; Ho A.D., Graduate School of Advanced Science and Engineering, The University of Hiroshima, Hiroshima, Japan; Kubota T., Graduate School of Advanced Science and Engineering, The University of Hiroshima, Hiroshima, Japan</t>
  </si>
  <si>
    <t>Contribution in the building sector to the global warming can be tackled by diminishing greenhouse gas (GHG) emissions (mainly CO2) not only from operational energy but also from the embodied energy (EE) of construction materials. Harvested Wood Products (HWP) such as Cross Laminated Timber (CLT), Glued Laminated (Glulam) timber, among others, make multistorey wooden buildings possible. These wooden buildings could help to reduce EE and CO2emissions significantly. A material flow analysis (MFA) using an I-O (Input-Output) table was used to compare three scenarios for an 8-story apartment building in Indonesia (total floor area: 9140 m2): First, the building had a reinforced concrete structure. Second, the building had a "hybrid"structure with reinforced concrete cores and first-floor elements, consisting of CLT floor panels, and Glulam columns and beams. Third, the building used only CLT panels besides reinforced concrete cores. The results showed that the last scenario achieved the largest CO2emissions and embodied energy reductions (58 t-CO2and 905 GJ), compared with the first scenario (81 t-CO2and 1110 GJ). Furthermore, we compare two methods to apply displacement factors (DF) to assess the CO2emissions savings for each CO2 ton in wood products substituted in place of non-wooden products between the three building scenarios.  © The Authors, published by EDP Sciences, 2023.</t>
  </si>
  <si>
    <t>Displacement Factor; Embodied Energy; Material Sustainability; Wood harvested products</t>
  </si>
  <si>
    <t>D. Alvarez; Graduate School of Advanced Science and Engineering, The University of Hiroshima, Hiroshima, Japan; email: m220937@hiroshima-u.ac.jp</t>
  </si>
  <si>
    <t>Ooka R.</t>
  </si>
  <si>
    <t>EDP Sciences</t>
  </si>
  <si>
    <t>E3S Web Conf.</t>
  </si>
  <si>
    <t>2-s2.0-85164521513</t>
  </si>
  <si>
    <t>Leonard S.; Parfitt K.; Solnosky R.</t>
  </si>
  <si>
    <t>58266482800; 59198778400; 55843758900</t>
  </si>
  <si>
    <t>Impact of Prescriptive Fire Design Provisions on Embodied Carbon for Mass Timber and Hybrid Mass Timber Floors</t>
  </si>
  <si>
    <t>Journal of Architectural Engineering</t>
  </si>
  <si>
    <t>10.1061/JAEIED.AEENG-1695</t>
  </si>
  <si>
    <t>https://www.scopus.com/pages/publications/85197284249?origin=resultslist</t>
  </si>
  <si>
    <t>Dept. of Architectural Engineering, Pennsylvania State Univ., 104 Engineering Unit A, University Park, 16802, PA, United States</t>
  </si>
  <si>
    <t>Leonard S., Dept. of Architectural Engineering, Pennsylvania State Univ., 104 Engineering Unit A, University Park, 16802, PA, United States; Parfitt K., Dept. of Architectural Engineering, Pennsylvania State Univ., 104 Engineering Unit A, University Park, 16802, PA, United States; Solnosky R., Dept. of Architectural Engineering, Pennsylvania State Univ., 104 Engineering Unit A, University Park, 16802, PA, United States</t>
  </si>
  <si>
    <t>Structural mass timber has been used more often in buildings over the last 5 years, given its potential to be a sustainable alternative. However, concerns still exist around the fire safety of mass timber structures, and current mass timber building designers must consider a variety of fire protection strategies, including but not limited to noncombustible protection and design for sacrificial char thickness. This research focuses on better understanding how prescriptive code fire protection strategies affect the sustainability goals that have partially driven mass timber use. This paper studies how decisions during early design can reduce embodied carbon (EC), the initial energy use of a structure's construction. Five structural floor system types were modeled parametrically for various levels of fire protection. System types included timber-concrete composites, cross-laminated timber (CLT)-steel hybrids, and all-timber systems. The resulting EC data analysis reveals that all-timber systems perform the best for EC when the fully protected option is used at shorter spans, when the combined approach option is used at midrange spans, and when the fully exposed timber option is used at longer spans. Across all studied systems, the shallowest possible depth occurred for the 10-ft (3.05-m) spanning CLT-steel hybrid systems at 11.5 in. (292 mm) deep for the fully protected system, and the lowest possible EC was 10.5 lb CO2 eq/ft2 (51.3 kg CO2 eq/m2) for the fully protected 10-ft (3.05 m) all-timber system. © 2024 American Society of Civil Engineers.</t>
  </si>
  <si>
    <t>Cross-laminated timber (CLT); Embodied carbon; Glulam; Hybrid mass timber; Mass timber; Parametric model; Prescriptive fire design</t>
  </si>
  <si>
    <t>Carbon; Carbon dioxide; Fire extinguishers; Fire protection; Fires; Floors; Hybrid systems; Laminated composites; Laminating; Optimal systems; Structural design; Cross laminated; Cross-laminated timber; Embodied carbons; Fire designs; Glulam; Hybrid mass timber; Laminated timber; Mass timber; Parametric models; Prescriptive fire design; Timber</t>
  </si>
  <si>
    <t>S. Leonard; Dept. of Architectural Engineering, Pennsylvania State Univ., University Park, 104 Engineering Unit A, 16802, United States; email: sleonard@rdh.com</t>
  </si>
  <si>
    <t>JAEIE</t>
  </si>
  <si>
    <t>J Archit Eng</t>
  </si>
  <si>
    <t>2-s2.0-85197284249</t>
  </si>
  <si>
    <t>Ahmed D.; Ayadat T.; Asiz A.</t>
  </si>
  <si>
    <t>57217208973; 20435579500; 6506926796</t>
  </si>
  <si>
    <t>Design and performance of high-rise structure using ultra-lightweight cross laminated timber floor system</t>
  </si>
  <si>
    <t>Proceedings of International Structural Engineering and Construction</t>
  </si>
  <si>
    <t>10.14455/ISEC.2020.7(2).STR-29</t>
  </si>
  <si>
    <t>https://www.scopus.com/pages/publications/85108433134?origin=resultslist</t>
  </si>
  <si>
    <t>Dept of Civil Engineering, Prince Mohammad Bin Fahd University, Al Khobar, Saudi Arabia</t>
  </si>
  <si>
    <t>Ahmed D., Dept of Civil Engineering, Prince Mohammad Bin Fahd University, Al Khobar, Saudi Arabia; Ayadat T., Dept of Civil Engineering, Prince Mohammad Bin Fahd University, Al Khobar, Saudi Arabia; Asiz A., Dept of Civil Engineering, Prince Mohammad Bin Fahd University, Al Khobar, Saudi Arabia</t>
  </si>
  <si>
    <t>The main objective of this paper is to study the structural performance of a high-rise structure when alternative lightweight material known as cross-laminated timber was used as a slab in floor system in lieu of conventional reinforced concrete slab. A numerical case study was conducted using a highly irregular RC frame building with its two 60-story towers joined at the top. Three major analyses were considered. First, modeling and analyzing the building with an RC slab was conducted to determine the design reference. Second, substituting the RC slab with the CLT slab was performed using the same building skeleton. Third, redesigning and optimizing the building skeleton with that CLT to observe skeleton material saving obtained using the same structural performance criteria. Major lateral loads applicable in the Eastern Province of Saudi Arabia were inputted. Strengths and serviceability requirements for floor diaphragm and lateral load resisting system were checked first before performing a comparative analysis between traditional RC and CLT slabs as floor diaphragm. The structural performance criteria to be used for comparative study between RC and CLT slabs included total drift, inter-story drift due to lateral loads, and base reactions. Structural periods and acceleration responses for each floor were investigated and contrasted with the existing building code. The foundation demand was also investigated based on the structural weight and reactions generated from the RC and CLT floor systems. © 2020 ISEC Press.</t>
  </si>
  <si>
    <t>Floor diaphragm; Lateral deflections; Lateral loads; Tall buildings</t>
  </si>
  <si>
    <t>Askarinejad H.; Yazdani S.; Singh A.</t>
  </si>
  <si>
    <t>ISEC Press</t>
  </si>
  <si>
    <t>2644108X</t>
  </si>
  <si>
    <t>2-s2.0-85108433134</t>
  </si>
  <si>
    <t>Robertson A.B.; Lam F.C.F.; Cole R.J.</t>
  </si>
  <si>
    <t>57213188922; 7102075782; 7401590488</t>
  </si>
  <si>
    <t>A comparative cradle-to-gate life cycle assessment of mid-rise office building construction alternatives: Laminated timber or reinforced concrete</t>
  </si>
  <si>
    <t>Buildings</t>
  </si>
  <si>
    <t>10.3390/buildings2030245</t>
  </si>
  <si>
    <t>https://www.scopus.com/pages/publications/84887921198?origin=resultslist</t>
  </si>
  <si>
    <t>Canadian Wood Council, 400-99 Bank Street, Ottawa, K1P 6B9, ON, Canada; Department of Wood Science, Faculty of Forestry, University of British Columbia, 2424 Main Mall, Vancouver, V6T 1Z4, BC, Canada; School of Architecture and Landscape Architecture, University of British Columbia, 6333 Memorial Road, Vancouver, V6T 1Z2, BC, Canada</t>
  </si>
  <si>
    <t>Robertson A.B., Canadian Wood Council, 400-99 Bank Street, Ottawa, K1P 6B9, ON, Canada; Lam F.C.F., Department of Wood Science, Faculty of Forestry, University of British Columbia, 2424 Main Mall, Vancouver, V6T 1Z4, BC, Canada; Cole R.J., School of Architecture and Landscape Architecture, University of British Columbia, 6333 Memorial Road, Vancouver, V6T 1Z2, BC, Canada</t>
  </si>
  <si>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</si>
  <si>
    <t>Cradle-to-gate; Cross-laminated timber; Embodied energy; Glulam; Material selection; Mid-rise office building; Reinforced concrete; Whole building life cycle assessment; Wood products</t>
  </si>
  <si>
    <t>A.B. Robertson; Canadian Wood Council, Ottawa, 400-99 Bank Street, K1P 6B9, Canada; email: adam.robertson@alumni.ubc.ca</t>
  </si>
  <si>
    <t>MDPI AG</t>
  </si>
  <si>
    <t>2-s2.0-84887921198</t>
  </si>
  <si>
    <t>Vilotijević J.; Premrov M.</t>
  </si>
  <si>
    <t>59527242600; 6701482772</t>
  </si>
  <si>
    <t>Assessment of In-Plane Timber Floor Stiffness as Structural Diaphragms: A Numerical Approach to Lateral Load Response</t>
  </si>
  <si>
    <t>Forests</t>
  </si>
  <si>
    <t>10.3390/f16010056</t>
  </si>
  <si>
    <t>https://www.scopus.com/pages/publications/85216030423?origin=resultslist</t>
  </si>
  <si>
    <t>Faculty of Civil Engineering, Transportation Engineering and Architecture, University of Maribor, Smetanova 17, Maribor, 2000, Slovenia</t>
  </si>
  <si>
    <t>Vilotijević J., Faculty of Civil Engineering, Transportation Engineering and Architecture, University of Maribor, Smetanova 17, Maribor, 2000, Slovenia; Premrov M., Faculty of Civil Engineering, Transportation Engineering and Architecture, University of Maribor, Smetanova 17, Maribor, 2000, Slovenia</t>
  </si>
  <si>
    <t>The behaviour of horizontal floor diaphragms plays a crucial role in ensuring the overall response of a building during earthquakes, as the stiffness of these diaphragms determines whether the structure will act as an integrated system. If the diaphragms do not exhibit sufficient stiffness, differences in the redistribution of forces on wall elements arise, increasing the risk of significant deformations and even local damage, which is commonly observed in earthquake-affected areas. Additionally, flexible diaphragms heighten the risk of torsional effects. Due to these factors, more attention should be given to the response of buildings with flexible diaphragms. Eurocode standard specifies general requirements under which diaphragms should be considered rigid within their plane, depending on the maximum diaphragm moment. However, specific guidelines regarding the geometric and material properties of elements that significantly impact seismic behaviour are not included in the existing European standards. This served as a basis for conducting a numerical study analysing the in-plane behaviour of floor elements made from different materials. This study, limited to a simple box-shaped structure with masonry walls, symmetrical in both orthogonal directions, evaluated and thoroughly analysed the deformations for different types of diaphragms, including prefabricated wooden frame-panel floors, CLT panels, and reinforced concrete slabs. Special emphasis was placed on wooden structural elements due to the increased demand for timber construction, as the behaviour of these elements needs to be properly studied, especially in seismic regions. The study results were obtained through FEM analysis using the SCIA Engineer software, version 22. The modelling of elements was carried out considering the orthotropy of brick wall and wooden ceiling elements, as well as simulating the appropriate shear stiffness of the connecting means. © 2024 by the authors.</t>
  </si>
  <si>
    <t>concrete slab; cross-laminated timber; floor flexibility; horizontal diaphragms; lateral load resisting system; seismic design; timber frame-panel floor</t>
  </si>
  <si>
    <t>Diaphragms; Elements; Mortar; Reinforced Concrete; Specifications; Stiffness; Structural Analysis; Walls; Brick construction; Earthquake effects; Mortar; Reinforced concrete; Seismic design; Structural analysis; Structural dynamics; Structural panels; Timber; Walls (structural partitions); Wooden buildings; Wooden floors; Cross laminated; Cross-laminated timber; Flexible diaphragms; Floor flexibility; Horizontal diaphragms; Laminated timber; Lateral load resisting systems; Timber floors; Timber frame-panel floor; Timber frames; concrete structure; loading test; seismic design; seismic response; structural response; Concrete slabs</t>
  </si>
  <si>
    <t>M. Premrov; Faculty of Civil Engineering, Transportation Engineering and Architecture, University of Maribor, Maribor, Smetanova 17, 2000, Slovenia; email: miroslav.premrov@um.si</t>
  </si>
  <si>
    <t>2-s2.0-85216030423</t>
  </si>
  <si>
    <t>Iwase T.; Sasaki T.; Araki S.; Huzita T.; Kayo C.</t>
  </si>
  <si>
    <t>57216780552; 7407394908; 55510147800; 57204962702; 36986959800</t>
  </si>
  <si>
    <t>Environmental and economic evaluation of small-scale bridge repair using cross-laminated timber floor slabs</t>
  </si>
  <si>
    <t>10.3390/SU12083424</t>
  </si>
  <si>
    <t>https://www.scopus.com/pages/publications/85084653775?origin=resultslist</t>
  </si>
  <si>
    <t>Graduate School of Agriculture, Tokyo University of Agriculture and Technology, 3-5-8 Saiwai-cho, Fuchu, Tokyo, 183-8509, Japan; Research Faculty of Agriculture, Hokkaido University, Kita 9, Nishi, 9, Kita-ku, Sapporo, Hokkaido, 060-8589, Japan; Hattori Engineer Co., Ltd., 2-2-12 Miroku, Aoi-ku, Shizuoka, Shizuoka, 420-0053, Japan; United Graduate School of Agricultural Science, Tokyo University of Agriculture and Technology, 3-5-8 Saiwai-cho, Fuchu, Tokyo, 183-8509, Japan; Institute of Agriculture, Tokyo University of Agriculture and Technology, 3-5-8 Saiwai-cho, Fuchu, Tokyo, 183-8509, Japan</t>
  </si>
  <si>
    <t>Iwase T., Graduate School of Agriculture, Tokyo University of Agriculture and Technology, 3-5-8 Saiwai-cho, Fuchu, Tokyo, 183-8509, Japan; Sasaki T., Research Faculty of Agriculture, Hokkaido University, Kita 9, Nishi, 9, Kita-ku, Sapporo, Hokkaido, 060-8589, Japan; Araki S., Hattori Engineer Co., Ltd., 2-2-12 Miroku, Aoi-ku, Shizuoka, Shizuoka, 420-0053, Japan; Huzita T., United Graduate School of Agricultural Science, Tokyo University of Agriculture and Technology, 3-5-8 Saiwai-cho, Fuchu, Tokyo, 183-8509, Japan; Kayo C., Institute of Agriculture, Tokyo University of Agriculture and Technology, 3-5-8 Saiwai-cho, Fuchu, Tokyo, 183-8509, Japan</t>
  </si>
  <si>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</si>
  <si>
    <t>Cross-laminated timber; Floor slabs; Greenhouse gas emissions; Life-cycle assessment; Reinforced concrete; Waterproofing treatment</t>
  </si>
  <si>
    <t>Japan; building; carbon emission; civil engineering; comparative study; delamination; environmental economics; greenhouse gas; reinforced concrete; repair; timber</t>
  </si>
  <si>
    <t>C. Kayo; Institute of Agriculture, Tokyo University of Agriculture and Technology, Fuchu, Tokyo, 3-5-8 Saiwai-cho, 183-8509, Japan; email: kayoc@cc.tuat.ac.jp</t>
  </si>
  <si>
    <t>MDPI</t>
  </si>
  <si>
    <t>2-s2.0-85084653775</t>
  </si>
  <si>
    <t>Guo C.; Zhou J.; Chui Y.H.</t>
  </si>
  <si>
    <t>57856104800; 57202383380; 7004982369</t>
  </si>
  <si>
    <t>Experimental and numerical investigations on vibration performance of mass timber slab floors with floating concrete toppings</t>
  </si>
  <si>
    <t>Engineering Structures</t>
  </si>
  <si>
    <t>10.1016/j.engstruct.2025.119919</t>
  </si>
  <si>
    <t>https://www.scopus.com/pages/publications/85218124256?origin=resultslist</t>
  </si>
  <si>
    <t>School of Engineering, University of Northern British Columbia, Prince George, V2N 4Z9, BC, Canada; Department of Civil and Environmental Engineering, University of Alberta, Edmonton, T6G 1H9, AB, Canada</t>
  </si>
  <si>
    <t>Guo C., School of Engineering, University of Northern British Columbia, Prince George, V2N 4Z9, BC, Canada, Department of Civil and Environmental Engineering, University of Alberta, Edmonton, T6G 1H9, AB, Canada; Zhou J., School of Engineering, University of Northern British Columbia, Prince George, V2N 4Z9, BC, Canada; Chui Y.H., Department of Civil and Environmental Engineering, University of Alberta, Edmonton, T6G 1H9, AB, Canada</t>
  </si>
  <si>
    <t>Mass timber floor systems face serviceability challenges such as deflection, sound insulation, and vibration due to their relatively light weight and low bending stiffness. Floating concrete topping is often applied to improve acoustic performance and fire resistance, though its impact on vibration performance is less understood. The current Canadian design standard CSA O86-24 suggests ignoring the effect of concrete topping when applying the vibration-controlled span equation if its area density is less than twice of the bare cross laminated timber (CLT) floor area density. Floating concrete toppings typically don't necessitate mechanical fasteners, although limited tests have shown partial composite behavior. This study experimentally investigated the vibration performance and dynamic properties of mass timber slab floors with floating concrete toppings, examining two dowel laminated timber (DLT) floors with varying thicknesses, spans, concrete topping thicknesses, floor assemblies, and boundary conditions. Effective bending stiffness was derived from experimental data as inputs for fundamental natural frequency calculation. Additionally, two finite element models were developed for modal analysis of mass timber floors with floating concrete toppings. Results demonstrated that the floating concrete topping could significantly enhance the floor system's vibration performance, improving an unacceptable bare timber floor to acceptable levels. However, its impact on the fundamental natural frequency depends in the thickness of the concrete topping and details of floating floor assemblies. Composite action between the concrete topping and timber slab existed even without mechanical fasteners, though the degree of this action varied across different assemblies. Accurate modeling of such floor systems can be achieved with careful consideration of input of material properties and partial composite action factors. © 2025 The Authors</t>
  </si>
  <si>
    <t>Dynamic properties; Floating concrete toppings; Mass timber floor systems; Numerical modelling; Vibration performance</t>
  </si>
  <si>
    <t>Concrete slabs; Convergence of numerical methods; Hydroelasticity; Laminated composites; Timber; Vibration analysis; Wooden floors; Area density; Dynamics properties; Floating concrete topping; Floor systems; Laminated timber; Mass timber floor system; Mechanical fastener; Performance; Timber floors; Vibration performance; concrete structure; dynamic analysis; dynamic property; experimental study; floor; numerical model; performance assessment; timber; vibration; Sound insulation</t>
  </si>
  <si>
    <t>J. Zhou; School of Engineering, University of Northern British Columbia, Prince George, V2N 4Z9, Canada; email: jianhui.zhou@unbc.ca</t>
  </si>
  <si>
    <t>ENSTD</t>
  </si>
  <si>
    <t>Eng. Struct.</t>
  </si>
  <si>
    <t>All Open Access; Hybrid Gold Open Access</t>
  </si>
  <si>
    <t>2-s2.0-85218124256</t>
  </si>
  <si>
    <t>Asiz A.; Smith I.</t>
  </si>
  <si>
    <t>6506926796; 7404426235</t>
  </si>
  <si>
    <t>Tall hybrid RC framed buildings with massive timber floor plates</t>
  </si>
  <si>
    <t>Structures and Architecture - Proceedings of the 1st International Conference on Structures and Architecture, ICSA 2010</t>
  </si>
  <si>
    <t>https://www.scopus.com/pages/publications/84856657256?origin=resultslist</t>
  </si>
  <si>
    <t>University of New Brunswick, Canada</t>
  </si>
  <si>
    <t>Asiz A., University of New Brunswick, Canada; Smith I., University of New Brunswick, Canada</t>
  </si>
  <si>
    <t>This paper discusses feasibility of using massive but lightweight Cross Laminated Timber (CLT) plates as floor and roof components of tall buildings constructed with reinforced concrete (RC) as the main skeleton. A case study using a 24-storey building designed with CLT floors is presented here along with a matched design of a building having traditional RC floors. Result indicate that structural benefits from substituting lightweight timber slabs for the traditional relatively heavy slabs are significant yielding potentially large savings in both the main structural skeleton and foundation systems. For example, lateral drift during a design level earthquake is predicted to be reduced by about 15 to 20 percent using mechanically equivalent CLT floor slabs in lieu of RC slabs typical of 'normal' construction. © 2010 Taylor &amp; Francis Group, London.</t>
  </si>
  <si>
    <t>Architecture; Floors; Musculoskeletal system; Reinforced concrete; Tall buildings; Timber; Design levels; Floor slabs; Foundation systems; Laminated timber; Lateral drifts; RC slab; Structural skeletons; Timber floors; Plates (structural components)</t>
  </si>
  <si>
    <t>978-041549249-2</t>
  </si>
  <si>
    <t>Struct. Archit. - Proc. Int. Conf. Struct. Archit., ICSA</t>
  </si>
  <si>
    <t>2-s2.0-84856657256</t>
  </si>
  <si>
    <t>1st International Conference on Civil and Environmental Engineering for Resilient, Smart and Sustainable Solutions, 2024</t>
  </si>
  <si>
    <t>Materials Research Proceedings</t>
  </si>
  <si>
    <t>https://www.scopus.com/pages/publications/105003211169?origin=resultslist</t>
  </si>
  <si>
    <t>The proceedings contain 133 papers. The special focus in this conference is on Civil and Environmental Engineering for Resilient, Smart and Sustainable Solutions. The topics include: Evaluation of concrete slab exposed to weather conditions resulting from global warming; Shear capacity prediction of squat flanged walls using machine learning approach with CatBoost and CTGAN; Comprehensive analysis of structural beams: Theoretical calculations and simulation analysis using ANSYS; a modified design for improving pressure relief valve stability; site amplification using 1D seismic site response analysis in Islamabad: An application of building code of Pakistan 2021; critical building components analysis: An empirical study; Experimental study of BFRP-RC beams exposed to elevated temperatures; An optimization approach process of a 4-story RC building structural plan through generative design; Structural design analysis of hybrid multi-rise buildings, with CLT and LGS light weight floor system, at Neom-The Line; Sustainability and cost of a multi-story edifice, with CLT and LGS light weight floor system, at Neom-The Line; Seismic assessment of reinforced concrete building strengthened with CFRP sheets using non-linear static approach; cyclic performance of partially grouted reinforced masonry shear walls with boundary elements; a study case: Seismic evaluation of existing six-story office building with flat plate structural system; experimental evaluation of the masonry infilled reinforced concrete frame under reverse cyclic loading; comparative analysis of structural performance and cost efficiency of reinforced concrete and steel for a three-story warehouse in high-risk seismic zones; fire behaviour of mass timber beam-to-column hybrid connections-A state-of-the-art review; seismic assessment of masonry infilled frame structures.</t>
  </si>
  <si>
    <t>Ayadat T.</t>
  </si>
  <si>
    <t>Association of American Publishers</t>
  </si>
  <si>
    <t>978-164490341-4</t>
  </si>
  <si>
    <t>Mater. Res. Proc.</t>
  </si>
  <si>
    <t>Conference review</t>
  </si>
  <si>
    <t>2-s2.0-105003211169</t>
  </si>
  <si>
    <t>Shahnewaz M.; Jackson R.; Tannert T.</t>
  </si>
  <si>
    <t>55634928200; 57193120662; 22939744900</t>
  </si>
  <si>
    <t>The Arbour: An Innovative Composite Floor System</t>
  </si>
  <si>
    <t>Structures Congress 2022 - Selected Papers from the Structures Congress 2022</t>
  </si>
  <si>
    <t>10.1061/9780784484180.022</t>
  </si>
  <si>
    <t>https://www.scopus.com/pages/publications/85129179215?origin=resultslist</t>
  </si>
  <si>
    <t>Fast + Epp, Vancouver, Canada; UNBC, Prince George, Canada</t>
  </si>
  <si>
    <t>Shahnewaz M., Fast + Epp, Vancouver, Canada; Jackson R., Fast + Epp, Vancouver, Canada; Tannert T., UNBC, Prince George, Canada</t>
  </si>
  <si>
    <t>The $130M Arbour, a 10-storey, 16,000 m2, exposed tall wood structure located on George Brown College's waterfront campus in Toronto, Canada, will serve as an educational hub for the college, housing the Tall Wood Research Institute, a childcare center, and teaching and social spaces. The innovative large-span beamless structural floor system is comprised of cross-laminated timber (CLT) concrete composite slab bands with perpendicular CLT infill panels, all supported on glulam columns. This long-span flat plate system allows for flexibility in architectural programming and unobstructed mechanical distribution; its performance was validated by full-scale laboratory tests. The project, currently under construction, received external funding through the National Resources Canada Green Constriction Wood Program, alongside other partners, to facilitate mass timber innovation specific to this project. This catalyzed a full-scale structural testing regime at the University of Northern British Columbia, investigating timber concrete composite "slab bands,"to determine their performance and develop a low-cost composite connector.  © ASCE.</t>
  </si>
  <si>
    <t>Concrete slabs; Concrete testing; Laminated composites; Timber; Wooden buildings; Composite floor systems; Cross laminated; Laminated timber; Performance; Research institutes; Social spaces; Timber-concrete composite slabs; Toronto; Wood research; Wood structure; Floors</t>
  </si>
  <si>
    <t>Soules J.G.</t>
  </si>
  <si>
    <t>978-078448418-0</t>
  </si>
  <si>
    <t>Struct. Congr. - Sel. Pap. Struct. Congr.</t>
  </si>
  <si>
    <t>2-s2.0-85129179215</t>
  </si>
  <si>
    <t>Dachin C.; Niu Y.</t>
  </si>
  <si>
    <t>59984771300; 59984546000</t>
  </si>
  <si>
    <t>INNOVATIVE CONNECTION SOLUTIONS FOR TCC FLOOR SYSTEMS: MECHANICAL AND ENVIRONMENTAL ASSESSMENT</t>
  </si>
  <si>
    <t>10.52202/080513-0670</t>
  </si>
  <si>
    <t>https://www.scopus.com/pages/publications/105010259319?origin=resultslist</t>
  </si>
  <si>
    <t>HAMK Tech research unit, Häme University of Applied Sciences, Finland</t>
  </si>
  <si>
    <t>Dachin C., HAMK Tech research unit, Häme University of Applied Sciences, Finland; Niu Y., HAMK Tech research unit, Häme University of Applied Sciences, Finland</t>
  </si>
  <si>
    <t>The need to reduce carbon emissions in the construction sector has highlighted timber as a viable substitute for carbon-intensive materials such as concrete. Cross-laminated timber (CLT), as a load-bearing element, has gained popularity in recent years due to its favorable structural characteristics and environmental benefits. The use of CLT in timber-concrete-composite (TCC) floor systems has been increasingly explored, but current building codes and standards have not been adapted accordingly. This limits design options, simultaneously fostering opportunities for innovation. In this paper, a new type of shear connector, designed to transfer forces between prefabricated CLT and concrete components in a TCC floor system, is experimentally investigated. The connector is part of a dry-dry system, in which both concrete and timber elements are prefabricated and assembled without wet processes, allowing rapid installation and potential disassembly. To evaluate environmental performance, a functionally equivalent hollow core slab (HCS) is designated as a reference for comparison. The relevant assessment is conducted using the life cycle assessment (LCA), where the manufacturing and end-of-life (EoL) stages are considered. The results reveal promising mechanical performance of the new connection solution for TCC, potential carbon benefits, and viable deconstructability and reusability. © (2025) WORLD CONFERENCE ON TIMBER ENGINEERING 2025 (WCTE 2025) All rights reserved.</t>
  </si>
  <si>
    <t>carbon emissions; CLT; dry-dry system; TCC; timber</t>
  </si>
  <si>
    <t>Artificial life; Carbon; Carbon emissions; Concretes; Construction industry; Ecodesign; Environmental impact assessments; Environmental management; Floors; Life cycle; Life cycle assessment; Reusability; 'Dry' [; Carbon emissions; Composite floor systems; Cross laminated; Cross-laminated timber; Dry-dry system; Laminated timber; Mechanical; Timber-concrete composites; Timber</t>
  </si>
  <si>
    <t>2-s2.0-105010259319</t>
  </si>
  <si>
    <t>Skullestad J.L.; Bohne R.A.; Lohne J.</t>
  </si>
  <si>
    <t>57192432255; 17433243900; 55794391200</t>
  </si>
  <si>
    <t>High-rise Timber Buildings as a Climate Change Mitigation Measure - A Comparative LCA of Structural System Alternatives</t>
  </si>
  <si>
    <t>Energy Procedia</t>
  </si>
  <si>
    <t>10.1016/j.egypro.2016.09.112</t>
  </si>
  <si>
    <t>https://www.scopus.com/pages/publications/85006456765?origin=resultslist</t>
  </si>
  <si>
    <t>Industrial Ecology Programme, Norwegian University of Science and Technology (NTNU), Høgskoleringen 1, Trondheim, 7491, Norway; Department of Civil and Transport Engineering, NTNU, Høgskoleringen 7A, Trondheim, 491, Norway; ASPLAN VIAK AS, Postboks 24, Sandvika, 1300, Norway</t>
  </si>
  <si>
    <t>Skullestad J.L., Industrial Ecology Programme, Norwegian University of Science and Technology (NTNU), Høgskoleringen 1, Trondheim, 7491, Norway, ASPLAN VIAK AS, Postboks 24, Sandvika, 1300, Norway; Bohne R.A., Department of Civil and Transport Engineering, NTNU, Høgskoleringen 7A, Trondheim, 491, Norway; Lohne J., Department of Civil and Transport Engineering, NTNU, Høgskoleringen 7A, Trondheim, 491, Norway</t>
  </si>
  <si>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</si>
  <si>
    <t>climate change mitigation; CLT; High-rise buildings; LCA; timber buildings</t>
  </si>
  <si>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</si>
  <si>
    <t>J.L. Skullestad; Industrial Ecology Programme, Norwegian University of Science and Technology (NTNU), Trondheim, Høgskoleringen 1, 7491, Norway; email: juliel.skullestad@asplanviak.no</t>
  </si>
  <si>
    <t>Kurnitskin J.</t>
  </si>
  <si>
    <t>2-s2.0-85006456765</t>
  </si>
  <si>
    <t>Barclay S.; Salem O.S.</t>
  </si>
  <si>
    <t>58622584200; 53980457500</t>
  </si>
  <si>
    <t>FIRE RESISTANCE TESTING OF CLT-CONCRETE COMPOSITE FLOOR SLABS UTILIZING SELF-TAPPING SCREWS AS SHEAR CONNECTORS</t>
  </si>
  <si>
    <t>https://www.scopus.com/pages/publications/85172708777?origin=resultslist</t>
  </si>
  <si>
    <t>Dept. of Civil Engineering, Lakehead University, ON, Canada</t>
  </si>
  <si>
    <t>Barclay S., Dept. of Civil Engineering, Lakehead University, ON, Canada; Salem O.S., Dept. of Civil Engineering, Lakehead University, ON, Canada</t>
  </si>
  <si>
    <t>In massive production, mass timber sections made of engineered wood, such as cross-laminated timber (CLT) panels, accelerated the pace of the construction of tall wood buildings in North America in the past few years. However, more stringent fire safety measures are applicable to tall timber buildings. Most critically, floor systems in mass timber buildings can be made more robust, span longer distances and exhibit enhanced fire resistance by adding a top layer of concrete to allow a timber-concrete composite (TCC) floor system when adequate shear connections are utilized. This paper presents the experimental results of the fire resistance tests of two full-size, one-way TCC floor slabs that utilized self-tapping screws (STS) as shear connectors. The main objective of this new experimental study is to investigate the enhancement of the fire performance when designing a CLT panel as a TCC floor assembly through achieving the required composite action with a top concrete layer at the interface between the two materials. Test results show that a minimum fire resistance of two hours required by applicable building codes for mid-rise residential buildings has been achieved for CLT floor panel by designing it as a TCC floor assembly, taking advantage of the composite action activated by the utilization of 45-degree inclined STS as shear connectors. © (2023) WORLD CONFERENCE ON TIMBER ENGINEERING 2023 (WCTE 2023) All rights reserved.</t>
  </si>
  <si>
    <t>Fire resistance; Self-tapping screws; Shear connectors; Timber-concrete composite sections</t>
  </si>
  <si>
    <t>Building codes; Concrete slabs; Timber; Wooden buildings; Wooden construction; Wooden floors; Composite floor slabs; Composite floors; Composite sections; Cross laminated; Laminated timber; Self-tapping screws; Shear connector; Timber buildings; Timber-concrete composite section; Timber-concrete composites; Fire resistance</t>
  </si>
  <si>
    <t>2-s2.0-85172708777</t>
  </si>
  <si>
    <t>Siddika A.; Mamun M.A.A.; Aslani F.; Zhuge Y.; Alyousef R.; Hajimohammadi A.</t>
  </si>
  <si>
    <t>57194742493; 57202906536; 35788787900; 59680306200; 56554240700; 25927917700</t>
  </si>
  <si>
    <t>Cross-laminated timber–concrete composite structural floor system: A state-of-the-art review</t>
  </si>
  <si>
    <t>Engineering Failure Analysis</t>
  </si>
  <si>
    <t>10.1016/j.engfailanal.2021.105766</t>
  </si>
  <si>
    <t>https://www.scopus.com/pages/publications/85116015307?origin=resultslist</t>
  </si>
  <si>
    <t>School of Civil and Environmental Engineering, University of New South Wales, Sydney, 2052, NSW, Australia; Department of Civil Engineering, Pabna University of Science and Technology, Pabna, 6600, Bangladesh; Department of Civil Engineering, Rajshahi University of Engineering and Technology, Rajshahi, 6204, Bangladesh; Materials and Structures Innovation Group, School of Engineering, University of Western Australia, 6009, WA, Australia; School of Engineering, Edith Cowan University, Joondalup, 6027, WA, Australia; School of Natural and Built Environments, University of South Australia, Adelaide, 5001, Australia; Department of Civil Engineering, College of Engineering, Prince Sattam Bin Abdulaziz University, Alkharj, 11942, Saudi Arabia</t>
  </si>
  <si>
    <t>Siddika A., School of Civil and Environmental Engineering, University of New South Wales, Sydney, 2052, NSW, Australia, Department of Civil Engineering, Pabna University of Science and Technology, Pabna, 6600, Bangladesh; Mamun M.A.A., Department of Civil Engineering, Rajshahi University of Engineering and Technology, Rajshahi, 6204, Bangladesh; Aslani F., Materials and Structures Innovation Group, School of Engineering, University of Western Australia, 6009, WA, Australia, School of Engineering, Edith Cowan University, Joondalup, 6027, WA, Australia; Zhuge Y., School of Natural and Built Environments, University of South Australia, Adelaide, 5001, Australia; Alyousef R., Department of Civil Engineering, College of Engineering, Prince Sattam Bin Abdulaziz University, Alkharj, 11942, Saudi Arabia; Hajimohammadi A., School of Civil and Environmental Engineering, University of New South Wales, Sydney, 2052, NSW, Australia</t>
  </si>
  <si>
    <t>Composite construction elements are gaining extensive attention due to their high performance and reliability. Timber–concrete composite is one of the well-known engineered products of global interest. The cross-laminated timber (CLT) is a plate-like quasi-rigid composite that is usually composed of an uneven number of layers of solid timber board. The timber boards are generally placed side-by-side and arranged crosswise in CLT. The anisotropy in single timber boards is reliably adjusted, and its out-of-plane load bearing capacity is improved. The CLT members show low bending strength and resistance to global stability. The CLT–concrete composite has developed and showed approximately 3–5 times higher strength capacity than the conventional timber or concrete structures. This study aims to review the current practice and available guidelines for the CLT–concrete floor system. The basic required information on the design and construction and performance of the aforementioned system is described based on the current practices. This review can guide prospective researchers and users regarding the application of the CLT–concrete composite. The CLT–concrete elements need to be designed and constructed following the current code of practice and studies guidelines to achieve optimal performance. The design, construction, and performance of the CLT-concrete system are dependent on timber properties, connection systems, and slab details. This composite floor system possesses good performance under various loading conditions if adequately designed and constructed. © 2021 Elsevier Ltd</t>
  </si>
  <si>
    <t>cross-laminated timber (CLT); Fire performance; Seismic; Sustainability; Timber-concrete composite</t>
  </si>
  <si>
    <t>Bending strength; Concrete slabs; Floors; Laminated composites; Laminating; Optimal systems; Cross laminated; Cross-laminated timber; Current practices; Fire performance; Floor systems; Laminated timber; Performance; Timber boards; Timber-concrete; Timber-concrete composites; Timber</t>
  </si>
  <si>
    <t>A. Siddika; School of Civil and Environmental Engineering, University of New South Wales, Sydney, 2052, Australia; email: a.siddika@unsw.edu.au</t>
  </si>
  <si>
    <t>EFANE</t>
  </si>
  <si>
    <t>Eng. Fail. Anal.</t>
  </si>
  <si>
    <t>All Open Access; Green Open Access</t>
  </si>
  <si>
    <t>2-s2.0-85116015307</t>
  </si>
  <si>
    <t>Hatachi K.; Nishimiya W.; Mori T.; Araki Y.; Sakashita M.; Nakashima S.; Isoda H.</t>
  </si>
  <si>
    <t>59983398100; 59984727200; 22958266500; 37114331300; 14064014300; 59983839500; 55350625300</t>
  </si>
  <si>
    <t>CREEP BEHAVIOR OF CROSS-LAMINATED TIMBER-CONCRETE COMPOSITE FLOOR SYSTEM ON FIXED END CONDITION</t>
  </si>
  <si>
    <t>10.52202/080513-0436</t>
  </si>
  <si>
    <t>https://www.scopus.com/pages/publications/105010273928?origin=resultslist</t>
  </si>
  <si>
    <t>Graduate School of Advanced Science and Engineering, Hiroshima University, Hiroshima, Japan; Hiroshima Univ., Hiroshima, Japan; National Institute for Land and Infrastructure Management, Tsukuba, Japan; Building Research Institute, Tsukuba, Japan; Research Institute for Sustainable Humanosphere, Kyoto University, Kyoto, Japan</t>
  </si>
  <si>
    <t>Hatachi K., Graduate School of Advanced Science and Engineering, Hiroshima University, Hiroshima, Japan; Nishimiya W., Hiroshima Univ., Hiroshima, Japan; Mori T., Graduate School of Advanced Science and Engineering, Hiroshima University, Hiroshima, Japan; Araki Y., National Institute for Land and Infrastructure Management, Tsukuba, Japan; Sakashita M., Building Research Institute, Tsukuba, Japan; Nakashima S., Building Research Institute, Tsukuba, Japan; Isoda H., Research Institute for Sustainable Humanosphere, Kyoto University, Kyoto, Japan</t>
  </si>
  <si>
    <t>Many studies have been conducted on timber-concrete composite systems (TCC) as a new technology for medium to large scale buildings using wood materials. This study focuses on CLT-reinforced concrete composite floors and aims to understand the long-term performance of TCC floors under fixed end support conditions through the bending creep tests. As the results of the bending creep test, the creep coefficient calculated using the power law is about 4, which is about four times smaller than the creep coefficient of concrete slab. In the both-ends fixed condition, it was shown different force condition compare the simply supported condition examined in prior studies, the top surface of the edge of the composite floor bears the tensile force, so that both the concrete and wood sections bear the tensile and compressive forces. Accordingly, the bending stiffness of the floor system was calculated using the formula proposed by FPInnovations based on the γ method, and a larger value was calculated than the experimental value. It was considered this difference due to cracking caused by the concrete bearing tensile forces and the consequent reduction in anchorage, so to understand the long-term behavior of this system is planned to investigate a cracking etc. in detail. © (2025) WORLD CONFERENCE ON TIMBER ENGINEERING 2025 (WCTE 2025) All rights reserved.</t>
  </si>
  <si>
    <t>Creep behavior; Cross-laminated timber; Floor; Timber- reinforced concrete composite</t>
  </si>
  <si>
    <t>Bending tests; Concrete slabs; Concrete testing; Cracks; Creep; Creep testing; Reinforced concrete; Timber; Wooden floors; Composite floors; Concrete composites; Creep behaviors; Cross laminated; Cross-laminated timber; Fixed ends; Laminated timber; Tensile forces; Timber- reinforced concrete composite; Timber-concrete composites; Laminated composites; Laminating</t>
  </si>
  <si>
    <t>2-s2.0-105010273928</t>
  </si>
  <si>
    <t>Lamothe S.; Sorelli L.; Blanchet P.; Galimard P.</t>
  </si>
  <si>
    <t>57216157064; 8833588000; 7102260600; 6506441067</t>
  </si>
  <si>
    <t>Lightweight and slender timber-concrete composite floors made of CLT-HPC and CLT-UHPC with ductile notch connectors</t>
  </si>
  <si>
    <t>10.1016/j.engstruct.2021.112409</t>
  </si>
  <si>
    <t>https://www.scopus.com/pages/publications/85111055521?origin=resultslist</t>
  </si>
  <si>
    <t>Département de Génie Civil, Université Laval, Québec, G1V 0A6, Canada; Department of Wood and Forest Sciences, Université Laval, Québec, G1V 0A6, Canada; Department of Construction Timber Engineering, University of Bordeaux, France</t>
  </si>
  <si>
    <t>Lamothe S., Département de Génie Civil, Université Laval, Québec, G1V 0A6, Canada; Sorelli L., Département de Génie Civil, Université Laval, Québec, G1V 0A6, Canada; Blanchet P., Department of Wood and Forest Sciences, Université Laval, Québec, G1V 0A6, Canada; Galimard P., Department of Construction Timber Engineering, University of Bordeaux, France</t>
  </si>
  <si>
    <t>Cross-Laminated Timber (CLT) structures have been emerging worldwide for residential floors in multi-storey buildings thanks to their lightness, fast construction and low ecological footprint. This work aims at fostering this application, which is often limited by vibrational and deflection limits, by investigating composite slab floors made of CLT and High-Performance Concrete (HPC) slab as well as CLT and Ultra High-Performance Fiber Reinforced Concrete (UHPFRC). Firstly, the composite floors CLT-HPC and CLT-UHPFRC with a span of 8 m were designed by considering a multicriteria analysis. To assure a certain structural ductility, previously developed ductile notch connectors were employed. As an economic choice, no shear reinforcement in the concrete slab was employed. Then, full-scale composite beams were fabricated in order to verify the predicted flexural behaviour and natural frequency. A numerical analysis was carried out to verify the connectors could effectively yield before the timber collapse. The comparison between the numerical simulation and the slip measurements confirmed that about 50% of the notch connections fully yielded and underwent inelastic deformation which favors the structural ductility. In the case of the CLT-HPC floor, a reduction of the notch contact surface due to the use of plastic sheet waterproofing as well as shear cracks developing in the concrete close to the notch corner both reduced the expected structural stiffness. Finally, the CLT-UHPFRC floor is endowed with outstanding values of slenderness ratio (∼35) and lightness (∼2 kPa), while eliminating the use of shear reinforcement and sheet waterproofing. © 2021 Elsevier Ltd</t>
  </si>
  <si>
    <t>Cross Laminated Timber (CLT); Ductile Notch Connections; High Performance Concrete (HPC); Timber-concrete composite structures; Ultra-High Fiber Performance Concrete (UHPFRC)</t>
  </si>
  <si>
    <t>Concrete slabs; Ductility; Floors; Laminated composites; Laminating; Reinforced concrete; Timber; Waterproofing; Composite floors; Cross laminated; Cross laminated timber; Ductile notch connection; High performance concrete; High-performance concrete; Laminated timber; Timber-concrete composite structures; Ultra-high; Ultra-high fiber performance concrete; comparative study; composite; ductility; floor; numerical method; reinforced concrete; timber; High performance concrete</t>
  </si>
  <si>
    <t>L. Sorelli; Département de Génie Civil, Université Laval, Québec, G1V 0A6, Canada; email: luca.sorelli@gci.ulaval.ca</t>
  </si>
  <si>
    <t>2-s2.0-85111055521</t>
  </si>
  <si>
    <t>Cross-Laminated Timber Concrete Composite Systems for Long-Span Floors</t>
  </si>
  <si>
    <t>10.1061/9780784484180.030</t>
  </si>
  <si>
    <t>https://www.scopus.com/pages/publications/85129123477?origin=resultslist</t>
  </si>
  <si>
    <t>Experimental investigations on full-scale (9.6 m) and half-scale (4.8 m) cross-laminated timber (CLT)-concrete-composite (TCC) slab bands are presented. The out-of-plane shear and ultimate flexural capacities of these TCC floors utilizing several types of shear connectors were determined. The TCC system was comprised of a 245 mm thick, 7-ply CLT with 150 mm concrete topping joined with shear connectors. The efficiency of three types of shear connectors: self-tapping screws, steel kerf plates, and proprietary glued-in Holz-Beton-Verbund (HBV) connectors was evaluated. Six series of floor systems, one control series of raw CLT floors (without concrete topping) and five TCC series, were tested for a total of 6-half scale control slabs, 18-half scale, and 6-full scale TCC slabs were tested under four-point bending. The results from this research were utilized to make project-specific design decisions for "The Arbour,"a 10-storey mass timber building for George Brown College, located in Toronto, Canada.  © ASCE.</t>
  </si>
  <si>
    <t>Concretes; Floors; Laminated composites; Timber; Wooden buildings; Concrete composites; Cross laminated; Experimental investigations; Laminated timber; Long span; Out-of-plane shear; Shear connector; Timber-concrete composite slabs; Timber-concrete composites; Ultimate flexural capacity; Laminating</t>
  </si>
  <si>
    <t>2-s2.0-85129123477</t>
  </si>
  <si>
    <t>Kang Y.; Kim S.</t>
  </si>
  <si>
    <t>56122043500; 59722174400</t>
  </si>
  <si>
    <t>Carbon mitigation and energy efficiency of hybrid cross-laminated timber buildings: A case study on a community center design</t>
  </si>
  <si>
    <t>Energy and Buildings</t>
  </si>
  <si>
    <t>10.1016/j.enbuild.2025.116060</t>
  </si>
  <si>
    <t>https://www.scopus.com/pages/publications/105009328797?origin=resultslist</t>
  </si>
  <si>
    <t>Kang Y., Department of Architecture and Architectural Engineering, Yonsei University, Seoul, 03722, South Korea; Kim S., Department of Architecture and Architectural Engineering, Yonsei University, Seoul, 03722, South Korea</t>
  </si>
  <si>
    <t>Achieving carbon neutrality in the building sector requires innovative materials such as cross-laminate timber (CLT), energy-efficient solutions, renewable energy, and advanced building technologies to reduce greenhouse gas (GHG) emissions and enhance efficiency. This study evaluates the carbon mitigation potential of CLT as a nature-based solution (NBS) through substitution scenarios in a small-scale regional community center. The process begins with identifying potential building materials and a baseline model using traditional concrete. CLT is integrated as a hybrid material for walls and floors, substituting concrete in varying ratios to evaluate the life cycle carbon emissions and energy efficiency improvements. Key stages of the life cycle assessment (LCA) include material production, construction, operation, and end-of-life. Substituting concrete with CLT reduces GHG emissions by up to 9.22%, with the product stage showing the highest potential for carbon mitigation. The use stage also demonstrates significant reductions owing to the superior thermal performance of CLT, particularly in terms of operational energy consumption, where heating accounts for 88% of the energy savings in cold climates. Additionally, the study highlights the benefits of extending building lifespans and integrating renewable energy during the operation phase. Hybrid CLT buildings with higher exterior substitution ratios, as seen in scenarios S3-1 and S3-2, exhibit notable improvements in energy efficiency and life cycle emissions. Unlike previous studies, this study provides a focused analysis of the substitution rates, serving as a foundation for future large-scale timber construction. Continued research on detailed assemblies and optimized low-carbon designs is essential for advancing sustainable high-rise timber construction. © 2025 Elsevier B.V.</t>
  </si>
  <si>
    <t>Carbon neutrality; Cross-laminated timber; Energy efficiency; Hybrid timber construction; Life cycle assessment</t>
  </si>
  <si>
    <t>Architectural design; Carbon; Carbon cycle; Construction industry; Ecodesign; Energy utilization; Green buildings; Greenhouse gases; Hybrid materials; Laminating; Life cycle; Life cycle assessment; Structural design; Timber; Zero-carbon; Carbon energy; Carbon mitigation; Carbon neutralities; Cross laminated; Cross-laminated timber; Energy; Hybrid timber construction; Laminated timber; Timber buildings; Timber construction; Energy efficiency</t>
  </si>
  <si>
    <t>ENEBD</t>
  </si>
  <si>
    <t>Energy Build.</t>
  </si>
  <si>
    <t>2-s2.0-105009328797</t>
  </si>
  <si>
    <t>Renedo C.M.C.; Rosso M.M.; Chillitupa-Palomino L.; Aloisio A.; Díaz I.M.</t>
  </si>
  <si>
    <t>57211252051; 57222257965; 59245169100; 57205733998; 14051891600</t>
  </si>
  <si>
    <t>Dynamic Characterization and Vibration Serviceability Assessment of Two Bare High-Frequency CLT Floors</t>
  </si>
  <si>
    <t>676 LNCE</t>
  </si>
  <si>
    <t>10.1007/978-3-031-96114-4_60</t>
  </si>
  <si>
    <t>https://www.scopus.com/pages/publications/105019183955?origin=resultslist</t>
  </si>
  <si>
    <t>Department of Continuum Mechanics and Theory of Structures, ETSI Caminos, Canales y Puertos, Universidad Politécnica de Madrid, Madrid, Spain; Department of Structural, Geotechnical and Building Engineering, Politecnico di Torino, Turin, Italy; Department of Civil, Construction-Architectural and Environmental Engineering, University of L’Aquila, L’Aquila, Italy</t>
  </si>
  <si>
    <t>Renedo C.M.C., Department of Continuum Mechanics and Theory of Structures, ETSI Caminos, Canales y Puertos, Universidad Politécnica de Madrid, Madrid, Spain; Rosso M.M., Department of Structural, Geotechnical and Building Engineering, Politecnico di Torino, Turin, Italy; Chillitupa-Palomino L., Department of Continuum Mechanics and Theory of Structures, ETSI Caminos, Canales y Puertos, Universidad Politécnica de Madrid, Madrid, Spain; Aloisio A., Department of Civil, Construction-Architectural and Environmental Engineering, University of L’Aquila, L’Aquila, Italy; Díaz I.M., Department of Continuum Mechanics and Theory of Structures, ETSI Caminos, Canales y Puertos, Universidad Politécnica de Madrid, Madrid, Spain</t>
  </si>
  <si>
    <t>The building construction industry currently represents around 11% of the global carbon emissions. Thus, nowadays the widespread use of low-carbon footprint materials such as timber is considered a priority within the sector. Timber buildings have shown adequate structural performance in terms of capacity and stiffness; however, their extremely lightweight nature makes them more prone to develop excessive vibration responses. This fact is especially remarkable in modern buildings mainly built with engineering wooden products (EWPs) such as Cross Laminated Timber (CLT). Focusing on timber floors, their vibration serviceability limit state (VSLS) usually consists of limiting their dynamic response to human-induced loads as those produced when walking or performing aerobic activities. During the last three decades, the study of floors’ VSLS has been developed in parallel by two methodological schools, that of concrete/composite floors and that of timber ones. New Eurocode 5 has faced this inconsistency by updating its vibration-checking method, moving closer to the approaches used for concrete ones. However, there is still some controversy regarding these new vibration limits and the way of analyzing the response of lightweight floors with natural frequencies over 15 Hz. This paper provides an additional case study on the literature, in which two high-frequency CLT floors have been dynamically characterized using operational modal analysis. Additionally, a subsequent experimental assessment of their VSLS has been performed. The results shed light on the dynamic behavior of these types of floors increasingly used in the building construction sector. © The Author(s), under exclusive license to Springer Nature Switzerland AG 2025.</t>
  </si>
  <si>
    <t>CLT floors; Floor Vibrations; Timber buildings; Vibration Serviceability</t>
  </si>
  <si>
    <t>Concretes; Construction; Construction industry; Dynamic response; Modal analysis; Structural dynamics; Structural Mechanics; Timber; Vibration analysis; Wooden floors; Cross laminated; Cross laminated timber floor; Dynamic vibration; Floor vibrations; High frequency HF; Laminated timber; Serviceability limit state; Timber buildings; Timber floors; Vibration serviceability; Wooden buildings</t>
  </si>
  <si>
    <t>C.M.C. Renedo; Department of Continuum Mechanics and Theory of Structures, ETSI Caminos, Canales y Puertos, Universidad Politécnica de Madrid, Madrid, Spain; email: carlos.martindelaconcha@upm.es</t>
  </si>
  <si>
    <t>Cunha A.; Caetano E.</t>
  </si>
  <si>
    <t>978-303196113-7</t>
  </si>
  <si>
    <t>2-s2.0-105019183955</t>
  </si>
  <si>
    <t>Roncari A.; Gobbi F.; Loss C.</t>
  </si>
  <si>
    <t>57221464654; 57204964831; 37098919100</t>
  </si>
  <si>
    <t>Nonlinear static seismic response of a building equipped with hybrid cross-laminated timber floor diaphragms and concentric X-braced steel frames</t>
  </si>
  <si>
    <t>10.3390/buildings11010009</t>
  </si>
  <si>
    <t>https://www.scopus.com/pages/publications/85099203594?origin=resultslist</t>
  </si>
  <si>
    <t>Sustainable Engineered Structural Solutions Laboratory, Department of Wood Science, The University of British Columbia, Vancouver, V6T 1Z4, BC, Canada; Department of Civil, Environmental and Mechanical Engineering, University of Trento, Trento, 38122, Italy</t>
  </si>
  <si>
    <t>Roncari A., Sustainable Engineered Structural Solutions Laboratory, Department of Wood Science, The University of British Columbia, Vancouver, V6T 1Z4, BC, Canada, Department of Civil, Environmental and Mechanical Engineering, University of Trento, Trento, 38122, Italy; Gobbi F., Department of Civil, Environmental and Mechanical Engineering, University of Trento, Trento, 38122, Italy; Loss C., Sustainable Engineered Structural Solutions Laboratory, Department of Wood Science, The University of British Columbia, Vancouver, V6T 1Z4, BC, Canada</t>
  </si>
  <si>
    <t>Simplified seismic design procedures mostly recommend the adoption of rigid floor diaphragms when forming a building’s lateral force-resisting structural system. While rigid behavior is compatible with many reinforced concrete or composite steel-concrete floor systems, the intrinsic stiffness properties of wood and ductile timber connections of timber floor slabs typically make reaching a such comparable in-plane response difficult. Codes or standards in North America widely cover wood-frame construction, with provisions given for both rigid and flexible floor diaphragms designs. Instead, research is ongoing for emerging cross-laminated-timber (CLT) and hybrid CLT-based technologies, with seismic design codification still currently limited. This paper deals with a steel-CLT-based hybrid structure built by assembling braced steel frames with CLT-steel composite floors. Preliminary investigation on the performance of a 3-story building under seismic loads is presented, with particular attention to the influence of in-plane timber diaphragms flexibility on the force distribution and lateral deformation at each story. The building complies with the Italian Building Code damage limit state and ultimate limit state design requirements by considering a moderate seismic hazard scenario. Nonlinear static analyses are performed adopting a finite-element model calibrated based on experimental data. The CLT-steel composite floor in-plane deformability shows mitigated effects on the load distribution into the bracing systems compared to the ideal rigid behavior. On the other hand, the lateral deformation always rises at least 17% and 21% on average, independently of the story and load distribution along the building’s height. © 2020 by the authors. Licensee MDPI, Basel, Switzerland.</t>
  </si>
  <si>
    <t>Cross-laminated timber (CLT); Hybrid structures; Lateral resistance; Load distribution; Mass timber construction; Pushover analysis; Seismic performance; Semi-rigid diaphragms</t>
  </si>
  <si>
    <t>C. Loss; Sustainable Engineered Structural Solutions Laboratory, Department of Wood Science, The University of British Columbia, Vancouver, V6T 1Z4, Canada; email: cristiano.loss@ubc.ca</t>
  </si>
  <si>
    <t>2-s2.0-85099203594</t>
  </si>
  <si>
    <t>Himes A.; Busby G.</t>
  </si>
  <si>
    <t>56096757800; 57371204400</t>
  </si>
  <si>
    <t>Wood buildings as a climate solution</t>
  </si>
  <si>
    <t>Developments in the Built Environment</t>
  </si>
  <si>
    <t>10.1016/j.dibe.2020.100030</t>
  </si>
  <si>
    <t>https://www.scopus.com/pages/publications/85104589661?origin=resultslist</t>
  </si>
  <si>
    <t>Mississippi State University Department of Forestry, United States; GreenWood Resources, Inc, United States</t>
  </si>
  <si>
    <t>Himes A., Mississippi State University Department of Forestry, United States; Busby G., GreenWood Resources, Inc, United States</t>
  </si>
  <si>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 © 2020 The Author(s)</t>
  </si>
  <si>
    <t>Carbon; CLT; Cross laminated timber; Global warming; LCA; Mass timber</t>
  </si>
  <si>
    <t>Building codes; Building materials; Carbon; Emission control; Global warming; Life cycle; Timber; Wooden buildings; Climate mitigations; Construction phase; Conventional materials; Emissions reduction; Life cycle analysis; Low carbon constructions; Private investment; Urban construction; Construction</t>
  </si>
  <si>
    <t>A. Himes; Starkville, 311 San Marcos, 39759, United States; email: austin.himes@msstate.edu</t>
  </si>
  <si>
    <t>Dev. Built. Environ.</t>
  </si>
  <si>
    <t>2-s2.0-85104589661</t>
  </si>
  <si>
    <t>Ellrich E.R.; Via B.; Roueche D.; Sener K.</t>
  </si>
  <si>
    <t>59663758500; 6603289572; 55365701900; 55366144500</t>
  </si>
  <si>
    <t>A Comparative Floor Assembly Design and Life-Cycle Assessment Study of Steel–Timber and Steel–Concrete Composite Structural Systems</t>
  </si>
  <si>
    <t>Forest Products Journal</t>
  </si>
  <si>
    <t>10.13073/FPJ-D-24-00041</t>
  </si>
  <si>
    <t>https://www.scopus.com/pages/publications/85219498242?origin=resultslist</t>
  </si>
  <si>
    <t>KPFF Structural Consultants, Salt Lake City, UT, United States; College of Forestry, Wildlife, and Environment, United States; Dept. of Civil and Environmental Engineering, United States; Auburn University, Auburn, AL, United States</t>
  </si>
  <si>
    <t>Ellrich E.R., KPFF Structural Consultants, Salt Lake City, UT, United States; Via B., College of Forestry, Wildlife, and Environment, United States; Roueche D., Dept. of Civil and Environmental Engineering, United States; Sener K., Auburn University, Auburn, AL, United States</t>
  </si>
  <si>
    <t>Steel-timber composite (STC) structures, which utilize mass-timber cross-laminated-timber (CLT) floor panels compositely connected to steel framing, have emerged as a viable alternative structural system with a low carbon footprint along with potential improvements in the structural performance and constructability against traditional steel–concrete (SCC) systems. This paper focuses on the floor assembly design and sustainability aspect of STC systems relative to SCC systems with particular emphasis on results from a comparative whole-building life-cycle-assessment study conducted on functionally equivalent STC and SCC office buildings at 7 and 18 stories. Embodied carbon was lower in the STC systems since the total embodied carbon reduced by 50 and 42 percent in the 7- and 18-story structures, respectively. Embodied fossil energy was also lower in the STC systems since the total embodied fossil energy reduced by 32 and 21 percent in the 7- and 18-story structures, respectively. Sensitivity studies on biogenic carbon inclusion have shown substantial impact on the results. ©Forest Products Society 2025.</t>
  </si>
  <si>
    <t>Assembly; Carbon; Design; Energy; Life; Steel; Structures; Systems; Carbon footprint; Concretes; Laminated composites; Timber; Wooden floors; Assembly designs; Composite structural systems; Composites structures; Concrete system; Cross laminated; Embodied carbons; Fossil energy; Laminated timber; Steel concrete; Steel-concrete composite; Office buildings</t>
  </si>
  <si>
    <t>D. Roueche; Dept. of Civil and Environmental Engineering, United States; email: dbr0011@auburn.edu; K. Sener; Auburn University, Auburn, United States; email: sener@auburn.edu</t>
  </si>
  <si>
    <t>Forest Products Society</t>
  </si>
  <si>
    <t>FPJOA</t>
  </si>
  <si>
    <t>For Prod J</t>
  </si>
  <si>
    <t>2-s2.0-85219498242</t>
  </si>
  <si>
    <t>Hiramitsu A.; Hirakawa S.</t>
  </si>
  <si>
    <t>36499616500; 56637881700</t>
  </si>
  <si>
    <t>INFLUENCE OF DRY-TYPE DOUBLE FLOOR STRUCTURE ON FLOOR IMPACT SOUND INSULATION PERFORMANCE</t>
  </si>
  <si>
    <t>https://www.scopus.com/pages/publications/85170643192?origin=resultslist</t>
  </si>
  <si>
    <t>Department of Environmental Engineering, Building Research Institute, Ibaraki, Japan; National Institute for Land and Infrastructure Management, Ibaraki, Japan</t>
  </si>
  <si>
    <t>Hiramitsu A., Department of Environmental Engineering, Building Research Institute, Ibaraki, Japan; Hirakawa S., National Institute for Land and Infrastructure Management, Ibaraki, Japan</t>
  </si>
  <si>
    <t>The dry-type double floor structure is often constructed on floor slabs as the floor finishing material for concrete apartment houses in Japan. This floor structure consists of a support footing with anti-vibration rubber, particle board, asphalt-based sound insulation sheets, flooring, and other top surface materials. In the case of the concrete building, the floor finishing material is effective for the light-weight floor impact sound insulation performance, however, it is not effective for the heavy-weight floor impact sound insulation performance. This is believed to the due to the mass-spring resonance of the air layer and the top surface. For the Cross Laminated Timber (CLT) building, the floor finishing material is effective for both the light-weight and the heavy-weight floor impact sound insulation performance hence the floor finishing material works differently with the different buildings. But no data was obtained from the same product installed on the different floor structures. The reduction of the transmitted floor impact sound level due to the same dry-type double floor structure was investigated with different constructions. The laboratory experiments were conducted in the CLT experimental building, a 6-storey wood-frame construction experimental building and vertical transmission suite in BRI Japan. Those are the 210 mm CLT bare floor, 210 mm CLT floor with floating floor and composite 210 mm CLT and 100 mm concrete floor and 200 mm concrete bare floor. As a result, the reduction of transmitted floor impact sound level changes depending on the driving-point impedance. The higher the driving-point impedance, the smaller the reduction of transmitted floor impact sound level was obtained. © 2023 Proceedings of the International Congress on Sound and Vibration. All rights reserved.</t>
  </si>
  <si>
    <t>Cross Laminated Timber; driving-point impedance; dry-type double floor structure; floor impact sound insulation; reduction of transmitted impact sound by floor coverings</t>
  </si>
  <si>
    <t>Acoustic Insulation; Concrete; Impact; Lamination; Performance; Rubber; Weight; Acoustic waves; Apartment houses; Concrete slabs; Electric circuit breakers; Laminated composites; Laminating; Rubber; Timber; Wooden floors; % reductions; Cross laminated; Cross laminated timber; Driving point impedances; Dry types; Dry-type double floor structure; Floor covering; Floor impact sound insulation; Floor structures; Floor-impact sound; Impact sound; Impact sound insulation; Laminated timber; Reduction of transmitted impact sound by floor covering; Sound insulation</t>
  </si>
  <si>
    <t>2-s2.0-85170643192</t>
  </si>
  <si>
    <t>Engineering ductile notch connections for composite floors made of laminated timber and high or ultra-high performance fiber reinforced concrete</t>
  </si>
  <si>
    <t>10.1016/j.engstruct.2020.110415</t>
  </si>
  <si>
    <t>https://www.scopus.com/pages/publications/85082662497?origin=resultslist</t>
  </si>
  <si>
    <t>Département de Génie Civil, Université Laval, G1V 0A6, Québec, Canada; Department of Wood and Forest Sciences, Université Laval, G1V 0A6, Québec, Canada; Institut d'Ingénierie et de Mécanique, Université de Bordeaux, France</t>
  </si>
  <si>
    <t>Lamothe S., Département de Génie Civil, Université Laval, G1V 0A6, Québec, Canada; Sorelli L., Département de Génie Civil, Université Laval, G1V 0A6, Québec, Canada; Blanchet P., Department of Wood and Forest Sciences, Université Laval, G1V 0A6, Québec, Canada; Galimard P., Institut d'Ingénierie et de Mécanique, Université de Bordeaux, France</t>
  </si>
  <si>
    <t>Different kinds of ductile connectors have been lately developed for enhancing the structural ductility of Timber-Concrete Composite (TCC) structures. In particular, ductile notch connections can be designed by favoring the local compression failure of wood fibers. This work aims at further developing economic and ductile notch connector by considering different floor systems made of Glulam Laminated Timber (GLT) beam or Cross Laminated Timber (GLT or CLT) slab connected with a High Performance Concrete (HPC) slab or a Ultra-High Performance Fiber Reinforced Concrete (UHPFRC) slab. Firstly, the geometry of the notch connector was suitably designed for favoring a ductile hierarchy of collapse modes. Then, a wide campaign of push-out tests was carried out to characterize the shear behaviour of 14 connection configurations by varying the notch geometry, the concrete type and the possible presence of acoustic insulation. Finally, based on the experimentally identified connection shear law, an example of design is presented for a TCC slab of 9 m span. The insulation layer was found to reduce the connection stiffness, but to increases the structural stiffness thanks to the enhanced lever arm of the composite action. For plastically designed TCC structures, the connection ductility allows increasing the structural ductility for both GLT-(U)HPC and for CLT-(U)UPC floor systems. © 2020 Elsevier Ltd</t>
  </si>
  <si>
    <t>Cross Laminated Timber (CLT); Glued Laminated Timber (GLT); High Performance Concrete (HPC); Timber-concrete composite structures; Ultra-High Performance Fiber Reinforced Concrete (UHPFRC)</t>
  </si>
  <si>
    <t>Composite structures; Concrete slabs; Ductility; Fiber reinforced concrete; Fibers; Floors; High performance concrete; Laminated composites; Laminating; Stiffness; Timber; Connection stiffness; Cross laminated; Glued-laminated timber; Structural ductility; Structural stiffness; Timber-concrete composite structures; Timber-concrete composites; Ultra-high-performance fiber-reinforced concrete; composite; ductility; floor; geometry; reinforced concrete; stiffness; timber; Failure (mechanical)</t>
  </si>
  <si>
    <t>L. Sorelli; Département de Génie Civil, Université Laval, G1V 0A6, Canada; email: luca.sorelli@gci.ulaval.ca</t>
  </si>
  <si>
    <t>2-s2.0-85082662497</t>
  </si>
  <si>
    <t>Chiniforush A.A.; Akbarnezhad A.; Valipour H.; Xiao J.</t>
  </si>
  <si>
    <t>57190258599; 36730725400; 6508258428; 7402564490</t>
  </si>
  <si>
    <t>Energy implications of using steel-timber composite (STC) elements in buildings</t>
  </si>
  <si>
    <t>10.1016/j.enbuild.2018.07.038</t>
  </si>
  <si>
    <t>https://www.scopus.com/pages/publications/85050815852?origin=resultslist</t>
  </si>
  <si>
    <t>Centre for Infrastructure Engineering and Safety, School of Civil and Environmental Engineering, University of New South Wales, Sydney, Australia; School of Civil Engineering, The University of Sydney, NSW 2006, Australia; Department of Structural Engineering, College of Civil Engineering, Tongji University, China</t>
  </si>
  <si>
    <t>Chiniforush A.A., Centre for Infrastructure Engineering and Safety, School of Civil and Environmental Engineering, University of New South Wales, Sydney, Australia; Akbarnezhad A., School of Civil Engineering, The University of Sydney, NSW 2006, Australia; Valipour H., Centre for Infrastructure Engineering and Safety, School of Civil and Environmental Engineering, University of New South Wales, Sydney, Australia; Xiao J., Department of Structural Engineering, College of Civil Engineering, Tongji University, China</t>
  </si>
  <si>
    <t>Among different structural elements, floor elements account for the largest portion of the mass and thus the embodied energy of the structures. Therefore, a viable approach to reduce the embodied energy of buildings may involve replacing the conventional floor systems with alternative low embodied energy floor systems. This paper investigates the potential reductions in the life cycle energy of the steel structures achievable through the adoption of steel-timber composite (STC) elements as floor and shear wall systems. Evaluating the life cycle energy implications of adopting STC elements is especially important due to the trade-off between their positive and negative effects on embodied energy and operating energy, respectively, when compared to alternative conventional elements with a higher thermal mass including concrete and steel elements. The life-cycle energy of four different structures designed for a building is evaluated by accounting for energy use in material extraction and processing, component manufacturing, transportation, construction, operation and end of life phases. Two steel structures with STC and steel-concrete composite floors and concrete shear walls are considered to evaluate the effects of STC floors on the energy-usage footprint. The third structure is designed with STC floor system and CLT shear walls; and the fourth structure is designed as a concrete structure to provide a basis for comparison between energy footprint of steel structures with STC and reinforced concrete structures. The results indicate that when designing the building with a steel structure, adoption of STC floor and shear wall systems resulted in 107.5% decrease in the embodied energy at the expense of only a slight increase in the operating energy. Furthermore, adopting a steel structure with STC floors was found to result in considerable life cycle energy savings, viz. 895 MJ/m2, when compared with the same building designed with a concrete structure. © 2018 Elsevier B.V.</t>
  </si>
  <si>
    <t>Buildings; Concrete structure; Cross laminated timber (clt); Embodied energy; Life cycle energy; Steel structure; Steel-timber composite (stc) elements</t>
  </si>
  <si>
    <t>Buildings; Concrete buildings; Concrete construction; Economic and social effects; Energy conservation; Floors; Laminated composites; Materials handling; Reinforced concrete; Shear flow; Shear walls; Steel structures; Timber; Component manufacturing; Concrete shear wall; Cross laminated; Embodied energy; Life cycle energies; Positive and negative effect; Steel-concrete composite floor; Structural elements; Life cycle</t>
  </si>
  <si>
    <t>A. Akbarnezhad; School of Civil Engineering, The University of Sydney, NSW 2006, Australia; email: ali.nezhad@sydney.edu.au</t>
  </si>
  <si>
    <t>2-s2.0-85050815852</t>
  </si>
  <si>
    <t>Experimental dataset for effective bending stiffness and load-carrying capacity of CLT-concrete composite floor systems</t>
  </si>
  <si>
    <t>Data in Brief</t>
  </si>
  <si>
    <t>10.1016/j.dib.2025.112170</t>
  </si>
  <si>
    <t>https://www.scopus.com/pages/publications/105020989511?origin=resultslist</t>
  </si>
  <si>
    <t>Fast + Epp, Vancouver, BC, Canada; School of Engineering, University of Northern British Columbia, Prince George, Canada</t>
  </si>
  <si>
    <t>Shahnewaz M., Fast + Epp, Vancouver, BC, Canada; Jackson R., Fast + Epp, Vancouver, BC, Canada; Tannert T., School of Engineering, University of Northern British Columbia, Prince George, Canada</t>
  </si>
  <si>
    <t>This article presents the dataset from experimental investigations on cross-laminated timber (CLT) concrete composite (TCC) floor systems. The data was collected at the University of Northern British Columbia, BC, Canada, for project-specific design decisions for “Limberlost Place”, a mass timber building for George Brown College, in Toronto, Canada designed by Fast + Epp, Vancouver, BC, Canada. The TCC systems comprised of 245 mm thick, 7-ply CLT panels with 150 mm concrete topping. A total of 18 small-scale shear connections, and 24 half-scale (4.6 m long) and 9 full-scale (9.2 m long) floors were tested. The dataset provides information on the effective bending stiffness and load-carrying capacity of long span beamless CLT-concrete floor systems. This data will also serve as essential inputs for engineers and researchers in modelling and design processes. Copyright © 2025. Published by Elsevier Inc.</t>
  </si>
  <si>
    <t>Composite floor; Cross-laminated timber; Timber connections; Timber floor</t>
  </si>
  <si>
    <t>Architectural design; Concrete slabs; Laminated composites; Laminating; Loads (forces); Stiffness; Structural design; Timber; Wooden buildings; Wooden floors; Bending load; Composite floors; Cross laminated; Cross-laminated timber; Effective bending stiffness; Laminated timber; Load carrying; Timber connections; Timber floors; Timber-concrete composites; Copyrights</t>
  </si>
  <si>
    <t>M. Shahnewaz; Fast + Epp, Vancouver, Canada; email: mshahnewaz@fastepp.com</t>
  </si>
  <si>
    <t>Elsevier Inc.</t>
  </si>
  <si>
    <t>Data Brief</t>
  </si>
  <si>
    <t>2-s2.0-105020989511</t>
  </si>
  <si>
    <t>Reinforced cross-laminated timber-concrete composite floor systems</t>
  </si>
  <si>
    <t>10.1016/j.engstruct.2023.116395</t>
  </si>
  <si>
    <t>https://www.scopus.com/pages/publications/85161706599?origin=resultslist</t>
  </si>
  <si>
    <t>Fast+Epp, 300 – 397 W 7th Avenue, Vancouver, V5Y 1M2, BC, Canada; School of Engineering, University of Northern British Columbia, Prince George, Canada</t>
  </si>
  <si>
    <t>Shahnewaz M., Fast+Epp, 300 – 397 W 7th Avenue, Vancouver, V5Y 1M2, BC, Canada; Jackson R., Fast+Epp, 300 – 397 W 7th Avenue, Vancouver, V5Y 1M2, BC, Canada; Tannert T., School of Engineering, University of Northern British Columbia, Prince George, Canada</t>
  </si>
  <si>
    <t>This paper presents full-scale experimental investigations on cross-laminated timber concrete composite (TCC) systems. The primary objective was to determine the stiffness, ultimate load-carrying capacity, and failure modes of TCC systems using three different shear connectors: self-tapping screws, steel kerf plates, and proprietary glued-in perforated steel plates. The secondary objective was to determine the effectiveness of shear reinforcement in the CLT panels. The TCC system was comprised of 245 mm thick, 7-ply CLT panels with a 150 mm concrete topping. A total of 24 half-span (4.6 m long) and 9 full-span (9.2 m long) CLT and TCC floor segments were tested under symmetric four-point bending as well as torsional bending. For all test series, the CLT panels were either unreinforced, or reinforced using self-tapping screws. The shear reinforcement increased rolling shear capacity which helped to avoid CLT shear failure. Adding the concrete topping increased the shear capacity by up to 167%. The tests showed that the floors with steel kerf plates exhibited the highest capacity and stiffness, while also being the most easy-to-install solution. The results from this research guided project-specific design decisions for “Limberlost Place”, a mass timber building for George Brown College, in Toronto, Canada. © 2023 Elsevier Ltd</t>
  </si>
  <si>
    <t>Connections; Cross-laminated timber; Shear capacity; Structural composite</t>
  </si>
  <si>
    <t>Canada; Ontario [Canada]; Toronto; Concrete slabs; Laminated composites; Laminating; Plates (structural components); Reinforcement; Screws; Stiffness; Timber; Composite floor systems; Connection; Cross laminated; Cross-laminated timber; Laminated timber; Self-tapping screws; Shear capacity; Shear reinforcement; Structural composites; Timber-concrete composites; composite; concrete structure; dynamic response; multistorey building; shear strength; structural response; Floors</t>
  </si>
  <si>
    <t>T. Tannert; School of Engineering, University of Northern British Columbia, Prince George, Canada; email: thomas.tannert@unbc.ca</t>
  </si>
  <si>
    <t>2-s2.0-85161706599</t>
  </si>
  <si>
    <t>Albogami R.; Alotaibi D.; Althuwaiqeb S.; Alnassir F.; Alfaihani H.; Ahmed D.; Chowdhury S.; Ayadat T.; Khasawneh M.A.</t>
  </si>
  <si>
    <t>59748641500; 59559541700; 57655768900; 59748334400; 59747873600; 57217208973; 36143739500; 20435579500; 57201650752</t>
  </si>
  <si>
    <t>Sustainability and cost of a multi-story edifice, with CLT and LGS light weight floor system, at Neom-The Line</t>
  </si>
  <si>
    <t>10.21741/9781644903414-13</t>
  </si>
  <si>
    <t>https://www.scopus.com/pages/publications/105003146284?origin=resultslist</t>
  </si>
  <si>
    <t>Department of Civil Engineering, Prince Mohammad Bin Fahd University, Al Khobar, Saudi Arabia</t>
  </si>
  <si>
    <t>Albogami R., Department of Civil Engineering, Prince Mohammad Bin Fahd University, Al Khobar, Saudi Arabia; Alotaibi D., Department of Civil Engineering, Prince Mohammad Bin Fahd University, Al Khobar, Saudi Arabia; Althuwaiqeb S., Department of Civil Engineering, Prince Mohammad Bin Fahd University, Al Khobar, Saudi Arabia; Alnassir F., Department of Civil Engineering, Prince Mohammad Bin Fahd University, Al Khobar, Saudi Arabia; Alfaihani H., Department of Civil Engineering, Prince Mohammad Bin Fahd University, Al Khobar, Saudi Arabia; Ahmed D., Department of Civil Engineering, Prince Mohammad Bin Fahd University, Al Khobar, Saudi Arabia; Chowdhury S., Department of Civil Engineering, Prince Mohammad Bin Fahd University, Al Khobar, Saudi Arabia; Ayadat T., Department of Civil Engineering, Prince Mohammad Bin Fahd University, Al Khobar, Saudi Arabia; Khasawneh M.A., Department of Civil Engineering, Prince Mohammad Bin Fahd University, Al Khobar, Saudi Arabia</t>
  </si>
  <si>
    <t>Climate change and global warming, driven primarily by human activities, are urgent global issues necessitating immediate attention and action. The construction sector, responsible for nearly 40% of global greenhouse gas emissions, plays a critical role in these challenges. This study focuses on designing a sustainable multi-story edifice at Neom-The Line using cross-laminated timber (CLT) and light gauge steel (LGS) as lightweight floor systems. By comparing the carbon emissions of a CLT-hybrid building and an LGS-hybrid building, the study demonstrates the potential of sustainable materials in reducing CO2 emissions. Results indicate that the CLT-hybrid structure emits significantly less CO2 compared to the LGS-hybrid and traditional reinforced concrete (RCC) structures. The incorporation of photovoltaic (PV) glass further enhances the sustainability of these buildings. This research aligns with the United Nations' Sustainable Development Goals and Saudi Vision 2030, promoting sustainable construction practices and contributing to climate action. © 2025, Association of American Publishers. All rights reserved.</t>
  </si>
  <si>
    <t>Carbon Emission; Cross-Laminated Timber (CLT); Hybrid Building; Light Gauge Steel (LGS); Neom-The Line; Sustainable Buildings</t>
  </si>
  <si>
    <t>D. Ahmed; Department of Civil Engineering, Prince Mohammad Bin Fahd University, Al Khobar, Saudi Arabia; email: dahmed@pmu.edu.sa</t>
  </si>
  <si>
    <t>2-s2.0-105003146284</t>
  </si>
  <si>
    <t>Hassanieh A.; Valipour H.R.; Bradford M.A.</t>
  </si>
  <si>
    <t>57173189300; 6508258428; 7102411221</t>
  </si>
  <si>
    <t>Composite connections between CLT slab and steel beam: Experiments and empirical models</t>
  </si>
  <si>
    <t>Journal of Constructional Steel Research</t>
  </si>
  <si>
    <t>10.1016/j.jcsr.2017.09.002</t>
  </si>
  <si>
    <t>https://www.scopus.com/pages/publications/85029677033?origin=resultslist</t>
  </si>
  <si>
    <t>Centre for Infrastructure Engineering and Safety, School of Civil and Environmental Engineering, UNSW Sydney, 2052, NSW, Australia</t>
  </si>
  <si>
    <t>Hassanieh A., Centre for Infrastructure Engineering and Safety, School of Civil and Environmental Engineering, UNSW Sydney, 2052, NSW, Australia; Valipour H.R., Centre for Infrastructure Engineering and Safety, School of Civil and Environmental Engineering, UNSW Sydney, 2052, NSW, Australia; Bradford M.A., Centre for Infrastructure Engineering and Safety, School of Civil and Environmental Engineering, UNSW Sydney, 2052, NSW, Australia</t>
  </si>
  <si>
    <t>A composite floor comprising of steel beams connected to cross laminated timber (CLT) panels is a sustainable alternative to composite floors with reinforced concrete slab. The structural performance of the steel-CLT floor depends strongly on the load-slip behaviour (particularly the stiffness and strength) of the shear connection between the steel beams and the CLT slabs. In this paper, the short-term behaviour of steel-CLT joints is studied by laboratory push-out experiments conducted on CLT-steel-CLT specimens, being analogous to familiar push tests on steel-concrete specimens. In addition to coach screws and bolts, a high-performance steel-CLT composite connection comprising of high-strength bolted shear connectors embedded in pockets of grout is proposed and tested. The push-out experiments are used to determine the load-slip, failure mode, stiffness and ultimate strength/capacity of the steel-CLT composite joints and to calibrate an empirical formula for the load-slip response of the CLT-to-steel connections. Furthermore, simple empirical formulae for the stiffness and ultimate capacity of the CLT-to-steel composite connections are proposed. © 2017</t>
  </si>
  <si>
    <t>Bolted connectors; Cross laminated timber (CLT); Grouted connection; Push-out</t>
  </si>
  <si>
    <t>Bolts; Concrete slabs; Concretes; Floors; Grouting; Joints (structural components); Laminated composites; Laminating; Mortar; Reinforced concrete; Steel beams and girders; Stiffness; Timber; Composite connections; Cross laminated; Empirical formulas; Grouted connection; High performance steel; Push-out; Steel connections; Structural performance; High strength steel</t>
  </si>
  <si>
    <t>A. Hassanieh; Centre for Infrastructure Engineering and Safety, School of Civil and Environmental Engineering, UNSW Sydney, 2052, Australia; email: a.hassanieh@unsw.edu.au</t>
  </si>
  <si>
    <t>0143974X</t>
  </si>
  <si>
    <t>J. Constr. Steel Res.</t>
  </si>
  <si>
    <t>2-s2.0-85029677033</t>
  </si>
  <si>
    <t>Albino C.; Martins C.; Ferreira C.; Augusto R.; Dias A.</t>
  </si>
  <si>
    <t>57199499536; 55546409400; 58717873600; 58608635700; 50760964400</t>
  </si>
  <si>
    <t>MECHANICAL BEHAVIOUR OF NOTCH CONNECTION FOR MARITIME PINE CLT-CONCRETE COMPOSITE</t>
  </si>
  <si>
    <t>10.52202/069179-0406</t>
  </si>
  <si>
    <t>https://www.scopus.com/pages/publications/85171799601?origin=resultslist</t>
  </si>
  <si>
    <t>University of Coimbra, ISISE, Department of Civil Engineering, Coimbra, Portugal; SerQ, Sertã, Portugal</t>
  </si>
  <si>
    <t>Albino C., University of Coimbra, ISISE, Department of Civil Engineering, Coimbra, Portugal; Martins C., University of Coimbra, ISISE, Department of Civil Engineering, Coimbra, Portugal; Ferreira C., SerQ, Sertã, Portugal; Augusto R., SerQ, Sertã, Portugal; Dias A., University of Coimbra, ISISE, Department of Civil Engineering, Coimbra, Portugal</t>
  </si>
  <si>
    <t>Cross Laminated Timber (CLT) is one of the most representative Engineered Wood Products, especially for low- and mid-rise timber buildings. Although in the 2000s, its use in Europe increased significantly, Portugal is still at a starting point and Spain needs a boost for its dissemination. Aiming promotion and dissemination of this type of buildings in SUDOE region, Eguralt project promotes research and innovation capacity for its sustainable growth. As a partner, one of SerQ's objectives is to promote the production of CLT solutions with wood from local species. The advantages of CLT are well known. However, the use of CLT in composite solutions requires the study of the overall performance, namely: stiffness; strength; dynamics and acoustic performance. Continuing recent studies in these areas, this paper presents an experimental campaign on the assessment of CLT-concrete connections and its comparison with the design models available. CLT was produced at SerQ's facilities with local maritime pine (Pinus pinaster Ait.) wood. In situ concrete casting and precast concrete processes were a study variable. Notch shear connectors with different geometries and screws or U-shape rebar cages to prevent uplift, gives the system its composite behaviour. The load capacity of the connectors was theoretically predicted and validated with shear tests, and the experimental results were then compared with those. The results of the specimens cast in situ were satisfactory, while the results of the precast specimens were below expectations. © 13th World Conference on Timber Engineering, WCTE 2023. All rights reserved.</t>
  </si>
  <si>
    <t>CLT-concrete composite; composite floor; connection; experimental testing; maritime pine; shear test</t>
  </si>
  <si>
    <t>Concrete slabs; Precast concrete; Wood products; Composite floors; Connection; Cross laminated; Cross laminated timber-concrete composite; Experimental testing; Laminated timber; Maritime pines; Mechanical behavior; Shear tests; Timber-concrete composites; Timber</t>
  </si>
  <si>
    <t>2-s2.0-85171799601</t>
  </si>
  <si>
    <t>Lukić I.; Premrov M.; Leskovar Ž.V.; Passer A.</t>
  </si>
  <si>
    <t>57220183396; 6701482772; 57220180180; 53875067300</t>
  </si>
  <si>
    <t>Assessment of the environmental impact of timber and its potential to mitigate embodied GHG emissions</t>
  </si>
  <si>
    <t>IOP Conference Series: Earth and Environmental Science</t>
  </si>
  <si>
    <t>10.1088/1755-1315/588/2/022068</t>
  </si>
  <si>
    <t>https://www.scopus.com/pages/publications/85097174625?origin=resultslist</t>
  </si>
  <si>
    <t>Faculty of Civil Engineering, Transportation Engineering, and Architecture, University of Maribor, Smetanova Ulica 17, Maribor, 2000, Slovenia; Working Group Sustainable Construction, Institute of Technology and Testing of Construction Materials, Graz University of Technology, Inffeldgasse 24, Graz, 8010, Austria</t>
  </si>
  <si>
    <t>Lukić I., Faculty of Civil Engineering, Transportation Engineering, and Architecture, University of Maribor, Smetanova Ulica 17, Maribor, 2000, Slovenia; Premrov M., Faculty of Civil Engineering, Transportation Engineering, and Architecture, University of Maribor, Smetanova Ulica 17, Maribor, 2000, Slovenia; Leskovar Ž.V., Faculty of Civil Engineering, Transportation Engineering, and Architecture, University of Maribor, Smetanova Ulica 17, Maribor, 2000, Slovenia; Passer A., Working Group Sustainable Construction, Institute of Technology and Testing of Construction Materials, Graz University of Technology, Inffeldgasse 24, Graz, 8010, Austria</t>
  </si>
  <si>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</si>
  <si>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</si>
  <si>
    <t>I. Lukić; Faculty of Civil Engineering, Transportation Engineering, and Architecture, University of Maribor, Maribor, Smetanova Ulica 17, 2000, Slovenia; email: iva.lukic1@um.si</t>
  </si>
  <si>
    <t>Wallbaum H.; Hollberg A.; Thuvander L.; Femenias P.; Kurkowska I.; Mjornell K.; Fudge C.</t>
  </si>
  <si>
    <t>IOP Publishing Ltd</t>
  </si>
  <si>
    <t>IOP Conf. Ser. Earth Environ. Sci.</t>
  </si>
  <si>
    <t>2-s2.0-85097174625</t>
  </si>
  <si>
    <t>Bao Y.; Han Y.; Xu Z.; Lu W.; Yue K.; Lu B.</t>
  </si>
  <si>
    <t>57226552124; 59949868700; 57876749200; 55484288800; 53880894800; 57272417300</t>
  </si>
  <si>
    <t>Vibration performance of cross-laminated timber (CLT)-concrete composite floors considering the section thickness ratio between CLT panels and concrete slabs</t>
  </si>
  <si>
    <t>10.1016/j.engstruct.2025.120783</t>
  </si>
  <si>
    <t>https://www.scopus.com/pages/publications/105008338824?origin=resultslist</t>
  </si>
  <si>
    <t>College of Civil Engineering, Nanjing Tech University, Nanjing, 211800, China</t>
  </si>
  <si>
    <t>Bao Y., College of Civil Engineering, Nanjing Tech University, Nanjing, 211800, China; Han Y., College of Civil Engineering, Nanjing Tech University, Nanjing, 211800, China; Xu Z., College of Civil Engineering, Nanjing Tech University, Nanjing, 211800, China; Lu W., College of Civil Engineering, Nanjing Tech University, Nanjing, 211800, China; Yue K., College of Civil Engineering, Nanjing Tech University, Nanjing, 211800, China; Lu B., College of Civil Engineering, Nanjing Tech University, Nanjing, 211800, China</t>
  </si>
  <si>
    <t>Cross-laminated timber (CLT)-concrete composite floor has significant potential for application in multi-storey and long-span modern timber structures due to its excellent mechanical properties. Typically, the design of timber floors is governed by serviceability requirements, such as deflection and vibration, rather than by strength limits. In response, this study presents a series of investigations on the vibration performance of CLT-concrete composite (CCC) floor. Taking component thickness as the design parameter, six CCC floor strips were fabricated and their static and dynamic characteristics were tested. The test results indicated that while the concrete slab significantly enhanced the floor's bending stiffness, its high density led to a reduction in the floor's fundamental frequency. Furthermore, the vibration performance of CCC floor strips was predicted using theoretical calculations and finite element (FE) simulations. The results from both analytical methods were accurate, exhibiting an absolute error of less than 15 %. Finally, parametric numerical analyses were conducted using the two analytical methods to determine the optimal section thickness ratio of the two components in CCC floors. © 2025</t>
  </si>
  <si>
    <t>CLT-concrete composite floor; Dynamic tests; Fundamental frequency; Numerical analysis; Vibration performance</t>
  </si>
  <si>
    <t>Concrete slabs; Concrete testing; Laminated composites; Laminating; Numerical methods; Timber; Vibration analysis; Wooden floors; Composite floors; Concrete composites; Cross laminated; Cross-laminated timber-concrete composite floor; Dynamic tests; Fundamental frequencies; Laminated timber; Performance; Timber-concrete composites; Vibration performance; composite; concrete; design; finite element method; floor; multistorey building; stiffness; theoretical study; timber; vibration; Natural frequencies</t>
  </si>
  <si>
    <t>W. Lu; College of Civil Engineering, Nanjing Tech University, Nanjing, 211800, China; email: wdlu@njtech.edu.cn</t>
  </si>
  <si>
    <t>2-s2.0-105008338824</t>
  </si>
  <si>
    <t>Spera L.; Sciomenta M.; Bedon C.; Fragiacomo M.</t>
  </si>
  <si>
    <t>57220036339; 57201682080; 57217221032; 34770161400</t>
  </si>
  <si>
    <t>Out-of-Plane Strengthening of Existing Timber Floors with Cross Laminated Timber Panels Made of Short Supply Chain Beech</t>
  </si>
  <si>
    <t>10.3390/buildings14030749</t>
  </si>
  <si>
    <t>https://www.scopus.com/pages/publications/85190847540?origin=resultslist</t>
  </si>
  <si>
    <t>Department of Civil, Construction-Architectural and Environmental Engineering, University of L’Aquila, L’Aquila, 67100, Italy; Department of Engineering and Architecture, University of Trieste, Trieste, 34127, Italy</t>
  </si>
  <si>
    <t>Spera L., Department of Civil, Construction-Architectural and Environmental Engineering, University of L’Aquila, L’Aquila, 67100, Italy; Sciomenta M., Department of Civil, Construction-Architectural and Environmental Engineering, University of L’Aquila, L’Aquila, 67100, Italy; Bedon C., Department of Engineering and Architecture, University of Trieste, Trieste, 34127, Italy; Fragiacomo M., Department of Civil, Construction-Architectural and Environmental Engineering, University of L’Aquila, L’Aquila, 67100, Italy</t>
  </si>
  <si>
    <t>Establishing short supply chains for timber has become important especially in Italy, which is an historically wood-importer country. Timber is an environmentally friendly construction material and a potential mean to reduce carbon footprint produced every year by the building sector. In addition to its sustainability benefits, reversible strengthening interventions can be attained for existing structures. As such, timber can be efficiently used to preserve and protect historical buildings which are, due to architectural and aesthetic values, fundamental components of the Italian cultural heritage. In this study, the use and potential of novel cross-laminated (X-Lam or CLT) timber panels made of Italian hardwood (i.e., beech) for strengthening of existing timber floors is investigated. A quantitative comparison between the mechanical performances of the proposed wood-based product and common retrofitting techniques, such as double-crossed timber planks and reinforced concrete slabs, is carried out in terms of bending stiffness (which is evaluated according to Eurocode 5), influence of weight and reversibility of intervention. It is shown that CLT panels represent a good compromise/alternative for the realisation of reversible and sustainable reinforcing interventions, with rather well promising performances. © 2024 by the authors. Licensee MDPI, Basel, Switzerland.</t>
  </si>
  <si>
    <t>beech (Fagus sylvatica L.); composite sections; Cross Laminated Timber (CLT); out-of-plane stiffness; strengthening interventions; wooden floors</t>
  </si>
  <si>
    <t>Carbon footprint; Concrete slabs; Floors; Hardwoods; Laminating; Reinforced concrete; Stiffness; Supply chains; Beech (fagi sylvaticum L); Beech (Fagus sylvatica L.); Composite sections; Cross laminated; Cross laminated timber; Laminated timber; Out-of-plane; Out-of-plane stiffness; Strengthening intervention; Timber floors; Timber</t>
  </si>
  <si>
    <t>C. Bedon; Department of Engineering and Architecture, University of Trieste, Trieste, 34127, Italy; email: chiara.bedon@dia.units.it</t>
  </si>
  <si>
    <t>2-s2.0-85190847540</t>
  </si>
  <si>
    <t>Ajmal M.; Ahmed D.; Asiz A.</t>
  </si>
  <si>
    <t>57188748405; 57217208973; 6506926796</t>
  </si>
  <si>
    <t>Structural performance of hybrid tall buildings designed using ultra-lightweight floor slabs</t>
  </si>
  <si>
    <t>Insights and Innovations in Structural Engineering, Mechanics and Computation - Proceedings of the 6th International Conference on Structural Engineering, Mechanics and Computation, SEMC 2016</t>
  </si>
  <si>
    <t>10.1201/9781315641645-162</t>
  </si>
  <si>
    <t>https://www.scopus.com/pages/publications/85013092875?origin=resultslist</t>
  </si>
  <si>
    <t>Department of Civil Engineering, King Fahd University of Petroleum and Minerals, Dhahran, Saudi Arabia; Department of Civil Engineering, Prince Mohammad Bin Fahd University, Dhahran, Saudi Arabia</t>
  </si>
  <si>
    <t>Ajmal M., Department of Civil Engineering, King Fahd University of Petroleum and Minerals, Dhahran, Saudi Arabia; Ahmed D., Department of Civil Engineering, Prince Mohammad Bin Fahd University, Dhahran, Saudi Arabia; Asiz A., Department of Civil Engineering, Prince Mohammad Bin Fahd University, Dhahran, Saudi Arabia</t>
  </si>
  <si>
    <t>The main objective of this study is to investigate feasibility of using Ultra-Lightweight (ULW) slab in floor system of tall building in combination with rigid steel frame and Reinforced Concrete (RC) shear wall as the lateral load resisting systems. The main vehicle is numerical case studies of forty story buildings in which their floor systems constructed using conventional (RC slab) only, non-conventional (ULW slab) only, and hybrid between these two slabs. In the hybrid floor cases, combinations of lower story RC slabs and upper story ULW slabs will be conducted. For example, the first twenty five floor levels will be designed using traditional composite action between RC and steel floor framing, while the upper fifteen story floor levels will be designed using ULW slab in composite action with steel floor framing. In addition to dead and live loads, major lateral load considered will be extreme wind and earthquake loads suited for middle-east region. The outcome will be comparison of structural performance amongst these floor systems including: total drift, inter-story drift, inter-story shears, base reactions, and structural dynamic performances. Also steel demand on the main steel skeleton will be compared to each other. The ULW slab could be made of lightweight materials having high vertical and lateral stiffness. In this study however, the ULW floor slab will be made of high strength Cross Laminated Timber (CLT). Within last two decades, CLT slabs have been used widely in Europe for low-rise building applications. In combination with steel and/or reinforced concrete frames, CLT has potential application to be used in a very demanding tall building industry in the middle-east areas due to its strength, lightness, low demand on foundation, architecturally appealing, and green or environmentally friendly. The outcome of this study is intended to give structural engineers and architects alternative in designing floor systems of tall buildings. © 2016 Taylor &amp; Francis Group, London.</t>
  </si>
  <si>
    <t>Cross laminated timber; Hybrid floor; Reinforced concrete shear wall; Steel frame; Structural performance; Ultra-lightweight slab</t>
  </si>
  <si>
    <t>Construction industry; Laminating; Mechanics; Reinforced concrete; Shear walls; Steel construction; Structural analysis; Structural dynamics; Structural frames; Tall buildings; Timber; Cross laminated; Reinforced concrete shear walls; Steel frame; Structural performance; Ultra lightweights; Floors</t>
  </si>
  <si>
    <t>Zingoni A.</t>
  </si>
  <si>
    <t>CRC Press/Balkema</t>
  </si>
  <si>
    <t>978-113802927-9</t>
  </si>
  <si>
    <t>Insights Innov. Struct. Eng. Mech. Comput. Proc. Int. Conf. Struct. Eng. Mech. Comput.</t>
  </si>
  <si>
    <t>2-s2.0-85013092875</t>
  </si>
  <si>
    <t>Shin B.; Chang S.J.; Wi S.; Kim S.</t>
  </si>
  <si>
    <t>57695174600; 55982427600; 56730295700; 8542733000</t>
  </si>
  <si>
    <t>Estimation of energy demand and greenhouse gas emission reduction effect of cross-laminated timber (CLT) hybrid wall using life cycle assessment for urban residential planning</t>
  </si>
  <si>
    <t>Renewable and Sustainable Energy Reviews</t>
  </si>
  <si>
    <t>10.1016/j.rser.2023.113604</t>
  </si>
  <si>
    <t>https://www.scopus.com/pages/publications/85166924663?origin=resultslist</t>
  </si>
  <si>
    <t>Department of Architecture and Architectural Engineering, Yonsei University, Seoul, 03722, South Korea; Department of Interior Materials Engineering, College of Construction and Environmental Engineering, Gyeongsang National University, Jinju, 52725, South Korea; School of Architecture, Seoul National University of Science and Technology, Seoul, 01811, South Korea</t>
  </si>
  <si>
    <t>Shin B., Department of Architecture and Architectural Engineering, Yonsei University, Seoul, 03722, South Korea; Chang S.J., Department of Interior Materials Engineering, College of Construction and Environmental Engineering, Gyeongsang National University, Jinju, 52725, South Korea; Wi S., School of Architecture, Seoul National University of Science and Technology, Seoul, 01811, South Korea; Kim S., Department of Architecture and Architectural Engineering, Yonsei University, Seoul, 03722, South Korea</t>
  </si>
  <si>
    <t>The building and construction sector accounted for 36% of final energy use and 37% of energy and process-related carbon dioxide (CO2) emissions in 2020. According to a recent study, if the global population grows to 9.3 billion by 2050, new infrastructure development will cause approximately 350 Gt of CO2 emissions, corresponding to 35–60% of the remaining carbon budget available up to 2050 if the average temperature increase is to be limited to 2 °C. Material substitution is one way to reduce embodied energy and CO2 emissions. Cross-laminated timber (CLT), a bio-based material, can be an alternative to concrete and steel, which are the most energy- and carbon-intensive materials. However, there is a limit to the immediate application of CLT to the entire building. This study confirmed greenhouse gas (GHG) emission and energy consumption reductions when CLT was applied to the exterior walls of 52 apartment building types. Substituting CLT for concrete in the exterior walls resulted in a 44.6% savings in GHG emissions and 49.3% in energy demand. GHG emissions per floor were reduced by −16,906 kg CO2-eq, while energy consumption per floor was reduced by −256,896 MJ. If CLT is used in 30% of the exterior walls of the 800,000 houses planned to be constructed in Seoul by 2030, the energy savings and GHG reduction effect are expected to be −11,495 TJ and −0.86 Mt CO2-eq, respectively. © 2023 Elsevier Ltd</t>
  </si>
  <si>
    <t>Cross-laminated timber (CLT); Embodied carbon; Embodied energy; Life cycle assessment; Material substitution; Regression analysis</t>
  </si>
  <si>
    <t>Budget control; Concretes; Construction industry; Emission control; Energy conservation; Energy management; Energy utilization; Floors; Gas emissions; Greenhouse effect; Greenhouse gases; Laminating; Life cycle; Regression analysis; Timber; Walls (structural partitions); Cross laminated; Cross-laminated timber; Embodied carbons; Embodied energy; Energy demands; Exterior walls; Greenhouse gas emissions; Laminated timber; Life cycle assessment; Materials substitutions; Carbon dioxide</t>
  </si>
  <si>
    <t>RSERF</t>
  </si>
  <si>
    <t>Renewable Sustainable Energy Rev</t>
  </si>
  <si>
    <t>2-s2.0-85166924663</t>
  </si>
  <si>
    <t>Behaviour of mass timber panel-concrete connections with inclined self-tapping screws and insulation layer</t>
  </si>
  <si>
    <t>WCTE 2018 - World Conference on Timber Engineering</t>
  </si>
  <si>
    <t>https://www.scopus.com/pages/publications/85058182839?origin=resultslist</t>
  </si>
  <si>
    <t>University of Alberta, Canada</t>
  </si>
  <si>
    <t>Mirdad M.A.H., University of Alberta, Canada; Chui Y.H., University of Alberta, Canada</t>
  </si>
  <si>
    <t>The Mass Timber Panel-Concrete (MTPC) composite floor system considered in this paper consists of a Mass Timber Panel (MTP) connected to reinforced concrete slab with Self-Tapping Screw (STS) connector and a sound insulation layer in between. This type of composite floor system is intended for mid-to high-rise building applications. Two types of MTPs with normal weight concrete, two insulation thicknesses, two screw embedment lengths and two screw angles were investigated through connection tests to characterize connection stiffness and strength. The main goal of this connection test program was to provide preliminary test data to assist in the development of a model to predict connections lateral stiffness and strength under consideration of insulation thickness, screw angle, withdrawal and embedment properties of screws in MTP. Connection test results show that screws at an insertion angle of 30° have a higher stiffness and strength along with a larger embedment length compared to the screws at a 45° angle and smaller embedment length. Stiffness seemed to be more susceptible to the influence of presence of insulation compared to strength with 40-65% reduction of stiffness and 10-20% reduction of strength were noticed for an insulation thickness of 5 mm. Screws in CLT showed higher strength while screws in CLP showed higher stiffness but the difference is insignificant. © WCTE 2018 Committee.</t>
  </si>
  <si>
    <t>Composite floor systems; Insulation layer; Mass timber panel; Self-tapping screw</t>
  </si>
  <si>
    <t>Concrete slabs; Floors; Reinforced concrete; Screws; Software testing; Stiffness; Tall buildings; Timber; Composite floor systems; Connection stiffness; High rise building; Insulation layers; Insulation thickness; Mass timber panel; Normal weight concrete; Self-tapping screws; Sound insulation</t>
  </si>
  <si>
    <t>WCTE - World Conf. Timber Engi.</t>
  </si>
  <si>
    <t>2-s2.0-85058182839</t>
  </si>
  <si>
    <t>Paraire E.; Appel S.</t>
  </si>
  <si>
    <t>57223800152; 26532440200</t>
  </si>
  <si>
    <t>STRUCTURAL DYNAMIC CALCULATIONS OF TRAFFIC INDUCED VIBRATIONS IN MODERN CROSS LAMINATED TIMBER CONSTRUCTIONS</t>
  </si>
  <si>
    <t>https://www.scopus.com/pages/publications/85205345901?origin=resultslist</t>
  </si>
  <si>
    <t>GuD Geotechnik und Dynamik Consult GmbH, Berlin, Germany</t>
  </si>
  <si>
    <t>Paraire E., GuD Geotechnik und Dynamik Consult GmbH, Berlin, Germany; Appel S., GuD Geotechnik und Dynamik Consult GmbH, Berlin, Germany</t>
  </si>
  <si>
    <t>Timber buildings are becoming increasingly popular due to their sustainability and ease of construction. The development of modern construction methods with cross-laminated timber (CLT) now allows for the erection of high-rise timber buildings. The increase of timber building projects in cities with dense traffic networks means that constructions often take place in locations with a high potential for vibration problems. The forecast of traffic induced vibrations using finite element (FE) simulations is a well-proven design method for reinforced concrete structures. However, the structural dynamic behaviour of multi-storey timber buildings is still largely unexplored. While various research projects are attempting to address this topic, practical and reliable solutions are currently needed for the design of ongoing construction projects. The floor vibration response to road and rail traffic has been investigated for CLT building projects using FE models. The computational approaches and the modelling of the CLT structure are based on measurements and results from a research group. The models include both timber and hybrid timber-concrete floor constructions, as well as their coupling with floating screeds. © 2024 Proceedings of the International Congress on Sound and Vibration. All rights reserved.</t>
  </si>
  <si>
    <t>finite element methods; timber constructions; traffic vibrations</t>
  </si>
  <si>
    <t>Architectural acoustics; Concrete buildings; Structural dynamics; Tall buildings; Vibration analysis; Wooden floors; Building projects; Construction method; Cross laminated; Dynamics calculations; Element method; Laminated timber; Timber buildings; Timber construction; Traffic induced vibrations; Traffic vibrations; Wooden buildings</t>
  </si>
  <si>
    <t>van Keulen W.; Kok J.</t>
  </si>
  <si>
    <t>978-909039058-1</t>
  </si>
  <si>
    <t>2-s2.0-85205345901</t>
  </si>
  <si>
    <t>Ussher E.; Smith I.</t>
  </si>
  <si>
    <t>56557007300; 7404426235</t>
  </si>
  <si>
    <t>Predicting vibration behaviour of cross laminated timber floors</t>
  </si>
  <si>
    <t>IABSE Conference, Nara 2015: Elegance in Structures - Report</t>
  </si>
  <si>
    <t>https://www.scopus.com/pages/publications/84971231488?origin=resultslist</t>
  </si>
  <si>
    <t>Univ. New Brunswick, Fredericton, Canada</t>
  </si>
  <si>
    <t>Ussher E., Univ. New Brunswick, Fredericton, Canada; Smith I., Univ. New Brunswick, Fredericton, Canada</t>
  </si>
  <si>
    <t>Ultra-lightweight products like Cross-Laminated-Timber (CLT) have entered the marketplace as alternatives to cast in-sitn or precast reinforced concrete (RC) for construction of floor slabs. The primary advantage of using lightweight materials is that they reduce structural demands on supporting elements. However, lightweight slabs tend to exhibit higher levels of acceleration than RC slabs when subjected to dynamic loads, making it prudent to pay close attention to vibration serviceability when designing CLT slabs. Discussion here addresses a detailed finite element (FE) analysis approach as the reference point for defining accuracy capabilities of simple dynamic analysis formulas. It is concluded CLT floor slabs embody complexities in their modal responses that are beyond abilities of simple engineering formulas to predict.</t>
  </si>
  <si>
    <t>Cross-laminated-timber; Design; Finite element analysis; Modal frequencies; Mode shapes; Peak acceleration; Vibration serviceability</t>
  </si>
  <si>
    <t>Concrete products; Design; Dynamic loads; Finite element method; Floors; Laminating; Reinforced concrete; Structural panels; Timber; Cross laminated; Modal frequency; Mode shapes; Peak acceleration; Vibration serviceability; Vibration analysis</t>
  </si>
  <si>
    <t>International Association for Bridge and Structural Engineering (IABSE)</t>
  </si>
  <si>
    <t>978-385748138-3</t>
  </si>
  <si>
    <t>IABSE Conf., Nara: Elegance Struct. - Rep.</t>
  </si>
  <si>
    <t>2-s2.0-84971231488</t>
  </si>
  <si>
    <t>Tannert T.; Gerber A.; Salenikovich A.</t>
  </si>
  <si>
    <t>22939744900; 56642378000; 21743790300</t>
  </si>
  <si>
    <t>Short-Term, Long-Term, and Vibration Performance of TCC Floors Using Mass-Timber Panels</t>
  </si>
  <si>
    <t>10.1061/JSENDH.STENG-12831</t>
  </si>
  <si>
    <t>https://www.scopus.com/pages/publications/85190557678?origin=resultslist</t>
  </si>
  <si>
    <t>School of Engineering, Univ. of Northern British Columbia, Prince George, VV2N4Z9, BC, Canada; Aspect Engineering, Vancouver, V5Y1E9, BC, Canada; Dept. of Wood and Forest Sciences, Université Laval, Quebec City, G1V0A6, QC, Canada</t>
  </si>
  <si>
    <t>Tannert T., School of Engineering, Univ. of Northern British Columbia, Prince George, VV2N4Z9, BC, Canada; Gerber A., Aspect Engineering, Vancouver, V5Y1E9, BC, Canada; Salenikovich A., Dept. of Wood and Forest Sciences, Université Laval, Quebec City, G1V0A6, QC, Canada</t>
  </si>
  <si>
    <t>The increasing availability of mass timber panels has expanded the possibilities for using timber-concrete-composite (TCC) flat floors beyond the traditional TCC T-beams. While TCC floors often easily satisfy ultimate limit state requirements, their stiffness, vibration characteristics, and long-term performance are critical design considerations. This research aimed to validate the bending, vibration, and long-term performance for nine different TCC floor systems through full-size tests with a span of 5.8 m. The tested floor systems used laminated-veneer-lumber, laminated-strand lumber, and cross-laminated-timber (CLT) panels connected to a concrete slab with and without an interlayer. Three types of shear connections were employed: self-tapping screws; glued-in steel mesh; and a combination of STS and adhesive bond. First, the shear connection properties were determined via 54 small-scale push-out tests. Then, 18 floors were tested in bending and vibration shortly after fabrication, and an additional nine floors were subjected to service loading for 32 months under variable climatic conditions, after which they were subjected to bending and vibration tests. The results confirmed that the calculations based on the γ-method accurately predict the stiffness, natural frequency, and governing failure modes of TCC floors. The long-term exposure to service loading had minimal effect (within 10%) on resistance, stiffness, and natural frequency of TCC floors, except for the TCC using CLT, which showed the highest creep deflection and stiffness reduction among the tested configurations. © 2024 American Society of Civil Engineers.</t>
  </si>
  <si>
    <t>Creep; Duration of load; Glued-in steel mesh (HBV); Self-tapping screws (STS); Vibration performance</t>
  </si>
  <si>
    <t>Bending tests; Concrete slabs; Creep; Gluing; Laminating; Lumber; Mesh generation; Natural frequencies; Screws; Stiffness; Timber; Vibration analysis; Composite floors; Duration of load; Glued-in steel mesh (HBV); Long term performance; Performance; Self-tapping screw; Self-tapping screws; Steel meshes; Timber-concrete composites; Vibration performance; Floors</t>
  </si>
  <si>
    <t>T. Tannert; School of Engineering, Univ. of Northern British Columbia, Prince George, VV2N4Z9, Canada; email: thomas.tannert@unbc.ca</t>
  </si>
  <si>
    <t>2-s2.0-85190557678</t>
  </si>
  <si>
    <t>Uarac P. P.A.; Barbosa A.R.; Miyamoto B.T.; John Mathews V.</t>
  </si>
  <si>
    <t>59208108000; 55203435000; 56067202900; 57204049070</t>
  </si>
  <si>
    <t>Modal Feature Identification of Point-Supported Mass Timber Slabs</t>
  </si>
  <si>
    <t>10.1007/978-3-031-96114-4_65</t>
  </si>
  <si>
    <t>https://www.scopus.com/pages/publications/105019202121?origin=resultslist</t>
  </si>
  <si>
    <t>Oregon State University, Corvallis, 97333, OR, United States</t>
  </si>
  <si>
    <t>Uarac P. P.A., Oregon State University, Corvallis, 97333, OR, United States; Barbosa A.R., Oregon State University, Corvallis, 97333, OR, United States; Miyamoto B.T., Oregon State University, Corvallis, 97333, OR, United States; John Mathews V., Oregon State University, Corvallis, 97333, OR, United States</t>
  </si>
  <si>
    <t>Point-supported flat slabs are structural floors commonly used in buildings to withstand vertical loads and distribute them directly to columns without the use of beams. Mass timber floor panels have been recently presented as an alternative to concrete slabs. However, point-supported floors typically behave as two-way slabs and are most often constructed using reinforced or post-tensioned concrete, and there is little data available on point-supported mass timber floor slabs and their two-way behavior. This paper develops insights into the dynamic behavior of point-supported mass timber panels through an experimental evaluation of 12 specimens, including three 5-ply cross-laminated timber (CLT) panels, three 7-ply CLT panels, three 5-ply mass ply panels (MPPs), and three 6-ply MPPs. The panels were supported on six (6) columns, with a column grid of 2 × 4.88 m by 3.05 m and 2 × 4.88 m by 3.66 m for the CLT and MPP specimens, respectively. The experiments tested and measured human-induced vibrations based on heel drops and walking in a line at different footfall rates per minute. Vibrations were measured using 13 uniaxial accelerometers oriented in the vertical direction. This paper presents the application of conventional output-only methods, such as Enhanced Frequency Domain Decomposition (EFDD) and Stochastic Subspace Identification (SSI), for modal analysis of point-supported mass timber slabs. The results provide insights into the dynamic behavior of point-supported CLT and MPP slabs, providing data for developing advanced finite element models and confidence in human-induced floor vibration designs. © The Author(s), under exclusive license to Springer Nature Switzerland AG 2025.</t>
  </si>
  <si>
    <t>mass timber; output-only; point-supported; system identification</t>
  </si>
  <si>
    <t>Concrete slabs; Domain decomposition methods; Modal analysis; Reinforced concrete; Stochastic systems; Structural dynamics; Timber; Vibration analysis; Wooden floors; Cross laminated; Dynamic behaviors; Features identification; Flat slabs; Laminated timber; Mass timber; Output only; Point-supported; System-identification; Timber floors; Identification (control systems)</t>
  </si>
  <si>
    <t>P.A. Uarac P.; Oregon State University, Corvallis, 97333, United States; email: uaracpip@oregonstate.edu</t>
  </si>
  <si>
    <t>2-s2.0-105019202121</t>
  </si>
  <si>
    <t>Filion M.-L.; Ménard S.; Carbone C.; Bader Eddin M.</t>
  </si>
  <si>
    <t>58877164700; 56653986600; 57202276497; 57687418400</t>
  </si>
  <si>
    <t>Design Analysis of Mass Timber and Volumetric Modular Strategies as Counterproposals for an Existing Reinforced Concrete Hotel</t>
  </si>
  <si>
    <t>10.3390/buildings14041151</t>
  </si>
  <si>
    <t>https://www.scopus.com/pages/publications/85191385301?origin=resultslist</t>
  </si>
  <si>
    <t>Department of Applied Sciences, University of Quebec at Chicoutimi (UQAC), Saguenay, G7H 2B1, QC, Canada; School of Design, University of Quebec at Montreal (UQAM), Montreal, H2X 3X9, QC, Canada</t>
  </si>
  <si>
    <t>Filion M.-L., Department of Applied Sciences, University of Quebec at Chicoutimi (UQAC), Saguenay, G7H 2B1, QC, Canada; Ménard S., Department of Applied Sciences, University of Quebec at Chicoutimi (UQAC), Saguenay, G7H 2B1, QC, Canada; Carbone C., School of Design, University of Quebec at Montreal (UQAM), Montreal, H2X 3X9, QC, Canada; Bader Eddin M., Department of Applied Sciences, University of Quebec at Chicoutimi (UQAC), Saguenay, G7H 2B1, QC, Canada</t>
  </si>
  <si>
    <t>Construction professionals work in silos and use traditional design and construction methods. The growing demand for rapidly built and high-quality construction is making off-site manufacturing mainstream. Studies have shown that collaboration among all stakeholders is a necessary component for success in the construction of such buildings. This multidisciplinary study of an existing concrete hotel aims to explore an alternative structural design in mass timber or volumetric modular construction. To this end, the reinforced concrete floor plan of Club Med de Charlevoix in Quebec, Canada, was used as a benchmark for two different structural systems. The first strategy investigated CLT (cross-laminated timber) and glulam columns to replicate the reinforced concrete system (column–slab), while the second involved maximum prefabrication (volumetric modular construction). Both mass timber and volumetric modular strategies can lead to a smaller carbon footprint. The main conclusion is that the plan should be designed from the outset to be either traditional or prefabricated since major changes are required if the choice is made to switch from one system to the other. Moreover, when structural systems maximize off-site construction, such as volumetric modular construction, the various professions need to be included during early planning. This is necessary to avoid task duplication and prevent the neglect of considerations such as manufacturable dimensions and partition organization. © 2024 by the authors.</t>
  </si>
  <si>
    <t>building; Canada; industrialized construction; modular construction; multidisciplinary; off-site construction; prefabrication; volumetric modular construction; wood construction</t>
  </si>
  <si>
    <t>Carbon footprint; Reinforced concrete; Structural design; Timber; Canada; Industrialized construction; Modular strategy; Multidisciplinary; Off-site construction; Prefabrication; Structural systems; Volumetric modular construction; Volumetrics; Wood construction; Modular construction</t>
  </si>
  <si>
    <t>M.-L. Filion; Department of Applied Sciences, University of Quebec at Chicoutimi (UQAC), Saguenay, G7H 2B1, Canada; email: mlfilion@etu.uqac.ca</t>
  </si>
  <si>
    <t>2-s2.0-85191385301</t>
  </si>
  <si>
    <t>Kontra S.; Barbosa A.R.; Sinha A.; Araujo G.A.R.; Uarac P.P.; Brown N.C.; Furley J.; Ho T.X.; Orozco G.F.O.; Simpson B.G.; van de Lindt J.W.; Zargar S.H.</t>
  </si>
  <si>
    <t>58604780600; 55203435000; 57203184231; 57209849136; 58592637300; 57199468660; 57204966593; 57222314004; 58592637400; 57199742242; 6701580121; 57205296415</t>
  </si>
  <si>
    <t>DESIGN AND CRADLE-TO-GRAVE LIFE-CYCLE ASSESSMENT: FULL-SCALE SIX-STORY SHAKE-TABLE TEST BUILDING LATERAL SYSTEMS</t>
  </si>
  <si>
    <t>10.52202/069179-0138</t>
  </si>
  <si>
    <t>https://www.scopus.com/pages/publications/85171628863?origin=resultslist</t>
  </si>
  <si>
    <t>Oregon State University, Corvallis, United States; School of Civil and Construction Engineering, Oregon State University, Corvallis, United States; Stanford University, Stanford, United States; Dept. of Architectural Engineering, Penn State University, University Park, United States; Dept. of Civil and Environmental Engineering, Colorado State University, Fort Collins, United States; Dept. of Civil and Environmental Engineering, Stanford University, Stanford, United States</t>
  </si>
  <si>
    <t>Kontra S., Oregon State University, Corvallis, United States; Barbosa A.R., School of Civil and Construction Engineering, Oregon State University, Corvallis, United States; Sinha A., Oregon State University, Corvallis, United States; Araujo G.A.R., Stanford University, Stanford, United States; Uarac P.P., Oregon State University, Corvallis, United States; Brown N.C., Dept. of Architectural Engineering, Penn State University, University Park, United States; Furley J., Dept. of Civil and Environmental Engineering, Colorado State University, Fort Collins, United States; Ho T.X., Dept. of Civil and Environmental Engineering, Stanford University, Stanford, United States; Orozco G.F.O., Oregon State University, Corvallis, United States; Simpson B.G., Dept. of Civil and Environmental Engineering, Stanford University, Stanford, United States; van de Lindt J.W., Dept. of Civil and Environmental Engineering, Colorado State University, Fort Collins, United States; Zargar S.H., Dept. of Architectural Engineering, Penn State University, University Park, United States</t>
  </si>
  <si>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</si>
  <si>
    <t>Engineered wood products; Life-cycle assessment; Rocking wall; Seismic Design; Shake-table test</t>
  </si>
  <si>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</si>
  <si>
    <t>2-s2.0-85171628863</t>
  </si>
  <si>
    <t>Guo C.; Jackson R.; Shahnewaz M.; Zhou J.</t>
  </si>
  <si>
    <t>57856104800; 57193120662; 55634928200; 57202383380</t>
  </si>
  <si>
    <t>VIBRATION PERFORMANCE OF A BEAMLESS CROSS LAMINATED TIMBER-CONCRETE COMPOSITE SLAB BAND FLOOR SYSTEM FOR 10-STOREY LIMBERLOST PLACE</t>
  </si>
  <si>
    <t>10.52202/080513-0400</t>
  </si>
  <si>
    <t>https://www.scopus.com/pages/publications/105010261652?origin=resultslist</t>
  </si>
  <si>
    <t>Department of Civil and Environmental Engineering, University of Alberta, Edmonton, Canada; School of Engineering, University of Northern British Columbia, Prince George, BC, Canada; Fast + Epp, Vancouver, Canada</t>
  </si>
  <si>
    <t>Guo C., Department of Civil and Environmental Engineering, University of Alberta, Edmonton, Canada, School of Engineering, University of Northern British Columbia, Prince George, BC, Canada; Jackson R., Fast + Epp, Vancouver, Canada; Shahnewaz M., Fast + Epp, Vancouver, Canada; Zhou J., School of Engineering, University of Northern British Columbia, Prince George, BC, Canada</t>
  </si>
  <si>
    <t>Solid cross-laminated timber (CLT) panels are not suitable for long-span floors due to their relatively low density and bending stiffness, which can lead to issues with deflection and vibration. Timber-concrete composite (TCC) floor systems offer enhanced strength and stiffness, improving overall serviceability. Fast + Epp developed an innovative large-span beamless structural system comprising CLT-concrete composite slab bands with perpendicular CLT infill panels. There different shear connectors were explored for composite slab bands and tested in full-scale at the University of Northern British Columbia Wood Innovation Lab. This study examines the vibrational properties of the proposed beamless floor system through both laboratory and field tests. Dynamic characteristics were assessed using experimental modal tests and ambient vibration tests, while subjective evaluations and acceleration responses due to human walking were collected. The results indicate that the different shear connectors have minimal impact on the natural frequencies of the slab bands. Although standalone slab bands exhibited unacceptable vibration performance in laboratory tests, field tests on the fully constructed composite floor system in the Limberlost Place building confirmed its acceptable performance. It was observed that the bending stiffness derived from static bending tests and the gamma method underestimated the fundamental natural frequency by 20%. Numerical models for both the standalone slab band beam and the full-scale floor system were developed and validated with tests, proving to be effective in predicting their natural frequencies with an error of less than 5%. The findings from this study will provide practical insights and guidance for the vibration design of such timber-concrete composite slab band floor system. © (2025) WORLD CONFERENCE ON TIMBER ENGINEERING 2025 (WCTE 2025) All rights reserved.</t>
  </si>
  <si>
    <t>composite connector; Floor vibration; Timber-concrete composite floor</t>
  </si>
  <si>
    <t>Architectural design; Concrete slabs; Laminated composites; Laminating; Modal analysis; Structural design; Timber; Vibration analysis; Wooden floors; Composite connector; Composite floors; Cross laminated; Floor systems; Floor vibrations; Laminated timber; Performance; Timber-concrete composite floor; Timber-concrete composite slabs; Timber-concrete composites; Bending tests; Natural frequencies; Stiffness</t>
  </si>
  <si>
    <t>J. Zhou; School of Engineering, University of Northern British Columbia, Prince George, Canada; email: jianhui.zhou@unbc.ca</t>
  </si>
  <si>
    <t>2-s2.0-105010261652</t>
  </si>
  <si>
    <t>Structural behaviour of steel-timber versus steel-concrete composite joints with flush end plate</t>
  </si>
  <si>
    <t>10.1016/j.conbuildmat.2020.120885</t>
  </si>
  <si>
    <t>https://www.scopus.com/pages/publications/85091658587?origin=resultslist</t>
  </si>
  <si>
    <t>Centre for Infrastructure Engineering and Safety (CIES), School of Civil and Environmental Engineering, UNSW Sydney, 2052, NSW, Australia</t>
  </si>
  <si>
    <t>Keipour N., Centre for Infrastructure Engineering and Safety (CIES), School of Civil and Environmental Engineering, UNSW Sydney, 2052, NSW, Australia; Valipour H.R., Centre for Infrastructure Engineering and Safety (CIES), School of Civil and Environmental Engineering, UNSW Sydney, 2052, NSW, Australia; Bradford M.A., Centre for Infrastructure Engineering and Safety (CIES), School of Civil and Environmental Engineering, UNSW Sydney, 2052, NSW, Australia</t>
  </si>
  <si>
    <t>An innovative structural floor comprising of steel frames and cross-laminated timber slabs (i.e. steel-timber composite) has been introduced recently as a sustainable alternative to conventional composite floors with reinforced concrete slabs. To assess the structural performance of the steel-timber and compare it to steel-concrete composite and bare steel, push-down tests were performed on geometrically identical full-scale cruciform subassemblies with flush end plate connections. The width of slab and type of connections between the CLT slabs and the size of bolts connecting the flush end plate to the column were the variables in the testing program. The size of bolts and width of CLT slabs had minor (or no) influence on the hogging bending moment resistance. However, increasing the bolt size and CLT slab width increased the stiffness of the STC beam-to-column connections. Furthermore, the CLT-to-CLT connection type had significant influence on the stiffness and flexural capacity of the STC subassemblies under hogging bending moment. The results of the laboratory tests showed that the rotational stiffness and hogging flexural resistance of the semi-rigid STC joints with flush end plates are comparable to those of SCC joints. The ductility of the STC joints with a flush end plate is also comparable to identical SCC joints, providing that tensile failure in timber slabs can be avoided. © 2020 Elsevier Ltd</t>
  </si>
  <si>
    <t>Cross-laminated timber (CLT); Semi-rigid; Steel-concrete composite (SCC); Steel-timber composite (STC)</t>
  </si>
  <si>
    <t>Bending moments; Bolts; Concrete slabs; Floors; Joints (structural components); Laminated composites; Reinforced concrete; Software testing; Stiffness; Testing; Timber; Beam-to-column connections; Bending moment resistance; Flush endplate connection; Rotational stiffness; Steel-concrete composite; Steel-concrete composite joints; Structural behaviour; Structural performance; Plates (structural components)</t>
  </si>
  <si>
    <t>H.R. Valipour; Centre for Infrastructure Engineering and Safety (CIES), School of Civil and Environmental Engineering, UNSW Sydney, 2052, Australia; email: h.valipour@unsw.edu.au</t>
  </si>
  <si>
    <t>2-s2.0-85091658587</t>
  </si>
  <si>
    <t>Han S.-G.; Gwak J.-Y.; Min J.-K.; Kim S.-B.; Choi S.-M.</t>
  </si>
  <si>
    <t>58041504300; 58554457300; 36461443900; 55718815000; 12794040600</t>
  </si>
  <si>
    <t>FLEXURAL BEHAVIOR OF STEEL-TIMBER-CONCRETE COMPOSITE SLAB EXPOSED TO TWO HOURS UNDER STANDARD FIRE</t>
  </si>
  <si>
    <t>10.52202/080513-0433</t>
  </si>
  <si>
    <t>https://www.scopus.com/pages/publications/105010234025?origin=resultslist</t>
  </si>
  <si>
    <t>Dept. of Architectural Engineering, University of Seoul, Seoul, South Korea; Real-Scale Fire Testing &amp; Research Center, Korea Conformity Laboratories, Samcheok, South Korea; The Naeun Structural Engineering, Seoul, South Korea</t>
  </si>
  <si>
    <t>Han S.-G., Dept. of Architectural Engineering, University of Seoul, Seoul, South Korea; Gwak J.-Y., Dept. of Architectural Engineering, University of Seoul, Seoul, South Korea; Min J.-K., Real-Scale Fire Testing &amp; Research Center, Korea Conformity Laboratories, Samcheok, South Korea; Kim S.-B., The Naeun Structural Engineering, Seoul, South Korea; Choi S.-M., Dept. of Architectural Engineering, University of Seoul, Seoul, South Korea</t>
  </si>
  <si>
    <t>Cross Laminated Timber(CLT) is an eco-friendly building material that contributes to carbon neutrality by storing carbon dioxide, and it has been increasingly used in the construction of high-rise timber structures in countries such as the United States, Australia, and Canada. In Korea, during high-rise construction, deck plates are typically lifted to the upper floors using cranes and then positioned manually. Due to this process, the application of Steel-Timber-Concrete(STC) slabs composed of six layers of CLT faces limitations in Korea. Therefore, this study aims to experimentally and analytically evaluate the thermal behavior and fire-induced flexural performance of the proposed STC slab to assess its applicability to high-rise timber structures. As a result, the Steel-Timber-Concrete Joist Z section(STCJZ) slab with concrete joists demonstrated excellent fire resistance even after two hours of exposure to standard fire, suggesting its potential applicability in high-rise timber structures. © (2025) WORLD CONFERENCE ON TIMBER ENGINEERING 2025 (WCTE 2025) All rights reserved.</t>
  </si>
  <si>
    <t>Composite slab; Flexural behavior; Standard fire; Steel-timber-concrete</t>
  </si>
  <si>
    <t>Concrete slabs; Fires; Floors; Timber; Composite slab; Cross laminated; Flexural behavior; High rise; Laminated timber; Standard fire; Steel-timber-concrete; Timber structures; Timber-concrete; Timber-concrete composite slabs; Fire resistance</t>
  </si>
  <si>
    <t>2-s2.0-105010234025</t>
  </si>
  <si>
    <t>He M.; Cunningham L.S.; Wu Z.</t>
  </si>
  <si>
    <t>60029731100; 8879063800; 57198577971</t>
  </si>
  <si>
    <t>Experimental investigation of plain CLT and CLT-concrete composite slabs subject to punching shear</t>
  </si>
  <si>
    <t>10.1016/j.conbuildmat.2025.142753</t>
  </si>
  <si>
    <t>https://www.scopus.com/pages/publications/105012632101?origin=resultslist</t>
  </si>
  <si>
    <t>Department of Civil Engineering and Management, University of Manchester, Manchester, M13 9PL, United Kingdom</t>
  </si>
  <si>
    <t>He M., Department of Civil Engineering and Management, University of Manchester, Manchester, M13 9PL, United Kingdom; Cunningham L.S., Department of Civil Engineering and Management, University of Manchester, Manchester, M13 9PL, United Kingdom; Wu Z., Department of Civil Engineering and Management, University of Manchester, Manchester, M13 9PL, United Kingdom</t>
  </si>
  <si>
    <t>To date, cross laminated timber (CLT) slabs have been gaining widespread adoption in the construction industry. In many cases, the significant capabilities of CLT slabs have been further enhanced with the use of concrete overlays acting compositely with the CLT section. In real applications, both CLT and CLT-concrete composite (CLTCC) slabs can be subject to concentrated load which may initiate punching shear behaviour. Whilst research into the flexural behaviour of CLT and CLTCC slabs is well evolved, by comparison much fewer investigations have been conducted on punching shear of CLT and no readily available studies exist for CLTCC. The present work aims to address this research gap by undertaking an experimental investigation of both CLT and CLTCC slabs subject to punching shear. A total of twelve 2-way simply supported slabs were tested to failure, including both plain CLT and CLTCC slabs with varying concrete-to-timber depth ratios (CTDR). For the CLTCC slabs, vertical coach screws were used to connect the CLT and concrete layers. The main aims were to evaluate the structural performance of CLTCC as a composite floor system, focusing on the punching shear behaviour, the role of CTDR, and the underlying failure mechanisms. In all cases, punching shear failure was observed, however all specimens involved a degree of ductility pointing towards their practical suitability. The CLTCC slabs with a CTDR of 60 % exhibited the highest punching shear resistance with a peak load 50 % higher than the corresponding plain CLT panels and a comparatively larger initial stiffness. Similarly, the tests revealed the chosen method of shear connection to be both effective and practical. The failure mechanisms were evaluated by classifying the structural behaviour into different stages. It was found that rolling shear failure in the CLT laminae controlled the end of elastic behaviour while further insights into the failure process were revealed by the post-test sectional cuts. Lastly, a simplified calculation method was proposed to provide a conservative estimate of the punching shear capacity of CLTCC slabs which may be suitable for design purposes after further numerical investigation to account for changes in geometry and boundary conditions reflective of real-life scenarios. The method provided a consistent lower bound prediction of load capacity, within the range of ∼70–85 % of the corresponding experimental value across the test series presented in this study. © 2025 The Authors</t>
  </si>
  <si>
    <t>Cross laminated timber; Punching shear; Timber-concrete composite; Two-way slab</t>
  </si>
  <si>
    <t>Concrete slabs; Failure (mechanical); Floors; Laminated composites; Laminating; Safety engineering; Shear flow; Shearing; Stiffness; Structural design; Timber; Composite slab; Concrete composites; Cross laminated; Cross laminated timber; Depth ratio; Experimental investigations; Laminated timber; Punching shear; Timber-concrete composites; Two-way slab; Construction industry</t>
  </si>
  <si>
    <t>M. He; Department of Civil Engineering and Management, University of Manchester, Manchester, M13 9PL, United Kingdom; email: mutian.he@postgrad.manchester.ac.uk</t>
  </si>
  <si>
    <t>All Open Access; Green Open Access; Hybrid Gold Open Access</t>
  </si>
  <si>
    <t>2-s2.0-105012632101</t>
  </si>
  <si>
    <t>Stiffness prediction of Mass Timber Panel-Concrete (MTPC) composite connection with inclined screws and a gap</t>
  </si>
  <si>
    <t>10.1016/j.engstruct.2020.110215</t>
  </si>
  <si>
    <t>https://www.scopus.com/pages/publications/85078134172?origin=resultslist</t>
  </si>
  <si>
    <t>An increasingly popular wood composite floor system consists of a Mass Timber Panel (MTP) connected to a concrete slab or topping with mechanical connectors such as Self-Tapping Screw (STS) with a sound insulation layer in between the MTP and concrete. Allowable floor span for this type of MTP-concrete composite system is often governed by serviceability performance requirements, such as deflection and vibration, which are directly dependent on the stiffness of the interlayer connection. Often tests are performed to characterize connection stiffness required for structural design. In lieu of testing, analytical models can be developed to calculate connection stiffness based on component properties. To that end, two analytical models were developed for solid and layered timber, for directly predicting the stiffness of a connection with inclined screws and an insulation layer. Usually, stiffness of laterally loaded connection is controlled by the dowel bearing effect of the fastener in timber, but inclined screw connection has a more complex behaviour due to the combined bearing and withdrawal action of the screw. In the developed models, both the bearing and withdrawal actions of the screw are considered along with the bending stiffness of the screw by applying a theoretically derived correction factor for the embedment stiffness modulus based on the beam on elastic foundation and friction between the concrete and MTP. Both models were experimentally validated with a wide range of material properties. It was found that the models are capable of predicting the stiffness of the MTP-concrete connection to within 18% of the experimental value. It was also noted that the model for solid timber panel is simpler in form and can be adopted for layered timber panel such as CLT with a small difference in solutions. Friction was found to be notable when there was no insulation gap in between timber and concrete. © 2020 Elsevier Ltd</t>
  </si>
  <si>
    <t>Beam on elastic foundation; Connection stiffness; Inclined fastener; Insulation gap; Self-tapping screw; Timber-concrete composite connection</t>
  </si>
  <si>
    <t>Analytical models; Bearings (machine parts); Floors; Forecasting; Friction; Locks (fasteners); Screws; Sound insulation; Stiffness; Structural design; Timber; Beam on elastic foundation; Component properties; Composite connections; Connection stiffness; Performance requirements; Self-tapping screws; Stiffness prediction; Timber-concrete composites; analytical method; composite; concrete; deflection; foundation; loading; prediction; stiffness; testing method; timber; vibration; Concrete slabs</t>
  </si>
  <si>
    <t>2-s2.0-85078134172</t>
  </si>
  <si>
    <t>Binder E.; Derkowski W.; Bader T.K.</t>
  </si>
  <si>
    <t>57195612255; 55027160700; 36140972800</t>
  </si>
  <si>
    <t>HYBRID MODELING APPROACH FOR TIME-DEPENDENT BEHAVIOR OF TIMBER-CONCRETE-COMPOSITE STRUCTURES</t>
  </si>
  <si>
    <t>fib Symposium</t>
  </si>
  <si>
    <t>https://www.scopus.com/pages/publications/85143888521?origin=resultslist</t>
  </si>
  <si>
    <t>Linnæus University, Sweden</t>
  </si>
  <si>
    <t>Binder E., Linnæus University, Sweden; Derkowski W., Linnæus University, Sweden; Bader T.K., Linnæus University, Sweden</t>
  </si>
  <si>
    <t>Timber-Concrete-Composites (TCC) are a perfect symbiosis of two entirely different building materials, as the most favorable properties of both components are utilized. This ensures an efficient use of the natural resources. As regards the long-term creep behavior however, only a rough estimation can be done based on the current versions of the design standards (EN 1992-1-1 and EN 1995-1-1). The focus of this work is on combining existing models for the individual time-dependent behavior of concrete and timber with common structural analysis methods to investigate composite structures, similar to Binder et al. (Buildings, 2022). The hybrid model is applied to a simply supported TCC slab consisting of a cross-laminated timber (CLT) plate and a connected concrete layer on top. For comparison, two other floor constructions, namely a CLT slab and an in-situ concrete slab, are investigated as well, considering the same time-dependent material behavior. All three slab types fulfill the design requirements for long-term deformations and for stress limitation to avoid non-linear creep. The time-dependent deflections of the slab types over 50 years are modelled and compared with the design according to the standards. This comparison shows that the hybrid approach for TCC and CLT floor constructions yields smaller deflections than the calculation according to the design standards. Modelling results of the in-situ concrete slab were quite similar to the results of the design according to EN 1992-1-1. Comparing the modelled deflections of the TCC slab with the other two shows that the deflection of the composite slab changes the most over 50 years. At the beginning the behavior of the TCC is closer to the concrete slab but develops more towards the CLT slab at the end of the investigated 50-years period. Herein, also the load redistribution within the cross-sections is shown based on the hybrid model and the axial stresses of the individual parts of the cross-sections. © Fédération Internationale du Béton – International Federation for Structural Concrete.</t>
  </si>
  <si>
    <t>Composite structures; Creep; Deflection (structures); Floors; Structure (composition); Timber; Cross laminated; Design standard; Floor constructions; Hybrid model; In-situ concrete slabs; Laminated timber; Modeling approach; Timber-concrete composite slabs; Timber-concrete composites; Time-dependent behaviour; Concrete slabs</t>
  </si>
  <si>
    <t>Stokkeland S.; Braarud H.C.</t>
  </si>
  <si>
    <t>fib. The International Federation for Structural Concrete</t>
  </si>
  <si>
    <t>978-294064315-8</t>
  </si>
  <si>
    <t>fib. Symp.</t>
  </si>
  <si>
    <t>2-s2.0-85143888521</t>
  </si>
  <si>
    <t>Petrycki A.; Salem O.S.</t>
  </si>
  <si>
    <t>57193125783; 53980457500</t>
  </si>
  <si>
    <t>FIRE RESISTANCE TESTING OF CLT-CONCRETE COMPOSITE FLOOR SLABS UTILIZING GLUED-IN STEEL PLATES AS SHEAR CONNECTORS</t>
  </si>
  <si>
    <t>https://www.scopus.com/pages/publications/85172709522?origin=resultslist</t>
  </si>
  <si>
    <t>Petrycki A., Dept. of Civil Engineering, Lakehead University, ON, Canada; Salem O.S., Dept. of Civil Engineering, Lakehead University, ON, Canada</t>
  </si>
  <si>
    <t>Timber-concrete composite (TCC) sections have shown desirable mechanical characteristics for use in the structural design of mass timber buildings at both ambient and elevated temperatures. TCC sections have advantages over conventional steel-reinforced concrete elements or timber elements on their own. While some recent performance-based design guidelines have been developed to aid in the design of TCC sections, they primarily rely on experimental data from specific TCC arrangements with certain types of shear connectors (e.g., steel plates, metal screws, etc.). The study presented in this paper involves experimental testing of two full-size CLT-concrete composite one-way floor slabs that were exposed to elevated temperatures of the CAN/ULC-S101 standard fire time-temperature curve, while being subjected to four-point flexure bending that is equivalent to the moment developed by a uniformly distributed 4.8 kPa service load. Each TCC slab assembly had a clear, simply supported span of 5000 mm and a width of 900 mm. The CLT panel composition (5 plys) and thickness (143 mm) were chosen to investigate how its one-hour fire resistance under the applied service loads could be increased to two hours by developing the composite action with the added concrete layer (90 mm thick) that otherwise would impose |dead load on the CLT panel without contributing to the overall strength of the floor system. Shear connectors utilized in these two TCC floor assemblies were perforated steel plates installed in prepared longitudinal slots using epoxy. © (2023) WORLD CONFERENCE ON TIMBER ENGINEERING 2023 (WCTE 2023) All rights reserved.</t>
  </si>
  <si>
    <t>Fire performance; Glued-in steel plates; Shear connectors; Timber-concrete composite (TCC) sections</t>
  </si>
  <si>
    <t>Composite structures; Concrete slabs; Concrete testing; Fire resistance; Floors; Reinforced concrete; Steel testing; Timber; Wooden buildings; Composite sections; Concrete composites; Elevated temperature; Fire performance; Glued-in steel plate; Service loads; Shear connector; Steel plates; Timber-concrete composite  section; Timber-concrete composites; Structural design</t>
  </si>
  <si>
    <t>2-s2.0-85172709522</t>
  </si>
  <si>
    <t>Fujita M.; Tamura K.</t>
  </si>
  <si>
    <t>23992107600; 60339376800</t>
  </si>
  <si>
    <t>EARTHQUAKE RESPONSE ANALYSES OF A TALL BUILDING CONSIDERING IN-PLANE FLOOR STIFFNESS</t>
  </si>
  <si>
    <t>2c-0199</t>
  </si>
  <si>
    <t>https://www.scopus.com/pages/publications/105027840685?origin=resultslist</t>
  </si>
  <si>
    <t>Kanagawa University, Japan; Seismic Design Laboratory, Japan</t>
  </si>
  <si>
    <t>Fujita M., Kanagawa University, Japan; Tamura K., Seismic Design Laboratory, Japan</t>
  </si>
  <si>
    <t>In the design of a tall building structure, it is generally assumed that the stiffness of the in-plane floor structure is rigid. This is because the floor structure is generally reinforced concrete, and thus, in-plane stiffness of the floor structure is large enough for assuming it as a rigid floor. On the other hand, recently, there have been constructed some buildings with relatively flexible floor panels as a Cross Laminated Timber (CLT) in Japan. In the case that some frames with different horizontal stiffnesses are connected by flexible floor panels, the frames behave differently against earthquake ground motions. It is necessary to grasp the effect of the floor panel’s flexibility in such a case. Of course, there are many studies which examined the seismic responses of the structures considering in-plane flexibilities of floor panels. However, there is almost no research which treated general response tendencies systematically. In this paper, the authors examine the earthquake response characteristics of a tall building with flexible in-plane floor panels by parametric response analyses. Here, the target models are the structures which are composed of flexible frames connected by floor panels with rigid frames, And response characteristics are examined systematically, by conducting earthquake response analyses using 2-DOF models and multi-DOF models. The results of the analyses show the effect of floor flexibility to earthquake response behaviors, and the rigidity which gives the same responses of the flexible frames and the rigid frames. It is confirmed that the timber floor panel with the depth of 210mm behaves almost as same as rigid floor structure. And it is also discussed about the response behaviors affected by the in-plane floor flexibilities by adding dampers. © 2021, International Association for Earthquake Engineering. All rights reserved.</t>
  </si>
  <si>
    <t>Earthquake response analysis; In-plane floor stiffness; MDOF model; Tall building</t>
  </si>
  <si>
    <t>Architectural design; Dynamic response; Earthquake effects; Model structures; Seismic design; Seismic response; Earthquake response; Earthquake response analysis; Flexible floor; Flexible frame; Floor panels; Floor structures; In-plane floor stiffness; MDOF model; Response characteristic; Rigid floors; Tall buildings</t>
  </si>
  <si>
    <t>2-s2.0-105027840685</t>
  </si>
  <si>
    <t>Hull T.; Lacroix D.</t>
  </si>
  <si>
    <t>57365263500; 55546554900</t>
  </si>
  <si>
    <t>Comparative analysis of the feasibility of hollowcore mass timber panels for long span floor systems</t>
  </si>
  <si>
    <t>World Conference on Timber Engineering 2021, WCTE 2021</t>
  </si>
  <si>
    <t>https://www.scopus.com/pages/publications/85120734970?origin=resultslist</t>
  </si>
  <si>
    <t>University of Waterloo, Department of Civil and Environmental Engineering, 200 University Ave W, Waterloo, Canada</t>
  </si>
  <si>
    <t>Hull T., University of Waterloo, Department of Civil and Environmental Engineering, 200 University Ave W, Waterloo, Canada; Lacroix D., University of Waterloo, Department of Civil and Environmental Engineering, 200 University Ave W, Waterloo, Canada</t>
  </si>
  <si>
    <t>Mass timber products have allowed the adoption of wood building products in structures typically reserved for concrete and steel. However, in larger, open floor plan buildings adoption of wood products have been hindered by vibration concerns limiting the attainable floor spans. A composite hollowcore mass timber (HMT) panel offers a potential solution. A comparative analysis is performed between an HMT panel floor system and a conventional beam and purlin floor system, designed to span an 11m column grid, to assess the feasibility of the HMT panels as an industry viable long span floor system. A numerical model, validated against existing CLT-glulam T-beam experimental data, and two code adopted analytical methods was used to determine the effective bending stiffness of the HMT panel. Analysis showed that a 514mm deep HMT panel was able to achieve a vibration-controlled span of 11.1m. The HMT panel was 275mm shallower than the other system resulting in more space to run services and reducing the amount of “beam shadowing”. However, the volume of wood required was 18% more, which should also be considered in costing. Overall, the HMT panel showed it had tremendous potential as an industry viable long span floor system able to efficiently achieve spans beyond those of current mass timber slab products. © WCTE 2021. All rights reserved.</t>
  </si>
  <si>
    <t>CLT; Floor system; Glulam; Hollowcore mass timber; Long span; Numerical analysis; Vibration</t>
  </si>
  <si>
    <t>Numerical methods; Vibration analysis; Wooden buildings; Wooden construction; Wooden floors; CLT; Comparative analyzes; Floor systems; Glulam; Hollow-core; Hollowcore mass timber; Long span; Long span floor systems; Timber products; Vibration; Timber</t>
  </si>
  <si>
    <t>2-s2.0-85120734970</t>
  </si>
  <si>
    <t>Tashakori J.; Salem O.S.</t>
  </si>
  <si>
    <t>57208262723; 53980457500</t>
  </si>
  <si>
    <t>FIRE RESISTANCE TESTING OF CLT-CONCRETE COMPOSITE FLOOR SLABS WITH STRIP NOTCH SHEAR CONNECTIONS</t>
  </si>
  <si>
    <t>https://www.scopus.com/pages/publications/85172698583?origin=resultslist</t>
  </si>
  <si>
    <t>Tashakori J., Dept. of Civil Engineering, Lakehead University, ON, Canada; Salem O.S., Dept. of Civil Engineering, Lakehead University, ON, Canada</t>
  </si>
  <si>
    <t>The latest edition of the National Building Code of Canada (NBCC 2020) permits wood products to be used as the primary material in constructing up to twelve-story buildings. This results in an enduring increase in the application of mass timber sections, such as glued-laminated timber (glulam) and cross-laminated timber (CLT). Timber floors in such tall mass timber buildings can be even more robust and span longer by adding a top concrete layer to allow the formation of timber-concrete composite (TCC) floor systems when adequate shear connectors are utilized. In TCC systems, notch connections can allow a gap between the timber and the concrete top layer to have a better floor system in terms of cost saving and acoustic characteristics. This paper presents the experimental results of two full-size TCC floor slabs that have been examined under service load and standard fire exposure. Each test assembly had a 5300 mm total length with a 5000 mm clear span and 900 mm width. The composite sections were formed of a 5-ply CLT panel of 143 mm thickness and a 65-mm thick concrete layer on a 25-mm thick insulation layer. In those two fire tests, the performance of CLT-concrete composite slabs was achieved due to the nearly full composite action between the CLT panel and the concrete top layer, resulting from the utilization of 150-mm wide rectangular strip notch shear connections. Test results show that the failure of the composite slabs under standard fire exposure depends mainly on the reduction of the CLT section due to charring. However, due to the activation of the composite action, both composite floor slabs sustained the applied service loads for the 90 min duration of standard fire exposure. However, a whole-wide strip notch connection needs to be designed carefully to achieve acceptable fire resistance based on available design equations. In addition, having a whole-wide notch connection would influence the initial deflections of the supporting CLT panels while poured concrete is still wet if no shoring is provided in the middle of the slabs. Thus, to avoid excessive initial mid-span deflections and to meet the design serviceability requirements, intermediate support needs to be provided until concrete is hardened. © (2023) WORLD CONFERENCE ON TIMBER ENGINEERING 2023 (WCTE 2023) All rights reserved.</t>
  </si>
  <si>
    <t>CLT panels; Fire performance; Strip notch shear connections; Timber-concrete composite sections</t>
  </si>
  <si>
    <t>Building codes; Concrete slabs; Concrete testing; Fire resistance; Flammability testing; Floors; Laminated composites; Laminating; Composite floor slabs; Composite sections; Cross laminated; Cross-laminated timber panel; Fire performance; Laminated timber; Shear connections; Strip notch shear connection; Timber-concrete composite section; Timber-concrete composites; Timber</t>
  </si>
  <si>
    <t>2-s2.0-85172698583</t>
  </si>
  <si>
    <t>Zhang X.; Zhang S.; Niu B.; Yang H.</t>
  </si>
  <si>
    <t>56555414000; 55622218700; 59279285600; 57217185075</t>
  </si>
  <si>
    <t>Flexural behaviour and connection efficiency of cross-laminated timber–glulam composite floor systems</t>
  </si>
  <si>
    <t>Structures</t>
  </si>
  <si>
    <t>10.1016/j.istruc.2025.110204</t>
  </si>
  <si>
    <t>https://www.scopus.com/pages/publications/105015880947?origin=resultslist</t>
  </si>
  <si>
    <t>School of Civil Engineering, Chongqing University, Chongqing, 400030, China; School of Engineering, Newcastle University, Newcastle upon Tyne, NE1 7RU, United Kingdom; College of Civil Engineering, Nanjing Tech University, Nanjing, 211816, China</t>
  </si>
  <si>
    <t>Zhang X., School of Civil Engineering, Chongqing University, Chongqing, 400030, China; Zhang S., School of Engineering, Newcastle University, Newcastle upon Tyne, NE1 7RU, United Kingdom; Niu B., School of Civil Engineering, Chongqing University, Chongqing, 400030, China; Yang H., College of Civil Engineering, Nanjing Tech University, Nanjing, 211816, China</t>
  </si>
  <si>
    <t>Driven by the growing demand for sustainable and high-performance construction, mass timber products are increasingly recognised for their potential in modern structural engineering. Recently, cross-laminated timber (CLT)–glulam composites are emerging as a promising solution for efficient and environmentally friendly long-span floor systems. However, the structural behaviour of CLT-glulam composites–particularly the performance of their shear connections[sbnd]remains insufficiently understood, often resulting in overly conservative designs. This study presents a comprehensive experimental investigation into the flexural behaviour of CLT–glulam composite floor assemblies through full-scale four-point bending tests. A range of connection systems were examined, including inclined and vertical self-tapping screws, perforated steel plates, and adhesive connections–representing both mechanical and hybrid connection systems. Detailed analyses of failure modes, load-deflection, and load-slip were conducted, alongside evaluations of strain distribution and composite efficiency. The results show that all assemblies exhibited brittle failure, characterised by a combination of tensile rupture, shear failure along the lamina, and delamination. The adhesive connections achieved full composite actions, though with sudden failure without prior sign. Assembly with 45° inclined self-tapping screws exhibited the highest load-bearing capacity and the second-highest stiffness. The addition of perforated steel plates or a concrete topping had limited influence on load capacity under bending but significantly enhanced initial stiffness. Notably, shear lag effects were observed across all specimens, indicating the need for further quantitative investigation. © 2025 Institution of Structural Engineers</t>
  </si>
  <si>
    <t>Cross-laminated timber; Degree of composite action; Flexural behaviour; Floor systems; Glulam</t>
  </si>
  <si>
    <t>Adhesives; Bending tests; Failure (mechanical); Floors; Laminated composites; Laminating; Plates (structural components); Screws; Structural design; Timber; Composite action; Cross laminated; Cross-laminated timber; Degree of composite action; Flexural behavior; Floor systems; Glulam; Laminated timber; Performance; Self-tapping screws; Stiffness</t>
  </si>
  <si>
    <t>H. Yang; College of Civil Engineering, Nanjing Tech University, Nanjing, 211816, China; email: hfyang@njtech.edu.cn</t>
  </si>
  <si>
    <t>2-s2.0-105015880947</t>
  </si>
  <si>
    <t>Takatani S.; Hisada M.</t>
  </si>
  <si>
    <t>58608987900; 55375385700</t>
  </si>
  <si>
    <t>Large-scale building unit construction with carbon-neutral and robotics technologies, Kajima Technical Center</t>
  </si>
  <si>
    <t>IABSE Symposium Tokyo 2025: Environmentally Friendly Technologies and Structures: Focusing on Sustainable Approaches - Report</t>
  </si>
  <si>
    <t>10.2749/tokyo.2025.1727</t>
  </si>
  <si>
    <t>https://www.scopus.com/pages/publications/105008761567?origin=resultslist</t>
  </si>
  <si>
    <t>Kajima Corporation, Tokyo, Japan</t>
  </si>
  <si>
    <t>Takatani S., Kajima Corporation, Tokyo, Japan; Hisada M., Kajima Corporation, Tokyo, Japan</t>
  </si>
  <si>
    <t>With the goal of achieving robotic construction, automated construction, and on-site safety improvement at future construction sites, Kajima Technical Center constructed by “Flying Box Construction® “is presented. The construction method is a unitized construction with carbon-neutral and robotic construction technologies. Each unit comprises a precast concrete slab with post-tensions, CLT panel walls, and CLT ceilings. Also, CLT shear walls are incorporated to provide sufficient seismic performances for the building. On the other hand, wall panel construction assistant robots and concrete floor construction assistant robots are used for achieving future automated robotic construction. © 2025 IABSE Symposium Tokyo 2025: Environmentally Friendly Technologies and Structures: Focusing on Sustainable Approaches - Report All rights reserved.</t>
  </si>
  <si>
    <t>CLT shear wall; Precast concrete; Prestress concrete slab; Unit construction</t>
  </si>
  <si>
    <t>Carbon; Concrete construction; Concrete slabs; Floors; Prestressed concrete; Robots; Assistant robot; Building units; Carbon neutrals; CLT shear wall; Large scale buildings; Pre-cast; Prestress concrete slab; Prestress concretes; Robotic construction; Unit constructions; Precast concrete</t>
  </si>
  <si>
    <t>S. Takatani; Kajima Corporation, Tokyo, Japan; email: takatani@kajima.com; M. Hisada; Kajima Corporation, Tokyo, Japan; email: hisadam@kajima.com</t>
  </si>
  <si>
    <t>978-385748206-9</t>
  </si>
  <si>
    <t>IABSE Symp. Tokyo: Environ. Friendly Technol. Struct.: Focus. Sustain. Approaches - Rep.</t>
  </si>
  <si>
    <t>2-s2.0-105008761567</t>
  </si>
  <si>
    <t>Zhao Z.; Zhou J.; Li G.</t>
  </si>
  <si>
    <t>57300777500; 57202383380; 57365271600</t>
  </si>
  <si>
    <t>Efficiency of floating concrete toppings on mass timber floors for impact sound insulation</t>
  </si>
  <si>
    <t>https://www.scopus.com/pages/publications/85120728381?origin=resultslist</t>
  </si>
  <si>
    <t>University of Northern British Columbia, Canada</t>
  </si>
  <si>
    <t>Zhao Z., University of Northern British Columbia, Canada; Zhou J., University of Northern British Columbia, Canada; Li G., University of Northern British Columbia, Canada</t>
  </si>
  <si>
    <t>Mass timber panels including cross laminated timber (CLT), dowel laminated timber (DLT) and nail laminated timber (NLT) are used increasingly as floor slabs in mass timber buildings and hybrid buildings. The sound insulation performance of bare mass timber structural floors is insufficient due to their lightweight and relatively high bending stiffness. Floating concrete toppings are commonly applied for improved sound insulation performance with an elastic interlayer. The efficiency of floating concrete topping on improving the impact sound insulation performance is investigated experimentally in this study. The results show that with the same elastic layer, thicker concrete toppings result in better impact sound insulation performance with higher apparent impact insulation class (AIIC). However, by increasing the concrete thickness from 38mm to 50mm and to 70mm, the improvement of AIIC between two thicknesses was only within 3 dBA, and a significant improvement was observed with a 100mm-thick concrete topping. In general, elastic interlayers with lower dynamic stiffness values performed better, however, the performance was also product dependent though the apparent dynamic stiffness was measured using the same standard method. Moreover, with the same panel thickness and wood species, bare DLT floor provided higher AIIC (35 dBA) than that of bare CLT (21 dBA), but the same floating concrete floor assemblies had the same performances on both DLT and CLT floors. © WCTE 2021. All rights reserved.</t>
  </si>
  <si>
    <t>Dynamic stiffness; Floating floor; Impact sound insulation; Mass timber</t>
  </si>
  <si>
    <t>Concretes; Efficiency; Laminating; Sound insulation; Stiffness; Wooden buildings; Wooden floors; Cross laminated; Dynamic stiffness; Floating floor; Floor slabs; Impact sound insulation; Laminated timber; Mass timber; Performance; Sound insulation performance; Timber floors; Timber</t>
  </si>
  <si>
    <t>J. Zhou; University of Northern British Columbia, Canada; email: jianhui.zhou@unbc.ca</t>
  </si>
  <si>
    <t>2-s2.0-85120728381</t>
  </si>
  <si>
    <t>Manthei G.; Bohn D.; Böhm N.; Kühn B.; Vogelsberg A.</t>
  </si>
  <si>
    <t>6603272986; 59306040600; 58923092500; 36971680700; 58922233100</t>
  </si>
  <si>
    <t>Acoustic emission monitoring of cross-laminated timber-steel composite beams during elastic bending</t>
  </si>
  <si>
    <t>11th European Workshop on Structural Health Monitoring, EWSHM 2024</t>
  </si>
  <si>
    <t>10.58286/29578</t>
  </si>
  <si>
    <t>https://www.scopus.com/pages/publications/85202634788?origin=resultslist</t>
  </si>
  <si>
    <t>THM ∙ University of Applied Sciences, Giessen, Germany</t>
  </si>
  <si>
    <t>Manthei G., THM ∙ University of Applied Sciences, Giessen, Germany; Bohn D., THM ∙ University of Applied Sciences, Giessen, Germany; Böhm N., THM ∙ University of Applied Sciences, Giessen, Germany; Kühn B., THM ∙ University of Applied Sciences, Giessen, Germany; Vogelsberg A., THM ∙ University of Applied Sciences, Giessen, Germany</t>
  </si>
  <si>
    <t>Reinforcement of cross-laminated timber floors by a composite design with steel girders can provide an innovative and sustainable alternative for highly stressable floor systems made of steel and concrete for spans exceeding 8 m. To make this construction method economical and resource efficient, a significant contribution of the cross-laminated timber panel to the composite stiffness is necessary. One key aspect of the composite design is the formation of the shear-resistant connection between CLT panel and steel girder. The effect of both composites on the bending stiffness of cross laminated timber -steel composite beams was investigated in large-scale 4-point bending tests with span up to 10.6 m. To monitor the damage of the specimen using acoustic emission analysis, a network with 16 AE sensors were attached to the surface of the specimen in an area of largest deflection and highest load. For this purpose, broadband AE sensors with a measurement frequency of up to 200 kHz were used. The ultimate failure of the specimen with a span of 10.6 m occurred at a maximum test load of approximately 210 kN. The largest deflection at this force was about 214 mm. During two tests, which lasted about 50 minutes, 8,537 and 6,628 AE events were detected, respectively. The AE activity increases progressively from 30% of the maximum force until the specimens fail. © 2024 11th European Workshop on Structural Health Monitoring, EWSHM 2024. All rights reserved.</t>
  </si>
  <si>
    <t>acoustic emission analysis; bending stiffness; cross-laminated timber; steel-timber-composite; wood composites</t>
  </si>
  <si>
    <t>Acoustic emission testing; Bending (forming); Bending tests; Composite beams and girders; Deflection (structures); Fracture mechanics; Laminated composites; Mortar; Steel beams and girders; Wooden beams and girders; Wooden floors; Acoustic emission analysis; Bending stiffness; Composite beam; Composite designs; Cross laminated; Cross-laminated timber; Laminated timber; Steel composites; Steel-timber-composite; Wood composites; Structural health monitoring</t>
  </si>
  <si>
    <t>NDT.net</t>
  </si>
  <si>
    <t>Eur. Workshop Struct. Health Monit., EWSHM</t>
  </si>
  <si>
    <t>2-s2.0-85202634788</t>
  </si>
  <si>
    <t>Taylor B.; Barbosa A.R.; Sinha A.</t>
  </si>
  <si>
    <t>57216484164; 55203435000; 57203184231</t>
  </si>
  <si>
    <t>In-Plane Shear Cyclic Performance of Spline Cross-Laminated Timber-Concrete Composite Diaphragms</t>
  </si>
  <si>
    <t>10.1061/(ASCE)ST.1943-541X.0003127</t>
  </si>
  <si>
    <t>https://www.scopus.com/pages/publications/85111469661?origin=resultslist</t>
  </si>
  <si>
    <t>School of Civil and Construction Engineering, Oregon State Univ., Corvallis, 97331, OR, United States; PCS Structural Solutions, 1250 Pacific Ave., Suite 701, Tacoma, 98402, WA, United States; Dept. of Wood Science and Engineering, Oregon State Univ., Corvallis, 97331, OR, United States</t>
  </si>
  <si>
    <t>Taylor B., School of Civil and Construction Engineering, Oregon State Univ., Corvallis, 97331, OR, United States, PCS Structural Solutions, 1250 Pacific Ave., Suite 701, Tacoma, 98402, WA, United States; Barbosa A.R., School of Civil and Construction Engineering, Oregon State Univ., Corvallis, 97331, OR, United States; Sinha A., Dept. of Wood Science and Engineering, Oregon State Univ., Corvallis, 97331, OR, United States</t>
  </si>
  <si>
    <t>Over the past decade, cross-laminated timber (CLT) panels have gained popularity worldwide. To achieve larger spans and to increase the resistance to diaphragm seismic and wind forces to be transferred through CLT floor or roof systems, CLT-concrete composite (CCC) floors have been developed as an alternative. While significant testing has been performed under gravity loading, limited experimental data exist on the in-plane performance of CCC systems. This study presents results from an experimental program designed to characterize the in-plane shear behavior of CCC diaphragm connections using different CLT to concrete screw connector orientations in a test setup that simulates the expected seismic load path in diaphragms for platform-type construction. Tested variables include concrete slab thickness, composite screw angle, and single spline connection systems consisting of nails or screws. Experimental results and observed damage progression from cyclic testing are presented and discussed. Results indicate that CCC systems achieved increased stiffness and strength values when compared to bare-CLT systems, but slab thickness did not influence the strength and stiffness of the system for the load paths simulated. Additionally, CCC floor systems with 45° composite screw connectors displayed increased strength but overall similar stiffness values when compared to the CCC systems with 90° composite screws. The results provide useful engineering parameters, such as elastic stiffness, peak load, displacement capacity, and ductility ratios that can be used in the development of codified design parameters or in performance-based designs.  © 2021 American Society of Civil Engineers.</t>
  </si>
  <si>
    <t>Diaphragm connections; In-plane shear; Mass timber; Screw orientation; Single surface spline; Timber-concrete composite</t>
  </si>
  <si>
    <t>Concrete slabs; Concrete testing; Floors; Laminating; Screws; Seismology; Software testing; Splines; Stiffness; Timber; Concrete composites; Cyclic performance; Damage progression; Displacement capacity; Engineering parameters; Experimental program; Performance based design; Strength and stiffness; Laminated composites</t>
  </si>
  <si>
    <t>A.R. Barbosa; School of Civil and Construction Engineering, Oregon State Univ., Corvallis, 97331, United States; email: andre.barbosa@oregonstate.edu</t>
  </si>
  <si>
    <t>2-s2.0-85111469661</t>
  </si>
  <si>
    <t>Barrios S.; Véliz F.; Berwart S.; Montaño J.; Araya R.; Lagos J.; Beltrán M.; Chacón M.; Valdivieso D.; Guindos P.; Almazán J.L.; María H.S.</t>
  </si>
  <si>
    <t>59984961100; 58608813300; 57226866418; 57193121904; 57338898200; 58528406800; 59984511500; 57189465480; 57197773618; 55450439700; 6603699174; 6506594382</t>
  </si>
  <si>
    <t>CASE STUDY: SEISMIC AND GRAVITATIONAL DESIGN OF 15-STORY OFFICE AND RESIDENTIAL BUILDING ARCHETYPES WITH A SEMI-RIGID CLT DIAPHRAGM AND REINFORCED CONCRETE SHEAR WALLS IN CHILE</t>
  </si>
  <si>
    <t>10.52202/080513-0027</t>
  </si>
  <si>
    <t>https://www.scopus.com/pages/publications/105010266104?origin=resultslist</t>
  </si>
  <si>
    <t>Centro Nacional de Excelencia Para la Industria de la Madera (CENAMAD), Pontificia Universidad Católica de Chile, Santiago, Chile</t>
  </si>
  <si>
    <t>Barrios S., Centro Nacional de Excelencia Para la Industria de la Madera (CENAMAD), Pontificia Universidad Católica de Chile, Santiago, Chile; Véliz F., Centro Nacional de Excelencia Para la Industria de la Madera (CENAMAD), Pontificia Universidad Católica de Chile, Santiago, Chile; Berwart S., Centro Nacional de Excelencia Para la Industria de la Madera (CENAMAD), Pontificia Universidad Católica de Chile, Santiago, Chile; Montaño J., Centro Nacional de Excelencia Para la Industria de la Madera (CENAMAD), Pontificia Universidad Católica de Chile, Santiago, Chile; Araya R., Centro Nacional de Excelencia Para la Industria de la Madera (CENAMAD), Pontificia Universidad Católica de Chile, Santiago, Chile; Lagos J., Centro Nacional de Excelencia Para la Industria de la Madera (CENAMAD), Pontificia Universidad Católica de Chile, Santiago, Chile; Beltrán M., Centro Nacional de Excelencia Para la Industria de la Madera (CENAMAD), Pontificia Universidad Católica de Chile, Santiago, Chile; Chacón M., Centro Nacional de Excelencia Para la Industria de la Madera (CENAMAD), Pontificia Universidad Católica de Chile, Santiago, Chile; Valdivieso D., Centro Nacional de Excelencia Para la Industria de la Madera (CENAMAD), Pontificia Universidad Católica de Chile, Santiago, Chile; Guindos P., Centro Nacional de Excelencia Para la Industria de la Madera (CENAMAD), Pontificia Universidad Católica de Chile, Santiago, Chile; Almazán J.L., Centro Nacional de Excelencia Para la Industria de la Madera (CENAMAD), Pontificia Universidad Católica de Chile, Santiago, Chile; María H.S., Centro Nacional de Excelencia Para la Industria de la Madera (CENAMAD), Pontificia Universidad Católica de Chile, Santiago, Chile</t>
  </si>
  <si>
    <t>This study is part of the "Ciudad Madera" technological consortium, which seeks to promote widespread wood construction in Chile, whose seismic code provides no guidance for cross-laminated-timber (CLT) seismic diaphragms. Currently, this lack of a design methodology for Hybrid Mass-Timber-Reinforced-Concrete (HMT-RC) buildings, has pushed a tendency for structural designers to solely rely on the concrete topping as the seismic horizontal diaphragm element. This study validates HMT - RC and develops a seismic-design method for buildings up to 15 stories high, with CLT floor system performing as the seismic diaphragm. Twenty monotonic/cyclic connector tests and six full-scale 4 m × 4 m Radiata-pine CLT diaphragm tests will calibrate nonlinear models of office and residential building archetypes, analyzed in a 72-case parametric matrix (height, seismic zone, soil class, design philosophy). Findings show: (i) RC-core and coupling-beam detailing governs drift, (ii) flooring size is controlled by a vibration criterion, and (iii) commercial timber column-to-column splices meet seismic inter-story rotation demands. © (2025) WORLD CONFERENCE ON TIMBER ENGINEERING 2025 (WCTE 2025) All rights reserved.</t>
  </si>
  <si>
    <t>Experimental testing; High seismic zone; Hybrid mass timber buildings; Semi-rigid CLT Diaphragm</t>
  </si>
  <si>
    <t>Architectural design; Floors; Forestry; Housing; Reinforced concrete; Seismic design; Seismology; Soil testing; Soils; Timber; Wooden buildings; Wooden construction; Cross laminated; Experimental testing; High seismic zone; Hybrid mass timber building; Laminated timber; Residential building; Seismic zones; Semi-rigid; Semi-rigid cross-laminated-timber diaphragm; Timber buildings; Diaphragms</t>
  </si>
  <si>
    <t>2-s2.0-105010266104</t>
  </si>
  <si>
    <t>Younis A.; Dodoo A.</t>
  </si>
  <si>
    <t>57189247358; 26023068000</t>
  </si>
  <si>
    <t>COMPARATIVE CARBON-FOOTPRINT ANALYSIS OF RESIDENTIAL BUILDINGS WITH DIFFERENT STRUCTURAL MATERIALS</t>
  </si>
  <si>
    <t>10.14455/ISEC.2022.9(1).SUS-13</t>
  </si>
  <si>
    <t>https://www.scopus.com/pages/publications/85136130800?origin=resultslist</t>
  </si>
  <si>
    <t>Dept of Building Technology, Linnaeus University, Växjö, Sweden</t>
  </si>
  <si>
    <t>Younis A., Dept of Building Technology, Linnaeus University, Växjö, Sweden; Dodoo A., Dept of Building Technology, Linnaeus University, Växjö, Sweden</t>
  </si>
  <si>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</si>
  <si>
    <t>Climate impacts; Cross-laminated timber; Global warming potential; Life cycle assessment; Light frame timber; Reinforced concrete; Sustainable construction</t>
  </si>
  <si>
    <t>Holschemacher K.; Quapp U.; Singh A.; Yazdani S.</t>
  </si>
  <si>
    <t>2-s2.0-85136130800</t>
  </si>
  <si>
    <t>Chen Z.; Tung D.; Lum C.; Wu T.; Gaglione M.; Davenport V.</t>
  </si>
  <si>
    <t>57193127543; 8634554800; 7006889376; 59395685800; 59395763100; 59983468200</t>
  </si>
  <si>
    <t>STRUCTURAL MODELLING OF A NOVEL HYBRID TIMBER FLOOR SYSTEM</t>
  </si>
  <si>
    <t>10.52202/080513-0246</t>
  </si>
  <si>
    <t>https://www.scopus.com/pages/publications/105010264824?origin=resultslist</t>
  </si>
  <si>
    <t>Building Systems Group, FPInnovations, Vancouver, Canada; DIALOG, Vancouver, Canada; Construction Services, EllisDon, Toronto, Canada</t>
  </si>
  <si>
    <t>Chen Z., Building Systems Group, FPInnovations, Vancouver, Canada; Tung D., Building Systems Group, FPInnovations, Vancouver, Canada; Lum C., Building Systems Group, FPInnovations, Vancouver, Canada; Wu T., DIALOG, Vancouver, Canada; Gaglione M., Construction Services, EllisDon, Toronto, Canada; Davenport V., Construction Services, EllisDon, Toronto, Canada</t>
  </si>
  <si>
    <t>To demonstrate the potential for carbon-sequestering mass timber to be used across various building types and scales, DIALOG and EllisDon have developed a Hybrid Timber Floor System (HTFS). This composite system consists of post-tensioned (PT) concrete beams, cross laminated timber (CLT) panels, and concrete topping connected to one another using self-tapping screws (STS) and kerf plates. This paper investigates the structural performance of this novel HTFS through a combination of physical testing and numerical modelling conducted at FPInnovations. The structural performance of STS and kerf plate connections was experimentally evaluated to develop the shear connector parameters for modelling the composite action. Refined and comprehensive three-dimensional (3D) finite element models were developed, calibrated, and verified against the deflection and vibration measurements obtained from non-destructive full-scale HTFS testing. The verified model was then used to investigate the structural demand on the HTFS' basic components (i.e., CLT, steel reinforcement, steel tendons, STS screws, kerf plates, and concrete) under out-of-plane loading. The results from connection testing and floor simulation provide valuable insights into the structural performance of this novel HTFS, supporting its potential for broader application in sustainable construction. © (2025) WORLD CONFERENCE ON TIMBER ENGINEERING 2025 (WCTE 2025) All rights reserved.</t>
  </si>
  <si>
    <t>floor systems; hybrid systems; post-tensioned mass timber; structural performance; timber structures</t>
  </si>
  <si>
    <t>Concrete beams and girders; Laminated composites; Nondestructive examination; Plates (structural components); Screws; Structural analysis; Timber; Vibration measurement; Vibrations (mechanical); Wooden buildings; Wooden floors; Cross laminated; Floor systems; Laminated timber; Post tensioned; Post-tensioned mass timber; Self-tapping screws; Structural modeling; Structural performance; Timber floors; Timber structures; Hybrid systems</t>
  </si>
  <si>
    <t>2-s2.0-105010264824</t>
  </si>
  <si>
    <t>Chen Z.; Lu W.; Bao Y.; Zhang J.; Wang L.; Yue K.</t>
  </si>
  <si>
    <t>57226550877; 55484288800; 57226552124; 55894815900; 58457057100; 53880894800</t>
  </si>
  <si>
    <t>Numerical investigation of connection performance of timber-concrete composite slabs with inclined self-tapping screws under high temperature</t>
  </si>
  <si>
    <t>Journal of Renewable Materials</t>
  </si>
  <si>
    <t>10.32604/jrm.2021.015925</t>
  </si>
  <si>
    <t>https://www.scopus.com/pages/publications/85111763919?origin=resultslist</t>
  </si>
  <si>
    <t>Department of Civil Engineering, Nanjing Tech University, Nanjing, 211816, China; Architectural Design and Research Institute of Nanjing Tech University, Nanjing, 210009, China</t>
  </si>
  <si>
    <t>Chen Z., Department of Civil Engineering, Nanjing Tech University, Nanjing, 211816, China; Lu W., Department of Civil Engineering, Nanjing Tech University, Nanjing, 211816, China, Architectural Design and Research Institute of Nanjing Tech University, Nanjing, 210009, China; Bao Y., Department of Civil Engineering, Nanjing Tech University, Nanjing, 211816, China; Zhang J., Department of Civil Engineering, Nanjing Tech University, Nanjing, 211816, China; Wang L., Department of Civil Engineering, Nanjing Tech University, Nanjing, 211816, China; Yue K., Department of Civil Engineering, Nanjing Tech University, Nanjing, 211816, China</t>
  </si>
  <si>
    <t>The timber-concrete composite (TCC) slabs have become a preferred choice of floor systems in modern multi story timber buildings. This TCC slab consisted of timber and a concrete slab which were commonly connected together with inclined self-tapping screws (STSs). To more accurately predict the fire performance of TCC slabs, the mechanical behavior of TCC connections under high temperature was investigated by numerical simulation in this study. The interface slip of TCC connections was simulated by a proposed Finite Element (FE) model at room temperature, and different diameter and penetration length screws were considered. The effectiveness of this FE model was validated by comparing with the existing experimental results. Furthermore, the sequentially coupling thermal stress analyses of this model were conducted, and the relationship between the reduction coefficient of connection performance and the effective penetration length of screws was summarized. This study gave the fitting expressions for the reduction coefficient of slip modulus and joint strength. Finally, the numerical investigations of the fire performance of TCC slabs considering the char fall-off of Cross Laminated Timber (CLT) were performed to verify the effectiveness of the proposed reduction law. Comparing the fire-resistance time with experimental results showed deviation of the proposed model was −14.02%. © 2022, Tech Science Press. All rights reserved.</t>
  </si>
  <si>
    <t>Cross laminated timber; Finite element; Fire resistance; Shear connection; Timber-concrete composite</t>
  </si>
  <si>
    <t>Composite structures; Fire resistance; Screws; Timber; Wooden buildings; Mechanical behavior; Numerical investigations; Penetration length; Reduction coefficient; Self-tapping screws; Timber buildings; Timber-concrete composite slabs; Timber-concrete composites; Concrete slabs</t>
  </si>
  <si>
    <t>W. Lu; Department of Civil Engineering, Nanjing Tech University, Nanjing, 211816, China; email: wdlu@njtech.edu.cn</t>
  </si>
  <si>
    <t>Tech Science Press</t>
  </si>
  <si>
    <t>J. Renew. Mater.</t>
  </si>
  <si>
    <t>2-s2.0-85111763919</t>
  </si>
  <si>
    <t>Tashakori J.; Salem S.</t>
  </si>
  <si>
    <t>Finite Element Modelling of CLT-Concrete Composite Sections Utilizing Wood Screws as Shear Connectors</t>
  </si>
  <si>
    <t>10.1007/978-3-031-35471-7_17</t>
  </si>
  <si>
    <t>https://www.scopus.com/pages/publications/85186735568?origin=resultslist</t>
  </si>
  <si>
    <t>Department of Civil Engineering, Lakehead University, Thunder Bay, ON, Canada</t>
  </si>
  <si>
    <t>Tashakori J., Department of Civil Engineering, Lakehead University, Thunder Bay, ON, Canada; Salem S., Department of Civil Engineering, Lakehead University, Thunder Bay, ON, Canada</t>
  </si>
  <si>
    <t>Mass timber buildings such as those made of glued-laminated timber (glulam) framing systems supporting cross-laminated timber (CLT) floor slabs can be designed to successfully achieve the limit state design requirements for both strength and serviceability. Floor systems in such buildings can even be made more robust and span longer distances by adding a top concrete layer to allow the formation of timber-concrete composite (TCC) floor systems when adequate shear connections are utilized. The primary technique for shear connections in TCC systems is a wide variety of metal connectors, with the self-tapping screws being one of the most used shear connectors. The numerical study presented in this paper aimed to investigate the shear characteristics of CLT-concrete composite sections that utilized wood screws as shear connectors. Three-dimensional finite element (FE) models for CLT-concrete composite sections have been developed using the commercial FE programme ABAQUS. The FE models were validated against the experimental results from a prior related study on TCC sections with concrete age of 28 days. Test specimens had 600 mm × 1000 mm shear interface between the CLT panel and concrete layer, and were experimentally examined under direct shear forces until failure. Details of the constitutive laws adopted for simulating timber and concrete in such TCC sections are addressed. The competency of the damage model implemented to capture the bi-axial stress state of wood material is also discussed. The FE models have an acceptable correlation with the experimental results, with the capability of simulating the slip behaviour between the timber panel and concrete layer. © 2024, Canadian Society for Civil Engineering.</t>
  </si>
  <si>
    <t>Finite element modelling; Self-tapping screws; Shear connectors; Shear strength; Timber-concrete composite sections</t>
  </si>
  <si>
    <t>ABAQUS; Concrete slabs; Finite element method; Floors; Laminated composites; Laminating; Screws; Shear strength; Composite sections; Cross laminated; Element models; Finite element modeling; Laminated timber; Self-tapping screws; Shear connector; Shears strength; Timber-concrete composite section; Timber-concrete composites; Timber</t>
  </si>
  <si>
    <t>S. Salem; Department of Civil Engineering, Lakehead University, Thunder Bay, Canada; email: sam.salem@lakeheadu.ca</t>
  </si>
  <si>
    <t>Gupta R.; Sun M.; Brzev S.; Alam M.S.; Ng K.T.; Li J.; El Damatty A.; Lim C.</t>
  </si>
  <si>
    <t>978-303135470-0</t>
  </si>
  <si>
    <t>2-s2.0-85186735568</t>
  </si>
  <si>
    <t>Zhou J.; Zhao P.; Yang B.Z.</t>
  </si>
  <si>
    <t>57202383380; 57211111057; 56290638500</t>
  </si>
  <si>
    <t>Apparent Impact Sound Insulation Performance of Continuous Floating Concrete Toppings on Mass Timber Slab Floors</t>
  </si>
  <si>
    <t>10.1061/JAEIED.AEENG-1838</t>
  </si>
  <si>
    <t>https://www.scopus.com/pages/publications/85204886734?origin=resultslist</t>
  </si>
  <si>
    <t>School of Engineering, Univ. of Northern British Columbia, 499 George St., Prince George, V2L 1R5, BC, Canada; Simpson Strong-Tie Company, 5956 W. Las Positas Blvd., Pleasanton, 94588, CA, United States; Dept. of Sustainable Bioproducts, Mississippi State Univ., P.O. Box 9820, Mississippi State, 39762, MS, United States</t>
  </si>
  <si>
    <t>Zhou J., School of Engineering, Univ. of Northern British Columbia, 499 George St., Prince George, V2L 1R5, BC, Canada; Zhao P., School of Engineering, Univ. of Northern British Columbia, 499 George St., Prince George, V2L 1R5, BC, Canada; Yang B.Z., Simpson Strong-Tie Company, 5956 W. Las Positas Blvd., Pleasanton, 94588, CA, United States, Dept. of Sustainable Bioproducts, Mississippi State Univ., P.O. Box 9820, Mississippi State, 39762, MS, United States</t>
  </si>
  <si>
    <t>Mass timber panels including cross-laminated timber (CLT), dowel-laminated timber (DLT), and nail-laminated timber (NLT) are used increasingly as floor slabs in mass timber buildings and hybrid timber buildings. The sound insulation performance of bare mass timber structural floors is insufficient due to their lightweight and relatively high bending stiffness. Floating concrete toppings are commonly applied for improved sound insulation performance with an elastic interlayer. The effect of different elastic interlayers and thickness of concrete toppings on improving the impact sound insulation performance was investigated experimentally according to ASTM standards in this study. The results showed that with the same elastic layer, thicker concrete toppings resulted in better impact sound insulation performance with a higher apparent impact insulation class (AIIC). However, by increasing the concrete thickness from 38 to 50 mm and to 70 mm, the improvement of AIIC between two thicknesses was only within 3, and a significant improvement up to 9 was observed with a 100-mm-Thick concrete topping. In general, elastic interlayers with lower dynamic stiffness values performed better; however, the performance was product dependent though the apparent dynamic stiffness was measured using the same standard method. Moreover, with the same panel thickness and wood species, a bare DLT floor provided higher AIIC (35) than a bare CLT (21), but each mass timber floor with the same interlayer and floating concrete topping had the same impact sound attenuation performance. The ISO empirical prediction equation overestimated the impact sound attenuation of floating concrete toppings on mass timber floors. © 2024 American Society of Civil Engineers.</t>
  </si>
  <si>
    <t>Building acoustics; Dynamic stiffness; Floating floor; Impact sound insulation; Mass timber</t>
  </si>
  <si>
    <t>Acoustic noise; Architectural acoustics; Concrete slabs; Light weight concrete; Mortar; Sound insulating materials; Timber; Wooden buildings; Wooden floors; Building acoustics; Cross laminated; Dynamic stiffness; Floating floor; Impact sound insulation; Laminated timber; Mass timber; Sound insulation performance; Timber buildings; Timber floors; Sound insulation</t>
  </si>
  <si>
    <t>J. Zhou; School of Engineering, Univ. of Northern British Columbia, Prince George, 499 George St., V2L 1R5, Canada; email: jianhui.zhou@unbc.ca</t>
  </si>
  <si>
    <t>2-s2.0-85204886734</t>
  </si>
  <si>
    <t>Eslami H.; Jayasinghe L.B.; Waldmann D.</t>
  </si>
  <si>
    <t>57272842800; 55626539700; 26636742700</t>
  </si>
  <si>
    <t>Experimental and numerical study on shear behavior of a demountable CLT-concrete composite shear connection</t>
  </si>
  <si>
    <t>10.1016/j.conbuildmat.2024.135982</t>
  </si>
  <si>
    <t>https://www.scopus.com/pages/publications/85189104181?origin=resultslist</t>
  </si>
  <si>
    <t>Faculty of Science, Technology, and Medicine (FSTM), University of Luxembourg, Luxembourg; Department of Earth and Environmental Sciences, Ludwig-Maximilians-Universität München, Germany; Institute for Solid Structures, Technical University of Darmstadt, Germany</t>
  </si>
  <si>
    <t>Eslami H., Faculty of Science, Technology, and Medicine (FSTM), University of Luxembourg, Luxembourg; Jayasinghe L.B., Department of Earth and Environmental Sciences, Ludwig-Maximilians-Universität München, Germany; Waldmann D., Institute for Solid Structures, Technical University of Darmstadt, Germany</t>
  </si>
  <si>
    <t>Recently, there has been a growing interest in using Cross-Laminated Timber (CLT) in the construction industry, particularly as slabs and walls. This heightened interest is attributed to CLT's favorable mechanical properties, ease of prefabrication, and environmental advantages. Consequently, CLT-Concrete Composite (CCC) floor systems have gained more attention for their application in mid- and high-rise buildings. These CCC systems offer substantial advantages over standalone CLT slabs, including enhanced bending stiffness, increased load-bearing capacity, and improved dynamic performance. However, a notable research gap exists when it comes to the deconstruction of CCC slabs, a crucial aspect for enhancing sustainability and reducing the environmental impacts of these structural elements. This study investigates innovative demountable shear connections designed for a reusable prefabricated CCC floor system. A series of push-out tests were conducted on six different shear connectors to obtain the shear properties of the connection. The demountable shear connections exhibited a load-bearing capacity similar to conventional permanent connections. Moreover, these connections demonstrated a significantly higher stiffness than existing options. One specimen was examined in a reuse scenario test to evaluate its reusability, which revealed a notable increase in stiffness during its second use. A three-dimensional finite element model of the push-out test was validated and calibrated with the experimental results. This model was utilized to study the load-bearing behavior of the notched connections. © 2024 The Authors</t>
  </si>
  <si>
    <t>CLT-concrete composite; Demountable shear connection; Design for deconstruction; Push-out test; Timber-concrete composite</t>
  </si>
  <si>
    <t>Bearing capacity; Concretes; Environmental impact; Floors; Reusability; Stiffness; Sustainable development; Tall buildings; Timber; Concrete composites; Cross laminated; Cross-laminated timber-concrete composite; Demountable shear connection; Design for deconstruction; Laminated timber; Push-out tests; Shear connections; Timber-concrete composites; Construction industry</t>
  </si>
  <si>
    <t>D. Waldmann; Darmstadt, Franziska-Braun Str. 3, 64287, Germany; email: waldmann@massivbau.tu-darmstadt.de</t>
  </si>
  <si>
    <t>2-s2.0-85189104181</t>
  </si>
  <si>
    <t>Tsai M.-T.; Lin W.-T.</t>
  </si>
  <si>
    <t>55547029900; 57388174200</t>
  </si>
  <si>
    <t>Efficiency of energy consumption between reinforced concrete structure and cross‐laminated timber based hybrid structure in East Asian cities</t>
  </si>
  <si>
    <t>Energies</t>
  </si>
  <si>
    <t>10.3390/en15010165</t>
  </si>
  <si>
    <t>https://www.scopus.com/pages/publications/85121848879?origin=resultslist</t>
  </si>
  <si>
    <t>Department of Architecture, National Taiwan University of Science and Technology, Taipei, 10608, Taiwan</t>
  </si>
  <si>
    <t>Tsai M.-T., Department of Architecture, National Taiwan University of Science and Technology, Taipei, 10608, Taiwan; Lin W.-T., Department of Architecture, National Taiwan University of Science and Technology, Taipei, 10608, Taiwan</t>
  </si>
  <si>
    <t>From the environmental perspective, wooden structures are favorable insulators that are suitable for carbon fixation and wooden‐related products are considered the most sustainable ma-terial. Research has indicated that wooden structures have superior energy‐saving performance compared to reinforced concrete (RC) structures. In this study, a CLT‐based hybrid structure system that potentially improves the efficiency of energy consumption is proposed. The proposed hybrid structure system, which preserved original RC beams, columns and replaced CLT floors and walls, has less building weight compared to the original RC building. Additionally, less energy required for the manufacturing of building materials in the renovation of the aged building is achieved, compared to building a new CLT building. The energy consumptions for buildings with heights of 10 stories were compared. CLT and RC were selected as benchmark building materials to compare the energy‐saving efficiencies with the proposed hybrid structure system. In addition, to examine the energy consumption differences at different latitudes, the energy consumptions in Taipei, Tokyo, Harbin, and Singapore were compared as well. The simulation results indicate the proposed hybrid structure system, which comprises RC beams and columns and CLT floors and walls, and has an energy‐saving efficiency close to that of a CLT structure, by approximately 3–5% higher, however, had a superior energy consumption performance to the RC structure. In general, the proposed hybrid structure system can be effectively used for old building renewal in the selected Asian cities. © 2021 by the authors. Licensee MDPI, Basel, Switzerland.</t>
  </si>
  <si>
    <t>Carbon emission; Cross laminated timber (CLT); Energy consumption; Green building‐rating system (GBS); Hybrid structure system</t>
  </si>
  <si>
    <t>Carbon; Energy efficiency; Floors; Hybrid materials; Laminating; Reinforced concrete; Timber; Walls (structural partitions); Wooden buildings; Building ratings; Carbon emissions; Cross laminated; Cross laminated timber; Energy-consumption; Green buildings; Green building‐rating system; Hybrid structure; Hybrid structure system; Laminated timber; Rating system; Structure systems; Energy utilization</t>
  </si>
  <si>
    <t>M.-T. Tsai; Department of Architecture, National Taiwan University of Science and Technology, Taipei, 10608, Taiwan; email: Tsai@mail.ntust.edu.tw</t>
  </si>
  <si>
    <t>2-s2.0-85121848879</t>
  </si>
  <si>
    <t>Malek S.; Cheraghi-shirazi N.; Creagh A.; Setiawan F.; Parra R.; Khoshkbari P.</t>
  </si>
  <si>
    <t>57221105898; 56375874400; 58353358800; 59562482800; 58017728100; 58609496800</t>
  </si>
  <si>
    <t>Vibration performance of CLT and CLT-concrete composite floors supported by glulam beams under human activity in mass timber office buildings</t>
  </si>
  <si>
    <t>10.1016/j.engstruct.2025.119918</t>
  </si>
  <si>
    <t>https://www.scopus.com/pages/publications/85218145692?origin=resultslist</t>
  </si>
  <si>
    <t>Department of Civil Engineering, University of Victoria, 3800 Finnerty Rd, BC, Canada; Centre for Advanced Materials and Related Technology (CAMTEC), University of Victoria, BC, Canada; Degenkolb Engineers, CA, United States; Google LLC, CA, United States</t>
  </si>
  <si>
    <t>Malek S., Department of Civil Engineering, University of Victoria, 3800 Finnerty Rd, BC, Canada, Centre for Advanced Materials and Related Technology (CAMTEC), University of Victoria, BC, Canada; Cheraghi-shirazi N., Department of Civil Engineering, University of Victoria, 3800 Finnerty Rd, BC, Canada, Centre for Advanced Materials and Related Technology (CAMTEC), University of Victoria, BC, Canada; Creagh A., Degenkolb Engineers, CA, United States; Setiawan F., Degenkolb Engineers, CA, United States; Parra R., Degenkolb Engineers, CA, United States; Khoshkbari P., Google LLC, CA, United States</t>
  </si>
  <si>
    <t>Timber floors are susceptible to vibration due to their low mass and bending stiffness. Utilizing mass timber products in long-span scenarios, such as in office buildings, makes vibration an important design driver for structural engineers. To gain insight on the vibration performance of mass timber and timber-composite floors in real mass timber buildings, a comprehensive testing campaign was conducted on two mass timber office buildings. The measured data were compared and discussed according to various standards and design guides at the end. Although some discrepancies between estimated parameters and measurements were noted, the floors reasonably meet their desired performance objectives for office buildings according to existing standards. The results presented in this paper not only demonstrate the effect of human weight and walking path on the floor's response, but also provide important data on mass timber floor system performance in furnished buildings, which is not otherwise available in the literature. © 2025 The Authors</t>
  </si>
  <si>
    <t>Codes and standards; Composite floors; Cross-Laminated Timber (CLT); Human-induced vibration; Long-span floors; Mass timber; Office buildings; Walking test</t>
  </si>
  <si>
    <t>Building codes; Concrete beams and girders; Laminated composites; Mortar; Structural dynamics; Wooden buildings; Wooden floors; Codes and standards; Composite floors; Cross laminated; Cross-laminated timber; Human-induced vibration; Induced vibrations; Laminated timber; Long span; Long-span floor; Mass timber; Walking test; building; concrete structure; floor; human activity; response analysis; timber; vibration; Timber</t>
  </si>
  <si>
    <t>S. Malek; University of Victoria, Department of Civil Engineering, Victoria, 3800 Finnerty Rd, Canada; email: smalek@uvic.ca</t>
  </si>
  <si>
    <t>2-s2.0-85218145692</t>
  </si>
  <si>
    <t>Wang J.; Karsh E.; Finch G.; Chen M.</t>
  </si>
  <si>
    <t>55539184900; 57193126475; 25821635600; 57193123004</t>
  </si>
  <si>
    <t>Field measurement of vertical movement and roof moisture performance of the Wood Innovation and Design Centre</t>
  </si>
  <si>
    <t>https://www.scopus.com/pages/publications/85010986991?origin=resultslist</t>
  </si>
  <si>
    <t>Building Systems Department, FPInnovations, Canada; Equilibrium Consulting, Canada; RDH Building Science Inc., Canada; Michael Green Architecture, Canada</t>
  </si>
  <si>
    <t>Wang J., Building Systems Department, FPInnovations, Canada; Karsh E., Equilibrium Consulting, Canada; Finch G., RDH Building Science Inc., Canada; Chen M., Michael Green Architecture, Canada</t>
  </si>
  <si>
    <t>The Wood Innovation and Design Centre (WIDC) in Prince George, British Columbia, with 6 tall storeys and a total height of 29.5 m, provided a unique opportunity for non-destructive testing and monitoring to measure the 'As Built' performance of a relatively tall mass timber building. The mass timber structural system consists of glulam columns and beams with cross laminated timber (CLT) floor plates and shear walls. Vertical movement of selected glulam columns and CLT walls and the moisture content of the innovative mass timber roof were monitored as these components are unique to mass timber buildings. Indoor temperature and relative humidity conditions were also measured. The mass timber CLT and glulam elements are susceptible to longer-term differential movement as they slowly dry after manufacturing and construction. The paper describes instrumentation and discusses the measurement results for two years following the topping out of the structure. The monitoring indicated that the wood inside the building could reach a moisture content (MC) close to 4% in the winter in this cold climate, from an initial MC of around 13% during construction. Glulam columns were dimensionally stable in the longitudinal direction given the MC changes and loading conditions. With a height of over 5 m and 6 m, respectively, two glulam columns directly measured by sensors each showed vertical movement below 3 mm (i.e., 0.04%). The cumulative shortening of the six glulam columns along the height of the columns (24.5 m) is expected to be approximately 11 mm. This did not take into consideration any potential settlement or deformation at connections between glulam columns, or effects of reduced loads on the top two unoccupied floors. The CLT wall panels were also dimensionally stable along the height of the building, with cumulative vertical shrinkage of about 19 mm (i.e., 0.07%) from Level 1 to Level 6. In contrast, the 5-ply CLT floor slabs made up of wood in radial and tangential grain shrank in thickness by about 5 mm (3.0%) on average. With regards to the performance of the mass timber roof, the CLT roof panels started out dry and remained dry due to the robust assembly design and the dry indoor conditions. In one area the plywood roof sheathing was initially wetted by the application of a concrete topping below a piece of mechanical equipment, it was able to dry to the interior within a few months. Overall the monitoring study showed that the differential movement occurring among the glulam columns and the CLT wall was small and the mass timber roof design had good drying performance.</t>
  </si>
  <si>
    <t>Field measurement; Moisture monitoring; Movement monitoring; Roof moisture performance; Vertical movement; Wood Innovation and Design Centre</t>
  </si>
  <si>
    <t>Design; Innovation; Measurement; Moisture; Monitoring; Wood; Floors; Innovation; Moisture; Moisture determination; Nondestructive examination; Roofs; Timber; Walls (structural partitions); Wood; Wooden buildings; Field measurement; Moisture monitoring; Moisture performance; Movement monitoring; Vertical movement; Moisture control</t>
  </si>
  <si>
    <t>2-s2.0-85010986991</t>
  </si>
  <si>
    <t>Hu L.; Gagnon S.</t>
  </si>
  <si>
    <t>55354467500; 36702458800</t>
  </si>
  <si>
    <t>Controlling cross-laminated timber (CLT) floor vibrations: Fundamentals and method</t>
  </si>
  <si>
    <t>World Conference on Timber Engineering 2012, WCTE 2012</t>
  </si>
  <si>
    <t>https://www.scopus.com/pages/publications/84871976512?origin=resultslist</t>
  </si>
  <si>
    <t>FPInnovations, Quebec, QC G1P 4R4, 319, rue Franquet, Canada</t>
  </si>
  <si>
    <t>Hu L., FPInnovations, Quebec, QC G1P 4R4, 319, rue Franquet, Canada; Gagnon S., FPInnovations, Quebec, QC G1P 4R4, 319, rue Franquet, Canada</t>
  </si>
  <si>
    <t>Cross-Laminated Timber (CLT) is proving to be a promising solution allowing wood to compete in building sectors where traditionally steel and concrete have predominated. The dynamic behaviour of CLT floor systems differ from that of the traditional lightweight wood-joisted floors and heavy concrete slab floors. The existing standard vibration-controlled design methods for lightweight and heavy floors may not be applicable to CLT floors. A new design method was developed based on the understanding of the fundamentals of floor vibrations and laboratory study of CLT floors with various construction details. The design method predicted vibration performance of CLT floors well and matched with the subjective ratings. The new design method is simple that the vibration-controlled spans can be directly calculated from CLT stiffness and mass. The vibration-controlled spans of CLT floors predicted by this new design method were almost the same as the spans determined by "CLTdesigner" software that was developed in Austria. It is concluded that the proposed design methodology to determine vibration-controlled maximum spans of CLT floors is promising.</t>
  </si>
  <si>
    <t>CLT floor; Design method; Normal walking; Vibration</t>
  </si>
  <si>
    <t>Concrete slabs; Design; Laminating; Timber; Austria; Design method; Design Methodology; Dynamic behaviours; Floor systems; Floor vibrations; Heavy concrete; In-buildings; Laboratory studies; New design; Normal walking; Subjective rating; Vibration; Wooden floors</t>
  </si>
  <si>
    <t>L. Hu; FPInnovations, Quebec, QC G1P 4R4, 319, rue Franquet, Canada; email: lin.hu@fpinnovations.ca</t>
  </si>
  <si>
    <t>978-162276305-4</t>
  </si>
  <si>
    <t>2-s2.0-84871976512</t>
  </si>
  <si>
    <t>Kuratomi Y.; Inada T.</t>
  </si>
  <si>
    <t>55372862800; 55788977900</t>
  </si>
  <si>
    <t>Development of the structural system with steel frame and wooden floor-connection method of steel beam and wooden floor</t>
  </si>
  <si>
    <t>IABSE Conference, Geneva 2015: Structural Engineering: Providing Solutions to Global Challenges - Report</t>
  </si>
  <si>
    <t>https://www.scopus.com/pages/publications/84971229081?origin=resultslist</t>
  </si>
  <si>
    <t>Fukuoka University, Fukuoka, Japan</t>
  </si>
  <si>
    <t>Kuratomi Y., Fukuoka University, Fukuoka, Japan; Inada T., Fukuoka University, Fukuoka, Japan</t>
  </si>
  <si>
    <t>The authors propose to replace a reinforced concrete (RC) slab with a cross-laminated timber (CLT) floor panel as a method to increase the use of timber in moderate- or large-scale buildings. The advantages of using CLT floor panels are as follows: 1) the weight of the building is reduced, 2) an environmental value is established, 3) forest resources are effectively utilized, and 4) there is a contribution in solving the global environmental problem. A floor effects the enhancement of flexural stiffness and strength of steel beams; hence, for a robust building structure, the authors must focus on and dynamically solve all structure performance problems. In addition, it is necessary to investigate the method of connection of steel beams and CLT floor panels. Push-out shear tests and pure bending tests were conducted to investigate the structural performance of CLT and composite steel beams. The test results indicated that the CLT and steel composite beam showed good structural performance.</t>
  </si>
  <si>
    <t>Bending test; Composite beam; Cross-laminated timber; High-rise buildings; Push-out test; Stud; Wooden floor</t>
  </si>
  <si>
    <t>Beams and girders; Bending tests; Composite beams and girders; Floors; Laminated composites; Laminating; Reinforced concrete; Steel beams and girders; Structural analysis; Structural design; Tall buildings; Timber; Composite beam; Cross laminated; High rise building; Push-out tests; Stud; Wooden floors</t>
  </si>
  <si>
    <t>Y. Kuratomi; Fukuoka University, Fukuoka, Japan; email: ykuratomi@fukuoka-u.ac.jp</t>
  </si>
  <si>
    <t>978-385748140-6</t>
  </si>
  <si>
    <t>IABSE Conf., Geneva: Struct. Eng.: Provid. Solutions Glob. Challenges - Rep.</t>
  </si>
  <si>
    <t>2-s2.0-84971229081</t>
  </si>
  <si>
    <t>Amorim S.T.A.; Mantilla J.N.R.; Carrasco E.V.M.</t>
  </si>
  <si>
    <t>57200212165; 52264106000; 24461109300</t>
  </si>
  <si>
    <t>Cross laminated timber: Technological, construction and dimensioning aspects; [A madeira laminada cruzada: Aspectos tecnológicos, construtivos e de dimensionamento]</t>
  </si>
  <si>
    <t>Revista Materia</t>
  </si>
  <si>
    <t>e-11937</t>
  </si>
  <si>
    <t>10.1590/s1517-707620170005.0273</t>
  </si>
  <si>
    <t>https://www.scopus.com/pages/publications/85040256328?origin=resultslist</t>
  </si>
  <si>
    <t>Departamento de Engenharia de Estruturas - DEES - Escola de Engenharia -UFMG, Belo Horizonte, MG, Brazil; PACPS - Escola de Arquitetura - UFMG, Brazil; Faculdade de Engenharia e Arquitetura, Universidade FUMEC, Brazil</t>
  </si>
  <si>
    <t>Amorim S.T.A., Departamento de Engenharia de Estruturas - DEES - Escola de Engenharia -UFMG, Belo Horizonte, MG, Brazil; Mantilla J.N.R., PACPS - Escola de Arquitetura - UFMG, Brazil, Faculdade de Engenharia e Arquitetura, Universidade FUMEC, Brazil; Carrasco E.V.M., PACPS - Escola de Arquitetura - UFMG, Brazil, Faculdade de Engenharia e Arquitetura, Universidade FUMEC, Brazil</t>
  </si>
  <si>
    <t>Cross laminated timber panels (CLT) are formed by large-sized orthogonally arranged wood layers bonded with structural adhesive under high pressure. The cross-lamination system provides to the CLT to work as a rigid and self-supporting structural element. In addition, they are thermal and acoustic insulation and have a good resistance in fire situations. They are used as structural and closing elements in multi-floor construc-tions and this constructive system can be considered more sustainable, which generates less impact to the environment, compared to traditional Brazilian solutions. Wood is a renewable natural resource and when used in construction it plays an important role for the environment: storing CO2 and using low energy for its manufacture and application when compared to conventional materials used in construction such as steel, concrete and aluminum. In these structures design there is still no universally accepted analytic approach by CLT designers and manufacturers. In this work, the CLT panels used as floor or roof slabs subject to bending are dimensioned the most important methods used. The results were compared and it was concluded that the more accurate methods consider the rigidity and structural resistance of all layers. Greater precision in the designing of the CLT panels contributes to sustainable engineering as it optimizes the use of the material in the structure. © 2017, Universidade Federal do Rio de Janeiro. All rights reserved.</t>
  </si>
  <si>
    <t>Construction systems; Cross Laminated Timber; Sustainability</t>
  </si>
  <si>
    <t>Universidade Federal do Rio de Janeiro</t>
  </si>
  <si>
    <t>Portuguese</t>
  </si>
  <si>
    <t>Rev. Mater.</t>
  </si>
  <si>
    <t>2-s2.0-85040256328</t>
  </si>
  <si>
    <t>Erdle A.; Smith I.; Weckendorf J.; Asiz A.</t>
  </si>
  <si>
    <t>55546382700; 7404426235; 55351217500; 6506926796</t>
  </si>
  <si>
    <t>Control of the dynamic performance of hybrid steel frame and cross laminated timber slab buildings</t>
  </si>
  <si>
    <t>https://www.scopus.com/pages/publications/84871953621?origin=resultslist</t>
  </si>
  <si>
    <t>University of New Brunswick, Fredericton, NB, P.O. Box 4400, Canada; Prince Mohammad Bin Fahd University, A1 Khobar, P.O. Box 1664, Saudi Arabia</t>
  </si>
  <si>
    <t>Erdle A., University of New Brunswick, Fredericton, NB, P.O. Box 4400, Canada; Smith I., University of New Brunswick, Fredericton, NB, P.O. Box 4400, Canada; Weckendorf J., University of New Brunswick, Fredericton, NB, P.O. Box 4400, Canada; Asiz A., Prince Mohammad Bin Fahd University, A1 Khobar, P.O. Box 1664, Saudi Arabia</t>
  </si>
  <si>
    <t>Distributed Tuned Liquid Damper (DTLD) systems for multi-storey building superstructures consist of arrays of partially filled liquid containers attached to the structural system and distributed amongst the storeys, to enhance the modal damping characteristics of substructures and entire structures. Work described here considerers DTLD systems as supplemental damping to hybrid superstructures that combine steel primary frameworks with Cross Laminated Timber (CLT), or other lightweight massive wood, slabs as an alternative to reinforced concrete slabs. The objective is to control lateral motions of building superstructures during normal and extreme loading events. Previous studies by the authors have shown that using CLT alone with steel frameworks is an effective way of reducing gravitational and lateral structural demands on steel frameworks, and for controlling lateral drift motions during normal or unusual loading events. Addition of DTLD systems is considered to further control dynamic motions without unacceptable amplification of lateral accelerations at above ground floor levels. The design of DTLD's is examined here with respect to their masses and sloshing frequencies, based on laboratory tests in which peak acceleration and damping characteristics of a scaled superstructure system fitted with rectangular box Tuned Liquid Dampers (TLD) were measured. Results collected to date indicate that using DTLD's is an effective method of controlling lateral motions in buildings with steel frameworks and massive wood slabs. Experiments showed that peak lateral acceleration of steel framework-and-wood slab superstructures is not sensitive to the mass of liquid in DTLD's, provided that the mass of the fluid in them is at least about 1 percent of the superstructure mass. In experiments, no strong sensitivity to the tuning accuracy of DTLD's was observed for control of motion attributable to the fundamental mode of vibration. However it may be required in practice to have DTLD arrays tuned to multiple response frequencies for overall control of lateral motions of buildings. Experiments also showed that damping of the system was increased with an increase in the mass of liquid and was not affected by the sloshing frequency. Further work will examine detailed aspects of the technical issues and how DTLD systems should be designed.</t>
  </si>
  <si>
    <t>Building vibration; Cross laminated timber; Distributed tuned liquid damper; Supplemental damping</t>
  </si>
  <si>
    <t>Buildings; Concrete slabs; Damping; Experiments; Laminating; Liquid sloshing; Timber; Building superstructure; Building vibrations; Control dynamic; Damping characteristics; Dynamic performance; Fundamental modes; Ground floor; In-buildings; Laboratory test; Laminated timber; Lateral acceleration; Lateral drifts; Lateral motion; Liquid containers; Modal damping; Multiple response; Multistorey buildings; Peak acceleration; Rectangular box; Sloshing frequency; Steel frame; Steel framework; Structural systems; Tuned liquid dampers; Tuning accuracy; Loading</t>
  </si>
  <si>
    <t>A. Erdle; University of New Brunswick, Fredericton, NB, P.O. Box 4400, Canada; email: vl84e@unb.ca</t>
  </si>
  <si>
    <t>2-s2.0-84871953621</t>
  </si>
  <si>
    <t>Byrick W.</t>
  </si>
  <si>
    <t>Laboratory data examining impact and airborne sound attenuation in cross-laminated timber panel construction</t>
  </si>
  <si>
    <t>INTER-NOISE 2015 - 44th International Congress and Exposition on Noise Control Engineering</t>
  </si>
  <si>
    <t>https://www.scopus.com/pages/publications/84947570402?origin=resultslist</t>
  </si>
  <si>
    <t>Department of Engineering, Pliteq Inc., 416-449-0049, United States</t>
  </si>
  <si>
    <t>Byrick W., Department of Engineering, Pliteq Inc., 416-449-0049, United States</t>
  </si>
  <si>
    <t>Cross laminated timber panels (CLT) are a relatively new method of constructing multi family structures in North America. The panels are composed of numerous layers of wood, each perpendicular to the adjacent layers. Wood is a renewable resource and producing the components of CLT panels consumes roughly half of the energy of concrete. 12-storey buildings are possible with cross-laminated timber. While this has been used in other parts of the world, it has not yet been widely adopted in North America. In an effort to better understand how a CLT floor ceiling structure will perform in impact and airborne sound attenuation testing, we constructed a 175mm thick floor assembly in the laboratory and conducted numerous tests (STC-ASTM E90 and IIC-E492) with different floor toppings and with and without a ceiling assembly. Plywood installed over resilient underlayment of various thicknesses was tested in addition to finish floor installed directly over resilient underlayment. A resiliently mounted ceiling with insulation was also tested. The test data collected is compared to other labs including testing done by the National Research Council of Canada (NRC). As a result of the test program we can hope to design IBC section 1207 code compliant CLT assemblies, better understand lab variations with this type of structure and compare it to conventional concrete slabs of equivalent thickness. © 2015 by ASME.</t>
  </si>
  <si>
    <t>Acoustic noise; Acoustic noise measurement; Acoustic variables control; Ceilings; Concrete slabs; Concretes; Floors; Laboratories; Laminating; Timber; Adjacent layers; Conventional concrete; Different floors; Equivalent thickness; Family structure; Laboratory datum; National Research Council of Canada; Renewable resource; Software testing</t>
  </si>
  <si>
    <t>W. Byrick; Department of Engineering, Pliteq Inc., 416-449-0049, United States; email: wbyrick@pliteq.com</t>
  </si>
  <si>
    <t>Maling G.; Burroughs C.</t>
  </si>
  <si>
    <t>The Institute of Noise Control Engineering of the USA, Inc.</t>
  </si>
  <si>
    <t>INTER-NOISE - Int. Congr. Expo. Noise Control Eng.</t>
  </si>
  <si>
    <t>2-s2.0-84947570402</t>
  </si>
  <si>
    <t>Bao Y.; Yue K.; Dai C.; Wu P.; Lu W.; Zhao H.; Li Q.</t>
  </si>
  <si>
    <t>57226552124; 53880894800; 57223894452; 56911499400; 55484288800; 58540751800; 57281767300</t>
  </si>
  <si>
    <t>Investigating impact sound insulation in cross-laminated timber (CLT)-concrete composite floors with embedded mechanical fastening: Experimental analysis and statistical energy analysis</t>
  </si>
  <si>
    <t>10.1016/j.jobe.2025.113216</t>
  </si>
  <si>
    <t>https://www.scopus.com/pages/publications/105008283625?origin=resultslist</t>
  </si>
  <si>
    <t>College of Civil Engineering, Nanjing Tech University, Nanjing, 211800, China; Nanjing Gongda Construction Technology Co. Ltd, Nanjing, 211800, China; School of Civil Engineering and Architecture, Suqian University, Suqian, 223800, China</t>
  </si>
  <si>
    <t>Bao Y., College of Civil Engineering, Nanjing Tech University, Nanjing, 211800, China; Yue K., College of Civil Engineering, Nanjing Tech University, Nanjing, 211800, China; Dai C., College of Civil Engineering, Nanjing Tech University, Nanjing, 211800, China; Wu P., College of Civil Engineering, Nanjing Tech University, Nanjing, 211800, China; Lu W., College of Civil Engineering, Nanjing Tech University, Nanjing, 211800, China; Zhao H., Nanjing Gongda Construction Technology Co. Ltd, Nanjing, 211800, China; Li Q., School of Civil Engineering and Architecture, Suqian University, Suqian, 223800, China</t>
  </si>
  <si>
    <t>CLT-concrete composite (CCC) floors are increasingly used in modern timber buildings for their superior strength and fire resistance over traditional cross-laminated timber (CLT) floors. However, their impact sound insulation remains problematic, potentially causing noise-related disputes. To investigate the impact sound insulation performance of CCC floors with varying structural design parameters and floating constructions, this study conducted laboratory tests on twelve full-scale floors. Impact sound insulation class was determined using single number indexes, primarily the normalized impact sound pressure level (Ln,w). The test results indicated that structural design parameters showed minor influence on the impact sound insulation performance of CCC floors (ΔLw ≤10 dB), while floating constructions significantly enhanced the impact sound insulation performance (ΔLw ≥21 dB). In contrast, a 31-mm-thick floating construction achieved an Ln,w value of 59.0 dB, elevating the impact sound insulation class to Level 4—outperforming previously reported results. Furthermore, a simplified statistical energy analysis (SEA) model was developed for the CCC floor system with a floating floor. The predicted Ln,w values aligned well with the test results, with errors below 6 dB. This study provides a research foundation for the design of sound insulation solutions and performance prediction of CCC floor systems in practical engineering applications. © 2025 Elsevier Ltd</t>
  </si>
  <si>
    <t>CLT-Concrete composite floor; Floating floor; Impact sound insulation; Normalized impact sound pressure level; Timber structures</t>
  </si>
  <si>
    <t>Acoustic noise; Acoustic noise measurement; Acoustic wave transmission; Acoustics; Concretes; Laminated composites; Sound insulating materials; Statistical methods; Structural analysis; Timber; Wooden floors; Composite floors; Concrete composites; Cross laminated; Cross-laminated timber-concrete composite floor; Floating floor; Impact sound insulation; Laminated timber; Normalized impact sound pressure levels; Timber structures; Timber-concrete composites; Laminating; Sound insulation</t>
  </si>
  <si>
    <t>K. Yue; College of Civil Engineering, Nanjing Tech University, Nanjing, 211800, China; email: yuekong@njtech.edu.cn</t>
  </si>
  <si>
    <t>2-s2.0-105008283625</t>
  </si>
  <si>
    <t>Ren H.; Bahrami A.; Cehlin M.; Wallhagen M.</t>
  </si>
  <si>
    <t>58508037500; 57197657593; 12786288600; 36706721900</t>
  </si>
  <si>
    <t>Flexural Behavior of Cross-Laminated Timber Panels with Environmentally Friendly Timber Edge Connections</t>
  </si>
  <si>
    <t>10.3390/buildings14051455</t>
  </si>
  <si>
    <t>https://www.scopus.com/pages/publications/85194182499?origin=resultslist</t>
  </si>
  <si>
    <t>Ren H., Department of Building Engineering, Energy Systems and Sustainability Science, Faculty of Engineering and Sustainable Development, University of Gävle, Gävle, 801 76, Sweden; Bahrami A., Department of Building Engineering, Energy Systems and Sustainability Science, Faculty of Engineering and Sustainable Development, University of Gävle, Gävle, 801 76, Sweden; Cehlin M., Department of Building Engineering, Energy Systems and Sustainability Science, Faculty of Engineering and Sustainable Development, University of Gävle, Gävle, 801 76, Sweden; Wallhagen M., Department of Building Engineering, Energy Systems and Sustainability Science, Faculty of Engineering and Sustainable Development, University of Gävle, Gävle, 801 76, Sweden</t>
  </si>
  <si>
    <t>As a sustainable construction material, timber is more promoted than steel, concrete, and aluminum nowadays. The building industry benefits from using timber based on several perspectives, including decarbonization, improved energy efficiency, and easier recycling and disposal processes. The cross-laminated timber (CLT) panel is one of the widely utilized engineered wood products in construction for floors, which is an ideal alternative option for replacing reinforced concrete. One single CLT panel has an outstanding flexural behavior. However, CLT cannot be extended independently without external connections, which are normally made of steel. This article proposes two innovative adhesive-free edge connections made of timber, the double surface (DS) and half-lapped (HL) connections. These connections were designed to connect two CLT panels along their weak direction. Parametric studies consisting of twenty models were conducted on the proposed edge connections to investigate the effects of different factors and the flexural behavior of CLT panels with these edge connections under a four-point bending test. Numerical simulations of all the models were done in the current study by using ABAQUS 2022. Furthermore, the employed material properties and other relevant inputs (VUSDFLD subroutines, time steps, meshes, etc.) of the numerical models were validated through existing experiments. The results demonstrated that the maximum and minimum load capacities among the studied models were 6.23 kN and 0.35 kN, respectively. The load–displacement responses, strain, stress, and defection distributions were collected and analyzed, as well as their failure modes. It was revealed that the CLT panels’ load capacity was distinctly improved due to the increment of the connectors’ number (55.05%) and horizontal length (80.81%), which also reinforced the stability. Based on the findings, it was indicated that adhesive-free timber connections could be used for CLT panels in buildings and replace traditional construction materials, having profound potential for improving buildings’ sustainability and energy efficiency. © 2024 by the authors.</t>
  </si>
  <si>
    <t>adhesive-free edge connection; cross-laminated timber; finite element method; flexural behavior; load capacity; VUSDFLD subroutine</t>
  </si>
  <si>
    <t>Adhesives; Construction industry; Energy efficiency; Finite element method; Laminating; Numerical models; Reinforced concrete; Sustainable development; Wood products; Adhesive-free edge connection; Cross laminated; Cross-laminated timber; Edge connections; Flexural behavior; Free edge; Laminated timber; Load capacity; Sustainable construction; VUSDFLD subroutine; Timber</t>
  </si>
  <si>
    <t>2-s2.0-85194182499</t>
  </si>
  <si>
    <t>Yan L.; Chen H.; Dand J.A.</t>
  </si>
  <si>
    <t>55461222400; 59049537700; 57365130800</t>
  </si>
  <si>
    <t>High-rise timber buildings: Benchmarks in structural systems, fire safety, prefabrication efficiency and environmental insights of world's 10 tallest completed mass timber projects</t>
  </si>
  <si>
    <t>Frontiers of Architectural Research</t>
  </si>
  <si>
    <t>10.1016/j.foar.2025.10.012</t>
  </si>
  <si>
    <t>https://www.scopus.com/pages/publications/105029968900?origin=resultslist</t>
  </si>
  <si>
    <t>Fraunhofer Institute for Wood Research Wilhelm-Klauditz-Institut WKI, Braunschweig, 38108, Germany; Department of Organic and Wood-Based Construction Materials, Institute for Building Materials, Concrete Construction and Fire Safety, Technische Universität Braunschweig, Braunschweig, 38102, Germany</t>
  </si>
  <si>
    <t>Yan L., Fraunhofer Institute for Wood Research Wilhelm-Klauditz-Institut WKI, Braunschweig, 38108, Germany, Department of Organic and Wood-Based Construction Materials, Institute for Building Materials, Concrete Construction and Fire Safety, Technische Universität Braunschweig, Braunschweig, 38102, Germany; Chen H., Department of Organic and Wood-Based Construction Materials, Institute for Building Materials, Concrete Construction and Fire Safety, Technische Universität Braunschweig, Braunschweig, 38102, Germany; Dand J.A., Department of Organic and Wood-Based Construction Materials, Institute for Building Materials, Concrete Construction and Fire Safety, Technische Universität Braunschweig, Braunschweig, 38102, Germany</t>
  </si>
  <si>
    <t>This study provides a systematic comparative overview of the world's 10 tallest completed timber buildings, moving beyond descriptive reports to establish a synthesized framework of benchmarks for structural systems, material specifications, fire safety, and environmental performance. It shows that hybrid timber–concrete systems with reinforced concrete (RC) cores dominate current practice, but pioneering timber-dominant solutions, such as glulam trusses and CLT shear walls, signal a gradual shift toward greater structural autonomy. From a material perspective, glulam columns typically range between 0.4 m and 1.0 m and CLT floor panels between 160 and 240 mm, while high-strength glulam grades (GL28–GL32) and C24 CLT emerge as consistent global standards, reflecting the growing maturity of design codes. It also reveals that fire safety in tall timber buildings is achieved through three principal strategies: encapsulation systems, oversized timber structural members with sacrificial charring, and hybrid RC–timber solutions. The tallest timber buildings demonstrate that performance-based validation can achieve two-to-three hour fire ratings, highlighting both the technical feasibility and the regulatory trade-offs of fire-safe timber design. For architects, engineers, and policymakers, the study provides practical reference points that clarify current feasibility, highlight emerging trends, and support the integration of tall timber construction into urban development. © 2025 The Authors. Published by Elsevier Ltd. This is an open access article under the CC BY-NC-ND license. http://creativecommons.org/licenses/by-nc-nd/4.0/</t>
  </si>
  <si>
    <t>Carbon storage; Engineered wood products; Fire safety strategies; Hybrid timber–concrete systems; Mass timber construction; Structural benchmarks; Sustainable urban development; Tall timber buildings</t>
  </si>
  <si>
    <t>Benchmarking; Environmental management; Fire protection; Fires; Product design; Reinforced concrete; Structural design; Timber; Urban growth; Wood products; Wooden buildings; Wooden construction; Carbon storage; Concrete system; Engineered wood products; Fire safety; Fire safety strategy; Hybrid timber–concrete system; Mass timber construction; Safety strategy; Structural benchmark; Sustainable urban development; Tall timber building; Timber buildings; Timber construction; Timber-concrete; Economic and social effects</t>
  </si>
  <si>
    <t>L. Yan; Fraunhofer Institute for Wood Research Wilhelm-Klauditz-Institut WKI, Braunschweig, 38108, Germany; email: l.yan@tu-braunschweig.de</t>
  </si>
  <si>
    <t>KeAi Communications Co.</t>
  </si>
  <si>
    <t>Front. Archit. Res.</t>
  </si>
  <si>
    <t>Article in press</t>
  </si>
  <si>
    <t>2-s2.0-105029968900</t>
  </si>
  <si>
    <t>Chen Z.; Dagenais C.; Tung D.; Wu T.; Gaglione M.</t>
  </si>
  <si>
    <t>57193127543; 59264726600; 8634554800; 59395685800; 59395763100</t>
  </si>
  <si>
    <t>Fire Testing and Modeling of a Novel Hybrid Timber Floor System</t>
  </si>
  <si>
    <t>10.1061/JSENDH.STENG-13554</t>
  </si>
  <si>
    <t>https://www.scopus.com/pages/publications/85208169947?origin=resultslist</t>
  </si>
  <si>
    <t>FPInnovations, 2665 East Mall, Vancouver, V6T 1Z4, BC, Canada; FPInnovations, 1055, rue du P.E.P.S., Quebec City, G1V 4C7, QC, Canada; DIALOG, 611 Alexander St., Vancouver, V6A 1E1, BC, Canada; Construction Services, EllisDon, 3050 Lawrence Ave. E, Toronto, M1P 2V5, ON, Canada</t>
  </si>
  <si>
    <t>Chen Z., FPInnovations, 2665 East Mall, Vancouver, V6T 1Z4, BC, Canada; Dagenais C., FPInnovations, 1055, rue du P.E.P.S., Quebec City, G1V 4C7, QC, Canada; Tung D., FPInnovations, 2665 East Mall, Vancouver, V6T 1Z4, BC, Canada; Wu T., DIALOG, 611 Alexander St., Vancouver, V6A 1E1, BC, Canada; Gaglione M., Construction Services, EllisDon, 3050 Lawrence Ave. E, Toronto, M1P 2V5, ON, Canada</t>
  </si>
  <si>
    <t>To maximize the amount of carbon-sequestering mass timber and demonstrate the potential for mass timber across a range of building types and scales, DIALOG and EllisDon have developed a hybrid timber floor system (HTFS) that is composed of post-tensioned (PT) concrete beams, cross laminated timber (CLT) panels, and concrete topping connected to each other through self-tapping screws and kerf plates. This paper presents the fire performance of this novel HTFS through a combination of testing and modeling. Two mid-span sectional specimens of HTFS without concrete topping were exposed to the standard fire of CAN/ULC S101. The char depth and char rate of CLT were measured, and the temperature at specific locations were recorded to verify the design and the developed advanced finite element models. Advanced 2D models were developed to investigate the influence of steel properties and the effect from concrete spalling, and the modeling approach adopted in the refined 3D model. The developed models can estimate the char depth with difference less than 5%, and the temperature in reinforcing bars, PT duct, and concrete comparable to the average of the test results. The experimental and simulation results give an insight into the fire performance of this novel HTFS. © 2024 This work is made available under the terms of the Creative Commons Attribution 4.0 International license,.</t>
  </si>
  <si>
    <t>Fire performance; Floor systems; Hybrid systems; Modeling; Post-tensioned mass timber; Testing; Timber structures</t>
  </si>
  <si>
    <t>Flammability testing; Tensile testing; Timber; Wooden buildings; Wooden floors; Cross laminated; Fire performance; Floor systems; Laminated timber; Modeling; Post tensioned; Post-tensioned mass timber; Testing and modeling; Timber floors; Timber structures; Concrete beams and girders</t>
  </si>
  <si>
    <t>Z. Chen; FPInnovations, Vancouver, 2665 East Mall, V6T 1Z4, Canada; email: zhiyong.chen@fpinnovations.ca</t>
  </si>
  <si>
    <t>2-s2.0-85208169947</t>
  </si>
  <si>
    <t>Nguyen T.-T.; Sorelli L.; Blanchet P.</t>
  </si>
  <si>
    <t>57218163186; 8833588000; 7102260600</t>
  </si>
  <si>
    <t>Composite slab floors made of cross laminated timber and ultra high-performance concrete: Early-age deflection, stripping time, and its implication on the structural performances</t>
  </si>
  <si>
    <t>10.1016/j.engstruct.2023.116810</t>
  </si>
  <si>
    <t>https://www.scopus.com/pages/publications/85170557295?origin=resultslist</t>
  </si>
  <si>
    <t>Department of Civil and Water Engineering, Laval University, Canada; Department of Wood and Forest Sciences, Laval University, Canada</t>
  </si>
  <si>
    <t>Nguyen T.-T., Department of Civil and Water Engineering, Laval University, Canada; Sorelli L., Department of Civil and Water Engineering, Laval University, Canada; Blanchet P., Department of Wood and Forest Sciences, Laval University, Canada</t>
  </si>
  <si>
    <t>Timber-Concrete Composite floors made of Cross-Laminated Timber (CLT) and Ultra-High-Performance Concrete (UHPC) boast remarkable efficiency in lightweight and slenderness. While the rapid UHPC hardening facilitates swift construction, the optimal shoring time depends on the effect of the UHPC autogenous shrinkage on the floor deflection. This study aims to investigate the experimental deflection of CLT-UHPC floors at an early age without shoring and to develop a simplified model for predicting the optimal shoring time for TCC floors. An eco-friendly UHPC with recycled glass waste is considered in this study. Firstly, the evolution of its modulus of elasticity and compressive strength as well as the early-age shrinkage were experimentally characterized. Furthermore, the shear behavior of the notch connection was evaluated after 28 days, and it was estimated to be proportional to the stiffness of the concrete at an early age. Then, two TCC floors made of CLT-UHPC with a span of 3.6 m were cast and their deflection under the self-weight of fresh concrete was measured over the initial 28-day period in a simple supported configuration without the use of shoring. A simplified analytical model was developed to predict the TCC deflection at an early age by coupling an existing solution with the concept of Age-Adjusted Effective Modulus (AAEM). The model effectively predicted the experimental early-age deflection of the CLT-UHPC floor without the use of shoring. Finally, after 3 months, the TCC floors were tested under bending, showing a reduced structural stiffness of about 35 %, caused by concrete cracking due to restrained shrinkage. The parametric analysis with the developed analytical tool allowed for estimating the maximum span of CLT-UHPC floors without shoring or, for longer spans, the optimal time of shoring removal. This study offers valuable insights into the behavior of CLT-UHPC along, along with a robust analytical tool to optimize their design and construction of TCC floors. © 2023 Elsevier Ltd</t>
  </si>
  <si>
    <t>Autogenous shrinkage; Creep; Cross-laminated timber; Effective modulus; Multi-criteria design; Short-term deflection; Timber-concrete composite floor; Ultra-high-performance concrete</t>
  </si>
  <si>
    <t>Compressive strength; Concrete slabs; Deflection (structures); High performance concrete; Laminated composites; Laminating; Light weight concrete; Shrinkage; Stiffness; Timber; Autogenous shrinkage; Composite floors; Cross laminated; Cross-laminated timber; Effective moduli; Laminated timber; Multi-criteria designs; Short-term deflection; Timber-concrete composite floor; Timber-concrete composites; compressive strength; concrete; creep; elastic modulus; floor; multicriteria analysis; timber; Floors</t>
  </si>
  <si>
    <t>L. Sorelli; Department of Civil and Water Engineering, Laval University, Canada; email: luca.sorelli@gci.ulaval.ca</t>
  </si>
  <si>
    <t>2-s2.0-85170557295</t>
  </si>
  <si>
    <t>Caballero-Russi D.; Palacio-Betancur A.; Gutierrez Soto M.</t>
  </si>
  <si>
    <t>57355731000; 57202987284; 56301456200</t>
  </si>
  <si>
    <t>Comparison and Evaluation of Model-Based Optimal Sensor Placement Implementation: A Case Study of a Hybrid Cross-Laminated Timber and Steel Building</t>
  </si>
  <si>
    <t>Journal of Structural Design and Construction Practice</t>
  </si>
  <si>
    <t>10.1061/JSDCCC.SCENG-1663</t>
  </si>
  <si>
    <t>https://www.scopus.com/pages/publications/105017497829?origin=resultslist</t>
  </si>
  <si>
    <t>Dept. of Civil and Environmental Engineering, Pennsylvania State Univ., 212 Sackett Bldg., University Park, 16802, PA, United States</t>
  </si>
  <si>
    <t>Caballero-Russi D., Dept. of Civil and Environmental Engineering, Pennsylvania State Univ., 212 Sackett Bldg., University Park, 16802, PA, United States; Palacio-Betancur A., Dept. of Civil and Environmental Engineering, Pennsylvania State Univ., 212 Sackett Bldg., University Park, 16802, PA, United States; Gutierrez Soto M., Dept. of Civil and Environmental Engineering, Pennsylvania State Univ., 212 Sackett Bldg., University Park, 16802, PA, United States</t>
  </si>
  <si>
    <t>The construction industry has reshaped timber building practice into the integration of timber structures with other materials such as steel, termed hybrid timber-based structures, as an attractive, sustainable, and aesthetic solution. However, novel hybrid timber-based structures may require critical validation of design assumptions and structural dynamic performance. This paper conducts a study of model-based optimal sensor placement (OSP) implementation in which two OSP methods and six evaluation criteria are compared and evaluated to ensure the most significant dynamic information content by analyzing two comparison metrics for a resulting sensor configuration in the dynamic identification of a hybrid cross-laminated timber (CLT)-steel building with structural irregularities. The Engineering Design and Innovation building at The Pennsylvania State University is a rectangular 4-story hybrid building with moment-resisting steel frames and composite floors of reinforced concrete layer and CLT panels. For this case study, the OSP problem is a sensitive factor, motivated by the potential torsional effects of structural irregularities from the lateral force-resisting system during serviceability, in the capture of the most significant information content and identification of dynamic properties by a cost-effective structural health monitoring (SHM) strategy. The proposed investigation compares and examines the backward sequential sensor placement (BSSP) and genetic algorithm (GA) methods using different evaluation criteria to capture and maximize the most relevant dynamic information, evaluated by a Pareto analysis constructed based on the modal assurance criterion (MAC) trace and Fisher information matrix (FIM) determinant metrics simultaneously, for the numerical mode shape identification. The model-based OSP implementation plays a critical role in SHM applications, simplifying data collection and improving dynamic information quality for dynamic identification and damage detection in order to better comprehend the structural health condition and performance of existing civil infrastructure such as the hybrid mass timber-steel building presented.  © 2025 American Society of Civil Engineers.</t>
  </si>
  <si>
    <t>Architectural design; Construction industry; Cost effectiveness; Fisher information matrix; Floors; Hybrid materials; Reinforced concrete; Steel construction; Steel research; Structural dynamics; Structural health monitoring; Timber; Wooden buildings; Case-studies; Cross laminated; Dynamic information; Evaluation criteria; Laminated timber; Model-based OPC; Optimal sensor placement; Steel buildings; Structural health; Timber buildings; Damage detection</t>
  </si>
  <si>
    <t>M. Gutierrez Soto; Dept. of Civil and Environmental Engineering, Pennsylvania State Univ., University Park, 212 Sackett Bldg., 16802, United States; email: mvg5899@psu.edu</t>
  </si>
  <si>
    <t>J. Struct. Des. Constr. Pract.</t>
  </si>
  <si>
    <t>2-s2.0-105017497829</t>
  </si>
  <si>
    <t>Pang S.-J.; Lee H.-J.; Ha Y.-S.; Kim C.-K.; Chang J.-H.; Cho H.-J.; Lee S.-J.</t>
  </si>
  <si>
    <t>42361604600; 58666639800; 58667105900; 55509241400; 55716809100; 59418966100; 57207065224</t>
  </si>
  <si>
    <t>Effect of Concrete Thickness and Expanded Polystyrene Layer on Stiffness and Floor Impact Sound Insulation Performance of Cross-Laminated Timber Slabs</t>
  </si>
  <si>
    <t xml:space="preserve">BioResources </t>
  </si>
  <si>
    <t>10.15376/biores.21.1.2101-2122</t>
  </si>
  <si>
    <t>https://www.scopus.com/pages/publications/105029086234?origin=resultslist</t>
  </si>
  <si>
    <t>Department of Wood Science and Engineering, Chonnam National University, Gwangju, South Korea; Fire Insurers Laboratories of Korea, Yeoju-si, South Korea; Korea Institute of Civil Engineering and Building Technology, Goyang-si, South Korea; National Institute of Forest Science, Seoul, South Korea; VizWave Inc., Gyeonggi-do, Seongnam-si, South Korea</t>
  </si>
  <si>
    <t>Pang S.-J., Department of Wood Science and Engineering, Chonnam National University, Gwangju, South Korea; Lee H.-J., Fire Insurers Laboratories of Korea, Yeoju-si, South Korea; Ha Y.-S., Korea Institute of Civil Engineering and Building Technology, Goyang-si, South Korea; Kim C.-K., National Institute of Forest Science, Seoul, South Korea; Chang J.-H., VizWave Inc., Gyeonggi-do, Seongnam-si, South Korea; Cho H.-J., Department of Wood Science and Engineering, Chonnam National University, Gwangju, South Korea; Lee S.-J., National Institute of Forest Science, Seoul, South Korea</t>
  </si>
  <si>
    <t>Effects of an expanded polystyrene (EPS) layer and varying precast concrete thickness were investigated relative to the stiffness and acoustic performance of cross-laminated timber (CLT) slabs. Six different concrete thicknesses and EPS layers were applied to larch and pine CLT slabs for testing. Airborne sound transmission loss (Dw) was measured using speakers, light impact sound (LnT,w) using a tapping machine, and heavy impact sound (LiA,Fmax) using rubber balls, in accordance with KS F ISO717-2. The results indicated that the EPS layer significantly improved light impact sound insulation (by 8 dB) and airborne noise insulation (by 5 dB), but had a minimal effect on heavy impact sound (0.5 dB). Both stiffness and sound insulation increased with concrete thickness, although improvement plateaued beyond 100 mm for larch CLT and 150 mm for pine CLT. The flexural and impact stiffness of larch CLT slabs were 24.3% and 19.2% higher than those of pine CLT slabs, respectively. Moreover, impact stiffness had a stronger correlation with acoustic performance than the previously established relationship with area density. © 2026, North Carolina State University. All rights reserved.</t>
  </si>
  <si>
    <t>Airborne sound; Cross-laminated timber; Expanded polystyrene; Floor impact sound; Stiffness</t>
  </si>
  <si>
    <t>Acoustic Insulation; Concrete; Floors; Impact; Lamination; Noise; Slabs; Stiffness; Acoustic noise; Acoustic noise measurement; Acoustic wave transmission; Architectural acoustics; Concrete slabs; Concrete testing; Floors; Laminating; Sound insulating materials; Sound insulation; Timber; Acoustic performance; Airborne sound; Concrete thickness; Cross laminated; Cross-laminated timber; Expanded polystyrene; Floor-impact sound; Impact sound; Impact sound insulation; Laminated timber; Stiffness</t>
  </si>
  <si>
    <t>S.-J. Lee; National Institute of Forest Science, Seoul, South Korea; email: lsjoon@korea.kr</t>
  </si>
  <si>
    <t>North Carolina State University</t>
  </si>
  <si>
    <t>BioResour.</t>
  </si>
  <si>
    <t>2-s2.0-105029086234</t>
  </si>
  <si>
    <t>Yamauchi T.; Hiramitsu A.; Hirakawa S.</t>
  </si>
  <si>
    <t>57205288158; 36499616500; 56637881700</t>
  </si>
  <si>
    <t>Effect of ceiling and dry-type double floor on heavy-weight floor impact sound in concrete building and CLT building</t>
  </si>
  <si>
    <t>Proceedings of INTER-NOISE 2021 - 2021 International Congress and Exposition of Noise Control Engineering</t>
  </si>
  <si>
    <t>10.3397/IN2021-2298</t>
  </si>
  <si>
    <t>https://www.scopus.com/pages/publications/85117368324?origin=resultslist</t>
  </si>
  <si>
    <t>Research and Development Center, Toda Corporation, 315, Kaname,Ibaraki, Tsukuba-City, 300-2622, Japan; Doctoral Program in Design, University of Tsukuba, 1-1-1, Tennodai, Tsukuba-City, 305-8574, Japan; Equipment Standards Division, Building Department, National Institute for Land and Infrastructure Management, 1, Tachihara,, Ibaraki, Tsukuba-City, 305-0802, Japan; Faculty of Art and Design, University of Tsukuba, 1-1-1, Tennodai Ibaraki, Tsukuba-City, 305-8574, Japan; Department of Environmental Engineering, Building Research Institute, 1, Tachihara Ibaraki, Tsukuba-City, 305-0802, Japan</t>
  </si>
  <si>
    <t>Yamauchi T., Research and Development Center, Toda Corporation, 315, Kaname,Ibaraki, Tsukuba-City, 300-2622, Japan, Doctoral Program in Design, University of Tsukuba, 1-1-1, Tennodai, Tsukuba-City, 305-8574, Japan; Hiramitsu A., Equipment Standards Division, Building Department, National Institute for Land and Infrastructure Management, 1, Tachihara,, Ibaraki, Tsukuba-City, 305-0802, Japan, Faculty of Art and Design, University of Tsukuba, 1-1-1, Tennodai Ibaraki, Tsukuba-City, 305-8574, Japan; Hirakawa S., Department of Environmental Engineering, Building Research Institute, 1, Tachihara Ibaraki, Tsukuba-City, 305-0802, Japan</t>
  </si>
  <si>
    <t>The air layer between the interior finishes and the structure is used as piping and wiring space. In many cases, ceilings and dry-type double floors are commonly constructed in Japan. However, the effect of ceilings and dry-type double floors on the heavy-weight floor impact sound insulation performance has not yet quantitatively studied. Therefore, in this paper, the same ceiling and floor structures were constructed for concrete and CLT (Cross Laminated Timber) buildings, and the heavyweight floor impact sound was investigated. As results, it was confirmed that the reduction amount of the heavy-weight floor impact sound by the ceiling tended to be smaller in CLT building than in concrete building. However, the trends were similar. Due to the dry-type double floor structure, the heavy-weight floor impact sound level was increased in concrete building and decreased in CLT building at 63 Hz in the octave band center frequency band. Therefore, it can be said that the dry-type double floor structure can be used to improve the heavy-weight floor impact sound insulation performance in the CLT building. © INTER-NOISE 2021 .All right reserved.</t>
  </si>
  <si>
    <t>Concretes; Floors; Sound insulation; % reductions; Air layers; Cross laminated; Dry types; Floor structures; Heavy-weight floor impact sounds; Impact sound insulation; Laminated timber; Sound insulation performance; Timber buildings; Ceilings</t>
  </si>
  <si>
    <t>Dare T.; Bolton S.; Davies P.; Xue Y.; Ebbitt G.</t>
  </si>
  <si>
    <t>978-173259865-2</t>
  </si>
  <si>
    <t>Proc. INTER-NOISE - Int. Congr. Expos. Noise Control Eng.</t>
  </si>
  <si>
    <t>2-s2.0-85117368324</t>
  </si>
  <si>
    <t>Murphy B.A.; Smallwood J.J.</t>
  </si>
  <si>
    <t>59300204600; 55134643100</t>
  </si>
  <si>
    <t>Cross-Laminated Timber (CLT) as an Alternative Building Material in South Africa: Awareness and Perceptions</t>
  </si>
  <si>
    <t>Lecture Notes in Mechanical Engineering</t>
  </si>
  <si>
    <t>10.1007/978-3-031-56878-7_15</t>
  </si>
  <si>
    <t>https://www.scopus.com/pages/publications/85202158212?origin=resultslist</t>
  </si>
  <si>
    <t>Department of Construction Management, Nelson Mandela University, Gqeberha, South Africa</t>
  </si>
  <si>
    <t>Murphy B.A., Department of Construction Management, Nelson Mandela University, Gqeberha, South Africa; Smallwood J.J., Department of Construction Management, Nelson Mandela University, Gqeberha, South Africa</t>
  </si>
  <si>
    <t>The construction industry continues to manufacture traditional construction materials such as bricks, concrete, and steel, resulting in large volumes of green-house gases (GHGs) which contribute to climate change through global warming. Consequently, the need for alternative and sustainable construction materials is amplified. Cross-laminated timber (CLT) constitutes one such alternative. CLT is a prefabricated solid engineered wood panel made of at least three orthogonally bonded layers of solid-sawn lumber or structural composite lumber (SCL) that are laminated by gluing of longitudinal and transverse layers with structural adhesives to form a solid rectangular-shaped, straight, and plane timber intended for roof, floor, or wall applications. The study reported on adopted the qualitative method, which entailed interviews with a range of built environment practitioners that have had exposure to CLT. The study aimed to determine the viability and feasibility of CLT as an alternative, sustainable building material to substitute traditional building materials. Findings include a range of barriers exist in terms of the adoption of CLT construction in South Africa, namely perceptions with respect to ‘timber’ construction, limited design and construction expertise, and the initial cost of CLT construction. Conclusions include: a low level of awareness and knowledge relative to CLT; negative perceptions of ‘timber’ construction needs to be countered, and CLT design and construction expertise need to be developed. Recommendations include: CLT design and construction should be embedded in all tertiary built environment education programmes; industry craft training should include CLT construction, and the built environment should consider ‘timber’ as an alternative to traditional masonry construction. © The Author(s), under exclusive license to Springer Nature Switzerland AG 2024.</t>
  </si>
  <si>
    <t>Construction; Cross-laminated timber; Sustainability; Timber</t>
  </si>
  <si>
    <t>Concrete industry; Laminated composites; Lumber; Mortar; Walls (structural partitions); Alternative building materials; Built environment; Cross laminated; Cross-laminated timber; Design and construction; Laminated timber; South Africa; Timber construction; Timber design; Traditional Construction Materials; Timber</t>
  </si>
  <si>
    <t>J.J. Smallwood; Department of Construction Management, Nelson Mandela University, Gqeberha, South Africa; email: john.smallwood@mandela.ac.za</t>
  </si>
  <si>
    <t>Rotimi J.O.B.; Shahzad W.M.; Sutrisna M.; Kahandawa R.</t>
  </si>
  <si>
    <t>978-303156877-0</t>
  </si>
  <si>
    <t>Lect. Notes Mech. Eng.</t>
  </si>
  <si>
    <t>2-s2.0-85202158212</t>
  </si>
  <si>
    <t>Bertolazzi A.; Campagnola M.; Croatto G.; Turrini U.; Santi G.</t>
  </si>
  <si>
    <t>57189873339; 57206260235; 57189869691; 57189869482; 57204722117</t>
  </si>
  <si>
    <t>Building Upward: Methodological Approach to Defining Criteria and Guidelines for Interventions for Italian Post-War Housing Refurbishment in a Seismic Area</t>
  </si>
  <si>
    <t>10.1061/(ASCE)AE.1943-5568.0000352</t>
  </si>
  <si>
    <t>https://www.scopus.com/pages/publications/85061673152?origin=resultslist</t>
  </si>
  <si>
    <t>Dept. of Civil, Environmental, and Architectural Engineering, Univ. of Padova, Padova, 35131, Italy; Dept. of Energy Systems, Territory, and Construction Engineering, Univ. of Pisa, Pisa, 56126, Italy</t>
  </si>
  <si>
    <t>Bertolazzi A., Dept. of Civil, Environmental, and Architectural Engineering, Univ. of Padova, Padova, 35131, Italy; Campagnola M., Dept. of Civil, Environmental, and Architectural Engineering, Univ. of Padova, Padova, 35131, Italy; Croatto G., Dept. of Civil, Environmental, and Architectural Engineering, Univ. of Padova, Padova, 35131, Italy; Turrini U., Dept. of Civil, Environmental, and Architectural Engineering, Univ. of Padova, Padova, 35131, Italy; Santi G., Dept. of Energy Systems, Territory, and Construction Engineering, Univ. of Pisa, Pisa, 56126, Italy</t>
  </si>
  <si>
    <t xml:space="preserve">                             Refurbishment of existing buildings, in order to reduce environmental impact, both in terms of land take and CO                             2                              emissions, must be one of the priorities of the whole building sector. Quantitatively, residential housing built in 1950-1990 accounts for the highest energy consumption, since its low-quality technology has caused its swift material and performance-related decay (not to mention social and urban), as reported in 2011 by the Building Performance Institute Europe (BPIE). In Italy, the earthquakes in Umbria and Marche (1997), Abruzzo (2009), Emilia (2012), and Lazio (2016) made it imperative to resort to seismic risk prevention, before the energy-consumption analysis. The paper presents the first results of the research concerning methodologies and qualitative analyses, whose objects have been twofold: (1) identifying the criteria and guidelines of intervention when adding floors, paying particular attention to construction-related and structural aspects within the seismic analysis; and (2) testing such criteria through one case study, namely a 1970s Azienda Territoriale Edilizia Residenziale (ATER) social housing building in Rovigo. The analysis of the building and its modeling through ad hoc software (Revit and Midas) has determined a first evaluation of its feasibility in a digital environment, analyzing the building's structural behavior under seismic action before and after the intervention - besides while work was in progress - underlining the potentialities and drawbacks that adding floors implies.                          © 2019 American Society of Civil Engineers.</t>
  </si>
  <si>
    <t>Cross-laminated timber (CLT); Floor addition; Refurbishment; Reinforced-concrete frame; Seismic risk</t>
  </si>
  <si>
    <t>Earthquakes; Environmental impact; Floors; Housing; Reinforced concrete; Risk assessment; Cross laminated; Energy consumption analysis; Methodological approach; Refurbishment; Reinforced concrete frames; Seismic risk; Social housing buildings; Structural behaviors; Energy utilization</t>
  </si>
  <si>
    <t>A. Bertolazzi; Dept. of Civil, Environmental, and Architectural Engineering, Univ. of Padova, Padova, 35131, Italy; email: angelo.bertolazzi@unipd.it</t>
  </si>
  <si>
    <t>2-s2.0-85061673152</t>
  </si>
  <si>
    <t>Kadono D.; Uesugi S.; Murakami K.</t>
  </si>
  <si>
    <t>57304480400; 58591743800; 57202727202</t>
  </si>
  <si>
    <t>Structural Design of School Building Fully Constructed of CLT and Technical Development of Flat Slab and Seismic Wall Using CLT</t>
  </si>
  <si>
    <t>10.1088/1755-1315/1582/1/012098</t>
  </si>
  <si>
    <t>https://www.scopus.com/pages/publications/105034169962?origin=resultslist</t>
  </si>
  <si>
    <t>Nikken Sekkei Ltd., Tokyo, Japan</t>
  </si>
  <si>
    <t>Kadono D., Nikken Sekkei Ltd., Tokyo, Japan; Uesugi S., Nikken Sekkei Ltd., Tokyo, Japan; Murakami K., Nikken Sekkei Ltd., Tokyo, Japan</t>
  </si>
  <si>
    <t>The structural design of The West Wing of Showa-Gakuin Elementary School is explained. The building is a two-story wooden building with floors, walls, roof, and stairs fully constructed of Cross Laminated Timber (CLT). Using CLT for the floor and roof, no beams are installed in the room, which maximizes the effective height within the limited height, and the continuity of the ceiling surface with exposed wood surfaces is achieved. CLT walls supporting the building are high-strength, high-toughness seismic walls with Glued in Rod (GIR) construction at the joints. The building's embodied carbon is estimated to be approximately 29% less than reinforced concrete construction. We have verified the performance of the CLT floor slab, and the results are to be reported. The CLT wall applied to this building has undergone full-scale tests and further improvements, and these developments are also explained. © Published under licence by IOP Publishing Ltd.</t>
  </si>
  <si>
    <t>D. Kadono; Nikken Sekkei Ltd., Tokyo, Japan; email: kadono.daisuke@nikken.jp</t>
  </si>
  <si>
    <t>2-s2.0-105034169962</t>
  </si>
  <si>
    <t>Mirdad M.A.H.; Chui Y.H.; Tomlinson D.</t>
  </si>
  <si>
    <t>57190062072; 7004982369; 55865396400</t>
  </si>
  <si>
    <t>Capacity and Failure-Mode Prediction of Mass Timber Panel-Concrete Composite Floor System with Mechanical Connectors</t>
  </si>
  <si>
    <t>10.1061/(ASCE)ST.1943-541X.0002909</t>
  </si>
  <si>
    <t>https://www.scopus.com/pages/publications/85097349944?origin=resultslist</t>
  </si>
  <si>
    <t>Dept. of Civil and Environmental Engineering, Donadeo Innovation Centre for Engineering, Univ. of Alberta, Edmonton, T6G 1H9, AB, Canada; Nat. Sci. and Eng. Res. Cncl. of Canada Indust. Res. Chair in Engineered Wood and Building Systems, Dept. of Civil and Environmental Engineering, Donadeo Innovation Centre for Engineering, Univ. of Alberta, Edmonton, T6G 1H9, AB, Canada</t>
  </si>
  <si>
    <t>Mirdad M.A.H., Dept. of Civil and Environmental Engineering, Donadeo Innovation Centre for Engineering, Univ. of Alberta, Edmonton, T6G 1H9, AB, Canada; Chui Y.H., Nat. Sci. and Eng. Res. Cncl. of Canada Indust. Res. Chair in Engineered Wood and Building Systems, Dept. of Civil and Environmental Engineering, Donadeo Innovation Centre for Engineering, Univ. of Alberta, Edmonton, T6G 1H9, AB, Canada; Tomlinson D., Dept. of Civil and Environmental Engineering, Donadeo Innovation Centre for Engineering, Univ. of Alberta, Edmonton, T6G 1H9, AB, Canada</t>
  </si>
  <si>
    <t>Lack of design standards and guidelines is the most important barrier limiting widespread use of mass timber panel-concrete (MTPC) composite floor systems, a preferred choice by designers in modern multistory mass timber construction. The commonly used Gamma method of designing timber-concrete composite floors has some limitations and cannot predict the load-carrying capacity and failure modes of composite floor systems. Therefore, an analytical model was developed considering the interlayer connector behavior under the elastic-plastic range along with an acoustic layer between timber and concrete, to accurately predict the capacity and failure modes of MTPC composite floor system. One-way acting composite floor panels were tested under four-point bending with different configurations to investigate the influence of different parameters and to validate the developed capacity prediction model. It was found that the model can predict the capacity of the MTPC composite system within 17% of the experimental value and the associated failure mode. This developed capacity prediction model for MTPC composite floors will facilitate the use of these system in mass timber construction. © 2020 American Society of Civil Engineers.</t>
  </si>
  <si>
    <t>Acoustic layer; Cross-laminated timber (CLT); Four-point bending; Glued laminated timber (GLT); Inclined screws; One-way action; Timber-concrete composite floor</t>
  </si>
  <si>
    <t>Concrete slabs; Elastoplasticity; Failure modes; Floors; Forecasting; Predictive analytics; Timber; Wooden construction; Capacity prediction; Composite floor systems; Concrete composites; Elastic-plastic range; Experimental values; Four point bending; Timber construction; Timber-concrete composites; Failure (mechanical)</t>
  </si>
  <si>
    <t>M.A.H. Mirdad; Dept. of Civil and Environmental Engineering, Donadeo Innovation Centre for Engineering, Univ. of Alberta, Edmonton, T6G 1H9, Canada; email: mdabdul@ualberta.ca</t>
  </si>
  <si>
    <t>2-s2.0-85097349944</t>
  </si>
  <si>
    <t>Martín-Gutiérrez E.; Suárez-Riestra F.; Otero-Chans D.</t>
  </si>
  <si>
    <t>6506800563; 56964307300; 24338948800</t>
  </si>
  <si>
    <t>Flexural behaviour of an innovative cross-laminated timber-concrete composite structural flooring system</t>
  </si>
  <si>
    <t>10.1016/j.istruc.2026.111857</t>
  </si>
  <si>
    <t>https://www.scopus.com/pages/publications/105036253240?origin=resultslist</t>
  </si>
  <si>
    <t>University of A Coruña, Higher Technical University College of Architecture, Center for Technological Innovation in Construction and Civil Engineering (CITEEC), Campus de Elviña, A Coruña, 15071, Spain</t>
  </si>
  <si>
    <t>Martín-Gutiérrez E., University of A Coruña, Higher Technical University College of Architecture, Center for Technological Innovation in Construction and Civil Engineering (CITEEC), Campus de Elviña, A Coruña, 15071, Spain; Suárez-Riestra F., University of A Coruña, Higher Technical University College of Architecture, Center for Technological Innovation in Construction and Civil Engineering (CITEEC), Campus de Elviña, A Coruña, 15071, Spain; Otero-Chans D., University of A Coruña, Higher Technical University College of Architecture, Center for Technological Innovation in Construction and Civil Engineering (CITEEC), Campus de Elviña, A Coruña, 15071, Spain</t>
  </si>
  <si>
    <t>Timber-Concrete Composite (TCC) systems are one of the most interesting strategies for slab construction, both for structural performance and environmental considerations. In the latter sense, some research proposed the use of recycled aggregates and locally sourced timber, as well as the reduction of adhesive consumption. This paper analyses the performance of a TCC system in which the timber-concrete connection is achieved by drilling holes in the web, the concrete contains 20% recycled aggregates, and Cross-Laminated Timber (CLT) made from locally source timber is used. Four-point bending tests were developed with a span of 6 m and a height to span ratio of 1/20. In addition, 3D FEM models were calibrated with the experimental results, and used for a better understanding of the failure modes. The samples showed a strength between 4.22 and 4.83 times that required for loads of public use. Furthermore, in service situation they showed a stiffness that amply satisfies the usual regulatory requirements, with deflections between 1/664 and 1/770 of the span. In addition, the ultimate deformation was found to be approximately 6.4 times the service deformation, suggesting sufficient ductility for use in building structures. © 2026 The Author(s). Published by Elsevier Ltd on behalf of Institution of Structural Engineers. This is an open access article under the CC BY-NC-ND license. http://creativecommons.org/licenses/by-nc-nd/4.0/</t>
  </si>
  <si>
    <t>Cross-laminated timber; Full-scale testing; Recycled aggregate concrete; Shear connection; Timber-concrete composite floors</t>
  </si>
  <si>
    <t>Adhesives; Concrete aggregates; Concrete slabs; Concrete testing; Laminated composites; Laminating; Recycling; Structural analysis; Timber; Wooden floors; Composite floors; Cross laminated; Cross-laminated timber; Full-scale testing; Laminated timber; Recycled aggregate concrete; Recycled aggregates; Shear connections; Timber-concrete composite floor; Timber-concrete composites; Bending tests</t>
  </si>
  <si>
    <t>E. Martín-Gutiérrez; University of A Coruña, Higher Technical University College of Architecture, Center for Technological Innovation in Construction and Civil Engineering (CITEEC), A Coruña, Campus de Elviña, 15071, Spain; email: emilio.martin@udc.es</t>
  </si>
  <si>
    <t>2-s2.0-105036253240</t>
  </si>
  <si>
    <t>Nguyen T.-T.; Sorelli L.; Wang X.</t>
  </si>
  <si>
    <t>57218163186; 8833588000; 57205472306</t>
  </si>
  <si>
    <t>Humidity exchange between CLT and UHPC slab in early age period</t>
  </si>
  <si>
    <t>https://www.scopus.com/pages/publications/85120751311?origin=resultslist</t>
  </si>
  <si>
    <t>Laval University, Canada</t>
  </si>
  <si>
    <t>Nguyen T.-T., Laval University, Canada; Sorelli L., Laval University, Canada; Wang X., Laval University, Canada</t>
  </si>
  <si>
    <t>A plastic insulation layer is used in timber-concrete composite (TCC) floors for preventing humidity exchange between timber and concrete However, the presence of this layer may affect the bond between the two materials and the ability to fill notch-type connectors with a negative effect on connection stiffness (K) and shear strength (VH). This issue is more critical for shallow notch connection in CLT slab. Furthermore, the plastic layer increases assembly time and represents a high indirect cost. As modern ultra-high performance concretes have less water content, this study aims at investigating the water exchange between cross-laminated timber (CLT) and fresh cast-in-place concrete for three classes of concretes: Normal concrete (NC), High-performance concrete (HPC), and Ultra-High-Performance Fiber-Reinforced Concrete (UHPFRC). Besides, different timber's humidity levels were investigated experimentally, and a simplified analytical model was developed for estimating the water amount in exchange for each test combination. The consequences of humidity change in material property were also evaluated. Based on the presented results, possible enhancements of current construction practice for TCC structures are recommended. © WCTE 2021. All rights reserved.</t>
  </si>
  <si>
    <t>CLT; Fresh concrete; Moisture content; Timber humidity change; Timber-concrete composite structure</t>
  </si>
  <si>
    <t>Cast in place concrete; Concrete slabs; High performance concrete; Reinforced concrete; Shear flow; Cross laminated; Cross-laminated timber; Early age; Fresh concrete; Humidity change; Insulation layers; Laminated timber; Timber humidity change; Timber-concrete composite structures; UHPC slab; Timber</t>
  </si>
  <si>
    <t>2-s2.0-85120751311</t>
  </si>
  <si>
    <t>Öncel M.; Kaymakcı A.; Mercimek Ö.; Mutlu E.O.; Anil Ö.; İşleyen Ü.K.</t>
  </si>
  <si>
    <t>57194146500; 55218067800; 57209223057; 57215544445; 6508251680; 57210595069</t>
  </si>
  <si>
    <t>The effects of lamella angle, timber type, and thermal treatment on flexural behavior of CLT panels</t>
  </si>
  <si>
    <t>Mechanics of Advanced Materials and Structures</t>
  </si>
  <si>
    <t>10.1080/15376494.2026.2641810</t>
  </si>
  <si>
    <t>https://www.scopus.com/pages/publications/105033848619?origin=resultslist</t>
  </si>
  <si>
    <t>Forest Industrial Engineering, Kastamonu University, Kastamonu, Turkey; Civil Engineering Department, Ankara University, Ankara, Turkey; Civil Engineering Department, Kırıkkale University, Kırıkkale, Turkey; Civil Engineering Department, Gazi University, Ankara, Turkey</t>
  </si>
  <si>
    <t>Öncel M., Forest Industrial Engineering, Kastamonu University, Kastamonu, Turkey; Kaymakcı A., Forest Industrial Engineering, Kastamonu University, Kastamonu, Turkey; Mercimek Ö., Civil Engineering Department, Ankara University, Ankara, Turkey; Mutlu E.O., Civil Engineering Department, Kırıkkale University, Kırıkkale, Turkey; Anil Ö., Civil Engineering Department, Gazi University, Ankara, Turkey; İşleyen Ü.K., Forest Industrial Engineering, Kastamonu University, Kastamonu, Turkey</t>
  </si>
  <si>
    <t>Building large-scale structural systems using engineered wooden components rather than solid wood has become possible. Wood has become more frequently used in structural systems in recent years. In recent years, it has become more common to use Cross Laminated Timber (CLT) panels made from laminated wooden components. Using shear wall components made from CLT panels has begun to gain popularity over panel wall systems made of common solid wood components. In standard-produced flooring systems, beams are covered with panels. Flooring systems can be manufactured using only CLT panels with less labor and material. CLT panel systems have become increasingly common in the last ten years. The advantages of these panels have allowed for the production of bigger, multi-story timber constructions. One-way floor elements composed of CLT panels were evaluated under a load of four-point bending to examine failure mechanisms, load-displacement behaviors, initial stiffness, displacement ductility ratios, and energy consumption capacities. The study aimed to determine the effects of several factors on the production of CLT panels, including the lamella angle, the type of wood, and the effect of thermal treatment on the wood. The effects of these variables on the bending behavior and overall performance of CLT panels were investigated. As a result of the study, the heat-treated CLT panel, manufactured from ash wood and with the middle layer positioned at a 45-degree angle to the outer layers, exhibited the best flexural behavior. In CLT panels, the ultimate load capacity, initial stiffness, energy dissipation capacity, and maximum strain measured from the tensile surface of the specimens with a 45° mid-layer angle were 56%, 35%, 90%, and 65% higher, respectively, than those with a 90° angle. The ultimate load capacity, initial stiffness, displacement ductility ratios, energy dissipation capacity, and maximum strain values of CLT panel specimens produced using ash wood were obtained to be 16%, 12%, 111%, 83%, and 16% higher, respectively, than those produced using yellow pine wood. ThermoWood heat-treated CLT panels exhibited ultimate load capacity, initial stiffness, displacement ductility ratios, energy dissipation capacities, and maximum strain values that were 84%, 190%, 225%, 109%, and 50% higher, respectively, than untreated CLT panels. Furthermore, ABAQUS finite element software was used to do numerical analyses on the CLT panel specimens that were put to the test as part of the study. The results obtained from the numerical analysis were compared with the experimental results, and it was evaluated to what extent the finite element models could model the behavior of CLT panels under the effect of bending load. When the results obtained from the numerical analysis study were examined, it was observed that the ultimate load capacity values of one-way unidirectional CLT panels were calculated successfully and in significant agreement with the experimental results. The average difference between the ultimate load capacity values obtained from the numerical analyses and the experimental results was calculated as 9%. © 2026 Taylor &amp; Francis Group, LLC.</t>
  </si>
  <si>
    <t>CLT panel; flexural behavior; lamella angle; thermal treatment; timber type</t>
  </si>
  <si>
    <t>Building materials; Ductility; Energy dissipation; Energy utilization; Failure (mechanical); Floors; Laminating; Stiffness; Tensile strength; Timber; Walls (structural partitions); Wood products; Wooden construction; Cross laminated; Cross laminated timber panel; Displacement ductility; Flexural behavior; Initial stiffness; Lamella angle; Laminated timber; Thermal; Timber type; Ultimate load capacity; Heat treatment</t>
  </si>
  <si>
    <t>Ö. Anil; Civil Engineering Department, Gazi University, Ankara, Turkey; email: oanil@gazi.edu.tr</t>
  </si>
  <si>
    <t>Mech. Adv. Mater. Struct.</t>
  </si>
  <si>
    <t>2-s2.0-105033848619</t>
  </si>
  <si>
    <t>Huzita T.; Sasaki T.; Araki S.; Kayo C.</t>
  </si>
  <si>
    <t>57204962702; 7407394908; 55510147800; 36986959800</t>
  </si>
  <si>
    <t>Life Cycle Regional Economic Impacts of Bridge Repair Using Cross-Laminated Timber Floor Slabs: A Case Study in Akita Prefecture, Japan</t>
  </si>
  <si>
    <t>10.3390/buildings12020158</t>
  </si>
  <si>
    <t>https://www.scopus.com/pages/publications/85124048931?origin=resultslist</t>
  </si>
  <si>
    <t>United Graduate School of Agricultural Science, Tokyo University of Agriculture and Technology, 3-5-8 Saiwai-cho, Fuchu, Tokyo, 183-8509, Japan; Research Faculty of Agriculture, Hokkaido University, Kita 9, Nishi 9, Kita-ku, Sapporo, 060-8589, Japan; Hattori Engineer Co., Ltd Shizuoka, 2-2-12 Miroku, Aoi-ku, Shizuoka, 420-0053, Japan; Institute of Agriculture, Tokyo University of Agriculture and Technology, 3-5-8 Saiwai-cho, Fuchu, Tokyo, 183-8509, Japan</t>
  </si>
  <si>
    <t>Huzita T., United Graduate School of Agricultural Science, Tokyo University of Agriculture and Technology, 3-5-8 Saiwai-cho, Fuchu, Tokyo, 183-8509, Japan; Sasaki T., Research Faculty of Agriculture, Hokkaido University, Kita 9, Nishi 9, Kita-ku, Sapporo, 060-8589, Japan; Araki S., Hattori Engineer Co., Ltd Shizuoka, 2-2-12 Miroku, Aoi-ku, Shizuoka, 420-0053, Japan; Kayo C., Institute of Agriculture, Tokyo University of Agriculture and Technology, 3-5-8 Saiwai-cho, Fuchu, Tokyo, 183-8509, Japan</t>
  </si>
  <si>
    <t>Recently, cross-laminated timber (CLT) has attracted attention as a civil engineering material in Japan. In particular, the use of CLT floor slabs for bridge repair is expected to have regional economic impacts throughout their life cycle, but their economic impacts have not been evaluated. In this study, the life cycle regional economic impacts of using non-waterproofed CLT, waterproofed CLT, and reinforced concrete (RC) floor slabs for bridge repair in Akita Prefecture, Japan, were compared. Using past-to-present input–output tables, we quantitatively evaluated the economic impacts over the life cycle of floor slabs by estimating the future input–output tables for construction, maintenance, and disposal. The results showed that the construction and maintenance costs (final demand increase) of CLT floor slabs are higher than those of RC slabs, but the regional economic impact is larger. In addition, the non-waterproofed CLT must be renewed every time it is maintained. Therefore, the demand for CLT production in the prefecture will increase, and the economic impact will be larger than that of the other two floor slabs. This demand for CLT production will not only redound to the benefit of the forestry and wood industry but also the revitalization of regional economies. © 2022 by the authors. Licensee MDPI, Basel, Switzerland.</t>
  </si>
  <si>
    <t>Cross-laminated timber; Floor slab; Forestry; Input–output analysis; Regional economic impact; Regional economy; Reinforced concrete; Timber civil engineering; Waterproofing; Wood industry</t>
  </si>
  <si>
    <t>T. Huzita; United Graduate School of Agricultural Science, Tokyo University of Agriculture and Technology, Fuchu, Tokyo, 3-5-8 Saiwai-cho, 183-8509, Japan; email: s195462r@st.me.tuat.ac.jp</t>
  </si>
  <si>
    <t>2-s2.0-85124048931</t>
  </si>
  <si>
    <t>Bahrami A.; Vall A.; Khalaf A.</t>
  </si>
  <si>
    <t>57197657593; 57279849800; 57278981600</t>
  </si>
  <si>
    <t>Comparison of cross-laminated timber and reinforced concrete floors with regard to load-bearing properties</t>
  </si>
  <si>
    <t>Civil Engineering and Architecture</t>
  </si>
  <si>
    <t>10.13189/CEA.2021.090513</t>
  </si>
  <si>
    <t>https://www.scopus.com/pages/publications/85116002741?origin=resultslist</t>
  </si>
  <si>
    <t>Bahrami A., Department of Building Engineering, Energy Systems and Sustainability Science, Faculty of Engineering and Sustainable Development, University of Gävle, Gävle, 801 76, Sweden; Vall A., Department of Building Engineering, Energy Systems and Sustainability Science, Faculty of Engineering and Sustainable Development, University of Gävle, Gävle, 801 76, Sweden; Khalaf A., Department of Building Engineering, Energy Systems and Sustainability Science, Faculty of Engineering and Sustainable Development, University of Gävle, Gävle, 801 76, Sweden</t>
  </si>
  <si>
    <t>Floors of a building with the relatively new and environmentally sustainable structural material as cross-laminated timber (CLT) and traditional reinforced concrete (RC) are compared in this paper with regard to their load-bearing properties. StruSoft FEM-Design software is utilised to model, analyse and design an existing building using the CLT and RC floors. The building has three stories with a penthouse on the top floor. Modelling, analysis and design of the building can be summarised into five main steps. In step 1, the building with the RC floors is modelled, analysed and designed according to the geometries and specifications of the building. The RC floors of the building are then changed to the CLT floors with the similar thickness and the function of the building is checked for tensile and compressive stresses, utilisation ratio and deflection in step 2. Step 3 involves checking what reinforcing is required for the CLT floors to be approved with about the same thickness as the RC floors. In step 4, it is controlled whether a larger thickness of the CLT floors without reinforcing can withstand the identical conditions of the RC floors. From the obtained results, effects of thickness of the CLT floors and span width are examined. The structural stability of the building with the CLT and RC floors is controlled in step 5. Further, the CLT and RC floors of the building are compared in terms of their stresses, utilisation ratios and weights. The results of this paper demonstrate advantages of using the CLT floors. The CLT floors show good strength properties compared with their low weights. It is uncovered that the building with both of the CLT and RC floors is stable. Obtained results of the building with the CLT and RC floors from the StruSoft FEM-Design software are compared with those from calculations based on Eurocode 2 and Eurocode 5, which reveal good agreements with each other regarding their accuracy. © 2021 by authors, all rights reserved.</t>
  </si>
  <si>
    <t>Cross-Laminated Timber Floor; Reinforced Concrete Floor; Structural Stability; Tensile and Compressive Stresses; Utilisation Ratio; Weight</t>
  </si>
  <si>
    <t>Horizon Research Publishing</t>
  </si>
  <si>
    <t>Civil Engi. Arc.</t>
  </si>
  <si>
    <t>2-s2.0-85116002741</t>
  </si>
  <si>
    <t>Bezerra Tomaduci Imamura F.; Chen Y.; Deng L.; Chui Y.H.</t>
  </si>
  <si>
    <t>60070670800; 36182333400; 36709424200; 59748354000</t>
  </si>
  <si>
    <t>Methodological approach to the in-situ monitoring system of cross-laminated timber basement walls</t>
  </si>
  <si>
    <t>Journal of Civil Structural Health Monitoring</t>
  </si>
  <si>
    <t>10.1007/s13349-025-01010-z</t>
  </si>
  <si>
    <t>https://www.scopus.com/pages/publications/105014279492?origin=resultslist</t>
  </si>
  <si>
    <t>Department of Civil and Environmental Engineering, University of Alberta, Edmonton, T6G 1H9, Canada</t>
  </si>
  <si>
    <t>Bezerra Tomaduci Imamura F., Department of Civil and Environmental Engineering, University of Alberta, Edmonton, T6G 1H9, Canada; Chen Y., Department of Civil and Environmental Engineering, University of Alberta, Edmonton, T6G 1H9, Canada; Deng L., Department of Civil and Environmental Engineering, University of Alberta, Edmonton, T6G 1H9, Canada; Chui Y.H., Department of Civil and Environmental Engineering, University of Alberta, Edmonton, T6G 1H9, Canada</t>
  </si>
  <si>
    <t>Cross-laminated timber (CLT) is a mass timber product initially developed in Europe as a substitute for concrete slabs and tilt-up walls. Over the past decade, it has been increasingly used in constructing record-breaking tall wood buildings worldwide, primarily as load-bearing wall and floor systems. However, research and applications of CLT in basement construction remain limited, leading to a knowledge gap in in-situ performance monitoring. This paper presents a methodological approach to a monitoring system designed to quantify the engineering performance of CLT panels used as basement walls in a field experiment. The basement, measuring 3 m by 6 m in plan and 2 m deep, was constructed in a cohesive soil site in Edmonton, Canada. A comprehensive monitoring system was developed to measure various parameters, including panel temperature, relative humidity, strain and deflection, soil lateral earth pressure, soil temperature, and water content. Field data were collected from June 2022 to June 2024. The insights gained from this health monitoring system are valuable for future research and practical applications in measuring the mechanical and hygrothermal properties of mass timber materials in large-scale boundary conditions. Results indicate that the moisture content in wood can be estimated using relative humidity and temperature data and that strain gages and linear variable differential transformers effectively capture CLT panels' swelling and shrinking phases under varying humidity conditions. One of the key challenges in monitoring large-scale experiments is selecting the most suitable sensors and determining the optimal locations for their installation. © Springer-Verlag GmbH Germany, part of Springer Nature 2025.</t>
  </si>
  <si>
    <t>Construction monitoring; Cross-laminated timber; Data acquisition system; Mass-timber constructions; Structural health monitoring</t>
  </si>
  <si>
    <t>Boundary conditions; Concrete slabs; Data acquisition; Soils; Timber; Walls (structural partitions); Wooden buildings; Wooden construction; Construction monitoring; Cross laminated; Cross-laminated timber; Data acquisition system; Health monitoring; Laminated timber; Mass-timber construction; Methodological approach; Structural health; Timber construction; Laminating; Structural health monitoring</t>
  </si>
  <si>
    <t>F. Bezerra Tomaduci Imamura; Department of Civil and Environmental Engineering, University of Alberta, Edmonton, T6G 1H9, Canada; email: fimamura@ualberta.ca</t>
  </si>
  <si>
    <t>J. Civ. Struct. Health Monit.</t>
  </si>
  <si>
    <t>2-s2.0-105014279492</t>
  </si>
  <si>
    <t>Ahmed D.; Asiz A.</t>
  </si>
  <si>
    <t>57217208973; 6506926796</t>
  </si>
  <si>
    <t>Structural performance of hybrid multi-storey buildings with massive timber-based floor elements loaded under extreme lateral loads</t>
  </si>
  <si>
    <t>International Journal of Computational Methods and Experimental Measurements</t>
  </si>
  <si>
    <t>10.2495/CMEM-V5-N6-905-916</t>
  </si>
  <si>
    <t>https://www.scopus.com/pages/publications/85063034040?origin=resultslist</t>
  </si>
  <si>
    <t>Department of Civil Engineering, Prince Mohammad Bin Fahd University, Saudi Arabia</t>
  </si>
  <si>
    <t>Ahmed D., Department of Civil Engineering, Prince Mohammad Bin Fahd University, Saudi Arabia; Asiz A., Department of Civil Engineering, Prince Mohammad Bin Fahd University, Saudi Arabia</t>
  </si>
  <si>
    <t>Massive timber plate elements, specifically cross laminated timber (CLT), has gained popularity recently in North America as major alternative construction material for building components offering competitive advantages relative to traditional reinforced concrete slab for medium rise applications. There are two major structural applications for this kind of timber plate, as floor slab or shear wall components of multi-storey buildings. The following study will be focused on the structural performance of hybrid multi-storey buildings constructed using CLT plate as the floor slab elements. The specific objective of this paper is to investigate lateral deformability of floor diaphragm that is composed of CLT slab in combination with reinforced concrete and steel floor framing loaded under seismic excitation. Critical irregular floor layouts of medium rise buildings are selected and modeled using computer structural and building analysis software ETABS. Major outputs including lateral floor deformation (drift), storey shear and dynamic characteristic analyses are analyzed and contrasted with the current design practices, i.e. building code application with respect to diaphragm assumption for seismic design. As in the reinforced concrete-based floor diaphragm, expected general outcome from this study is to provide input for design code provision regarding whether rigid, flexible, or in-between (semi-rigid) assumption of CLT-based diaphragm is adequate for performing design standard procedure for seismic design of hybrid multi-storey buildings. Structural analysis and modeling challenges for CLT-based diaphragm used in hybrid multi-storey buildings are presented and design recommendations will be given. © 2017 WIT Press.</t>
  </si>
  <si>
    <t>Cross laminated timber; Diaphragm rigidity; Hybrid timber building; Lateral load design</t>
  </si>
  <si>
    <t>Wit Press</t>
  </si>
  <si>
    <t>Int. J. Comput. Methods Experiment. Meas.</t>
  </si>
  <si>
    <t>2-s2.0-85063034040</t>
  </si>
  <si>
    <t>Zhao P.; Asadi Jafari M.H.; Guo C.; Zhou J.</t>
  </si>
  <si>
    <t>57211111057; 58655779300; 57856104800; 57202383380</t>
  </si>
  <si>
    <t>Apparent impact sound insulation performance of raised discrete floating assemblies on mass timber floors</t>
  </si>
  <si>
    <t>Building Acoustics</t>
  </si>
  <si>
    <t>10.1177/1351010X251343252</t>
  </si>
  <si>
    <t>https://www.scopus.com/pages/publications/105013292763?origin=resultslist</t>
  </si>
  <si>
    <t>School of Engineering, University of Northern British Columbia, Prince George, BC, Canada</t>
  </si>
  <si>
    <t>Zhao P., School of Engineering, University of Northern British Columbia, Prince George, BC, Canada; Asadi Jafari M.H., School of Engineering, University of Northern British Columbia, Prince George, BC, Canada; Guo C., School of Engineering, University of Northern British Columbia, Prince George, BC, Canada; Zhou J., School of Engineering, University of Northern British Columbia, Prince George, BC, Canada</t>
  </si>
  <si>
    <t>Mass timber panels are increasingly used in mass timber and hybrid construction projects for efficient off-site construction. Conventional continuous floating concrete toppings often struggle to achieve an apparent impact insulation class (AIIC) above 55 when tested according to ASTM standards. This study explores the impact sound insulation of raised discrete floating floor assemblies on cross-laminated timber (CLT) and dowel-laminated timber (DLT) floors through experimental testing. The study found that a raised discrete floating floor, constructed using commercially available dry materials such as oriented strand board (OSB), cement board, and gypsum board, significantly improved impact sound isolation and reduced the need for thick concrete layers. Interestingly, increasing the thickness of the floating concrete topping from 38 to 100 mm had minimal effect on sound insulation. Instead, cement boards provided an effective alternative, achieving an AIIC rating of 65 and offering a dry solution for improving sound insulation in timber construction.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</si>
  <si>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cross-laminated timber; dowel-laminated timber; dry toppings; impact sound insulation; Mass timber floor; raised discrete floating floor</t>
  </si>
  <si>
    <t>Acoustic noise; ASTM standards; Cements; Concretes; Fasteners; Floors; Impact testing; Laminating; Sound insulating materials; Timber; Wooden construction; 'Dry' [; Cross laminated; Cross-laminated timber; Dowel-laminated timber; Dry topping; Floating floor; Impact sound insulation; Laminated timber; Mass timber floor; Raised discrete floating floor; Timber floors; Sound insulation</t>
  </si>
  <si>
    <t>J. Zhou; School of Engineering, University of Northern British Columbia, Prince George, 499 George Street, V2L 1R5, Canada; email: jianhui.zhou@unbc.ca</t>
  </si>
  <si>
    <t>SAGE Publications Inc.</t>
  </si>
  <si>
    <t>1351010X</t>
  </si>
  <si>
    <t>Build. Acoustics</t>
  </si>
  <si>
    <t>2-s2.0-105013292763</t>
  </si>
  <si>
    <t>Skorpen S.A.; Cattaert G.; Bouchair A.</t>
  </si>
  <si>
    <t>56086071600; 60211617600; 22933571900</t>
  </si>
  <si>
    <t>CLT-steel composite flooring a sustainable solution for South Africa?</t>
  </si>
  <si>
    <t>Engineering Materials, Structures, Systems and Methods for a More Sustainable Future</t>
  </si>
  <si>
    <t>10.1201/9781003677895-137</t>
  </si>
  <si>
    <t>https://www.scopus.com/pages/publications/105022966040?origin=resultslist</t>
  </si>
  <si>
    <t>Department of Civil Engineering, University of Pretoria, Pretoria, South Africa; Université Clermont Auvergne, Clermont Auvergne INP, CNRS, Institut Pascal, Clermont-Ferrand, France</t>
  </si>
  <si>
    <t>Skorpen S.A., Department of Civil Engineering, University of Pretoria, Pretoria, South Africa; Cattaert G., Université Clermont Auvergne, Clermont Auvergne INP, CNRS, Institut Pascal, Clermont-Ferrand, France; Bouchair A., Université Clermont Auvergne, Clermont Auvergne INP, CNRS, Institut Pascal, Clermont-Ferrand, France</t>
  </si>
  <si>
    <t>Timber-steel composite flooring systems are being used in many countries around the world and can have numerous advantages for buildings, including reduced structural mass and reduced embodied carbon. Most slab systems in South Africa have traditionally been concrete, but as the CLT (cross laminate timber) starts to become more readily available, it is becoming a viable slab system option. The aim of this paper is to discuss the viability of using CLT-steel composite slab systems for the South African market, using CLT constructed with fast-growing varieties of timber such as South African Pine and Eucalyptus. To this end the properties of CLT constructed from South African Pine and Eucalyptus were tested, as well as the stiffness of composite connectors. The effect of varying the orien-tation of the CLT panel was considered by testing samples both parallel and perpendicular to the grain. © 2025 selection and editorial matter, Alphose Zingoni; individual chapters, the contributors. All rights reserved.</t>
  </si>
  <si>
    <t>Carbon; Concrete slabs; Forestry; Timber; Composite flooring; Composite slab; Embodied carbons; Property; Slab systems; South Africa; Steel composites; Structural mass; Sustainable solution; Testing samples; Floors</t>
  </si>
  <si>
    <t>CRC Press</t>
  </si>
  <si>
    <t>978-104059262-5; 978-103278010-2</t>
  </si>
  <si>
    <t>Engineering Mater., Structures, Systems and Methods for a More Sustainable Future</t>
  </si>
  <si>
    <t>2-s2.0-105022966040</t>
  </si>
  <si>
    <t>Deeves B.P.H.; Woods J.</t>
  </si>
  <si>
    <t>59984798000; 57190120692</t>
  </si>
  <si>
    <t>ASSESSING THE STRUCTURAL BEHAVIOUR OF TIMBER-STEEL COMPOSITE BEAMS USING DISTRIBUTED FIBRE OPTIC SENSORS</t>
  </si>
  <si>
    <t>10.52202/080513-0194</t>
  </si>
  <si>
    <t>https://www.scopus.com/pages/publications/105010267825?origin=resultslist</t>
  </si>
  <si>
    <t>Department of Civil Engineering, Queen's University, Kingston, Canada</t>
  </si>
  <si>
    <t>Deeves B.P.H., Department of Civil Engineering, Queen's University, Kingston, Canada; Woods J., Department of Civil Engineering, Queen's University, Kingston, Canada</t>
  </si>
  <si>
    <t>This paper presents the results of an experimental program aimed at quantifying the structural behavior of CLT-steel composite beams for the application of timber-steel composite floor systems. In North America and globally, there has been a significant increase in the need for design and construction practices that maximize efficiency and minimize greenhouse gas emissions. This study investigates the use of cross-laminated timber (CLT) in place of conventional concrete in composite floor systems. The goals of this study were to investigate the performance of post-installed shear connections composed of self-tapping screws and to quantify the behaviour of CLT-steel composite beams using distributed sensing technology. To accomplish these objectives, direct shear tests were performed on self-tapping screw shear connections to quantify their load-slip response and failure modes. Full-scale composite beam specimens with self-tapping screw shear connections were then tested under monotonic loading to study their load-slip behaviour, stiffness, ultimate capacity, and governing failure modes. Composite beams were instrumented with distributed fibre optic strain sensors, which allowed for an in-depth analysis of the strain distribution throughout the composite section. Results of this study indicate that CLT-steel composite beams are an efficient and sustainable floor system with a ductile response, and that distributed fibre optic sensors offer unparalleled insight into the behaviour of CLT-steel composite beams. © (2025) WORLD CONFERENCE ON TIMBER ENGINEERING 2025 (WCTE 2025) All rights reserved.</t>
  </si>
  <si>
    <t>Cross-laminated timber; distributed fibre optic sensing; shear connection; timber-steel composite</t>
  </si>
  <si>
    <t>Composite beams and girders; Composite structures; Floors; Greenhouse gases; Laminated composites; Laminating; Screws; Shear flow; Steel fibers; Steel research; Tapping (threads); Timber; Composite beam; Cross laminated; Cross-laminated timber; Distributed fiber optic sensing; Fiber-optic sensing; Laminated timber; Self-tapping screws; Shear connections; Steel composites; Timber-steel composite; Fiber optic sensors</t>
  </si>
  <si>
    <t>2-s2.0-105010267825</t>
  </si>
  <si>
    <t>Di Bella A.; Granzotto N.; Barbaresi L.</t>
  </si>
  <si>
    <t>6603084877; 56515420500; 6504261425</t>
  </si>
  <si>
    <t>Analysis of acoustic behavior of bare CLT floors for the evaluation of impact sound insulation improvement</t>
  </si>
  <si>
    <t>Proceedings of Meetings on Acoustics</t>
  </si>
  <si>
    <t>10.1121/2.0000420</t>
  </si>
  <si>
    <t>https://www.scopus.com/pages/publications/85019579810?origin=resultslist</t>
  </si>
  <si>
    <t>Department of Industrial Engineering, University of Padova, PD, Italy; Department of Industrial Engineering, University of Bologna, BO, Italy</t>
  </si>
  <si>
    <t>Di Bella A., Department of Industrial Engineering, University of Padova, PD, Italy; Granzotto N., Department of Industrial Engineering, University of Padova, PD, Italy; Barbaresi L., Department of Industrial Engineering, University of Bologna, BO, Italy</t>
  </si>
  <si>
    <t>Estimation of the impact sound insulation of horizontal partitions, evaluated from the performance of basic components according to EN 12354-2, does not provide satisfactory results when applied to floors made of Cross-Laminated Timber (CLT) elements. One of the most interesting reasons for this limited match between predicted and measured impact noise values is the difficulty of correlating the reduction of the impact sound pressure level of the floor covering, measured in a laboratory on a concrete slab, with the actual behavior on a bare CLT floor. Reported here are the results of laboratory evaluations, independently carried out by various researchers on similar CLT structures. The purpose of this study is to identify the empirical spectrum of the normalized impact sound pressure level of a reference floor made according to CLT technology, to provide a simple and useful tool for estimating the noise insulation performances of this type of building element. © 2017 Acoustical Society of America.</t>
  </si>
  <si>
    <t>Acoustic noise; Acoustic variables measurement; Acoustic wave transmission; Acoustic waves; Acoustics; Concrete slabs; Floors; Insulation; Sound insulating materials; Acoustic behavior; Building element; Cross laminated; Impact sound insulation; Impact sound pressure levels; Laboratory evaluation; Noise insulation; Normalized impact sound pressure levels; Sound insulation</t>
  </si>
  <si>
    <t>Acoustical Society of America</t>
  </si>
  <si>
    <t>1939800X</t>
  </si>
  <si>
    <t>Proc. Meet. Acoust.</t>
  </si>
  <si>
    <t>All Open Access; Bronze Open Access</t>
  </si>
  <si>
    <t>2-s2.0-85019579810</t>
  </si>
  <si>
    <t>Quang Mai K.; Park A.; Nguyen K.T.; Lee K.</t>
  </si>
  <si>
    <t>57201128761; 57201128050; 57220854891; 7501514239</t>
  </si>
  <si>
    <t>Full-scale static and dynamic experiments of hybrid CLT–concrete composite floor</t>
  </si>
  <si>
    <t>10.1016/j.conbuildmat.2018.03.042</t>
  </si>
  <si>
    <t>https://www.scopus.com/pages/publications/85043504366?origin=resultslist</t>
  </si>
  <si>
    <t>Department of Architectural Engineering, Sejong University, Seoul, South Korea</t>
  </si>
  <si>
    <t>Quang Mai K., Department of Architectural Engineering, Sejong University, Seoul, South Korea; Park A., Department of Architectural Engineering, Sejong University, Seoul, South Korea; Nguyen K.T., Department of Architectural Engineering, Sejong University, Seoul, South Korea; Lee K., Department of Architectural Engineering, Sejong University, Seoul, South Korea</t>
  </si>
  <si>
    <t>The Cross-Laminated Timber (CLT) concrete composite floor can successfully address the issues of conventional wood product and become an attractive alternative material for conventional reinforced concrete floors in mid to high-rise building. The purpose of this research was to fully evaluate the capacity of this novel hybrid composite material under both dynamic and static conditions, before such this hybrid system becomes widely employed. This was achieved by performing a full-scale testing of five floor specimens. One specimen was designed according to Eurocode 5 to satisfy the design load for common office buildings, and four specimens were prepared with a concrete topping with different connector types, connector angles, and connector spacing. The test results illustrated that the CLT–concrete floor specimens had excellent structural performance in terms of strength capacity, 3 –5 times higher than the conventional CLT floor. The vibration performances of this composite floors were also enhanced, resulting in a remarkably effective use of this innovative materials. © 2018</t>
  </si>
  <si>
    <t>CLT–concrete composite floor; Cross laminated timber (CLT); Dynamic test; Four-point bending test; Hybrid timber structure</t>
  </si>
  <si>
    <t>Concrete construction; Concretes; Hybrid systems; Laminated composites; Laminating; Office buildings; Reinforced concrete; Structural analysis; Tall buildings; Timber; Wooden floors; Concrete composites; Cross laminated; Dynamic tests; Four-point bending test; Timber structures; Floors</t>
  </si>
  <si>
    <t>K. Lee; Department of Architectural Engineering, Sejong University, Seoul, South Korea; email: kihaklee@sejong.ac.kr</t>
  </si>
  <si>
    <t>2-s2.0-85043504366</t>
  </si>
  <si>
    <t>Dernayka S.; Ahmed D.; Ajmal M.; Asiz A.; Ayadat T.</t>
  </si>
  <si>
    <t>57848420900; 57217208973; 57188748405; 6506926796; 20435579500</t>
  </si>
  <si>
    <t>COMPARISON OF WIND INDUCED RESPONSE OF HIGH-RISE BUILDINGS WITH REINFORCED CONCRETE AND CROSS LAMINATED TIMBER</t>
  </si>
  <si>
    <t>10.14455/ISEC.2022.9(1).STR-21</t>
  </si>
  <si>
    <t>https://www.scopus.com/pages/publications/85136154457?origin=resultslist</t>
  </si>
  <si>
    <t>Dept of Civil Engineering, Prince Mohammad Bin Fahd University, Al Khobar, Saudi Arabia; Civil Engineering Dept, University of Bahrain, Bahrain</t>
  </si>
  <si>
    <t>Dernayka S., Dept of Civil Engineering, Prince Mohammad Bin Fahd University, Al Khobar, Saudi Arabia; Ahmed D., Dept of Civil Engineering, Prince Mohammad Bin Fahd University, Al Khobar, Saudi Arabia; Ajmal M., Civil Engineering Dept, University of Bahrain, Bahrain; Asiz A., Dept of Civil Engineering, Prince Mohammad Bin Fahd University, Al Khobar, Saudi Arabia; Ayadat T., Dept of Civil Engineering, Prince Mohammad Bin Fahd University, Al Khobar, Saudi Arabia</t>
  </si>
  <si>
    <t>The main objective of this paper is to examine the wind-induced structural response of high–rise buildings constructed in the Kingdom of Saudi Arabia using reinforced concrete and lightweight cross-laminated timber (CLT) floor systems. Two major analyses were performed on two regular reinforced concrete (RC) buildings of 200 m height located in Dhahran and Jeddah. In the first instance, numerical simulations to obtain wind induced displacements and accelerations were conducted using computer software ETABS, SAP2000 and analytical model derived from building code. Then, another simulation of the building models was performed under similar wind conditions and same design criteria but by replacing the RC slabs of the buildings by cross laminated slabs. The wind data used for simulation was based on hourly wind data collection for the last 11 years (2009 – 2019). The results revealed higher story drift for both floor systems, whenever the wind speed is higher. The comparative analysis of the wind induced structural responses of traditional RC and CLT slabs showed greater accelerations at the top of the buildings with CLT floor system. However, the usage of CLT slab seems to be more feasible in the KSA considering adjusting designing lighter beam, column, and shear wall elements due to inherent CLT lightness. © 2022 ISEC Press.</t>
  </si>
  <si>
    <t>Cross-laminated timber; High-rise buildings; Reinforced concrete; Wind-induced structural response</t>
  </si>
  <si>
    <t>2-s2.0-85136154457</t>
  </si>
  <si>
    <t>Chen H.; Ma W.; Kasal B.; Wei Y.; Yan L.</t>
  </si>
  <si>
    <t>59049537700; 58068985300; 6701523033; 35194968400; 55461222400</t>
  </si>
  <si>
    <t>Flexural behavior of adhesively bonded cross-laminated timber-concrete composite (TCC) panel with glass-fiber textile mesh as reinforcement in concrete: Experimental studying and numerical simulation</t>
  </si>
  <si>
    <t>10.1016/j.engstruct.2025.119916</t>
  </si>
  <si>
    <t>https://www.scopus.com/pages/publications/85217901281?origin=resultslist</t>
  </si>
  <si>
    <t>Department of Organic and Wood-Based Construction Materials, Technische Universität Braunschweig, Hopfengarten 20, Braunschweig, 38102, Germany; Fraunhofer Institute for Wood Research WKI, Riedenkamp 3, Braunschweig, 38108, Germany; College of Civil Engineering, Nanjing Forestry University, Nanjing, 210037, China</t>
  </si>
  <si>
    <t>Chen H., Department of Organic and Wood-Based Construction Materials, Technische Universität Braunschweig, Hopfengarten 20, Braunschweig, 38102, Germany; Ma W., Department of Organic and Wood-Based Construction Materials, Technische Universität Braunschweig, Hopfengarten 20, Braunschweig, 38102, Germany; Kasal B., Department of Organic and Wood-Based Construction Materials, Technische Universität Braunschweig, Hopfengarten 20, Braunschweig, 38102, Germany, Fraunhofer Institute for Wood Research WKI, Riedenkamp 3, Braunschweig, 38108, Germany; Wei Y., College of Civil Engineering, Nanjing Forestry University, Nanjing, 210037, China; Yan L., Department of Organic and Wood-Based Construction Materials, Technische Universität Braunschweig, Hopfengarten 20, Braunschweig, 38102, Germany, Fraunhofer Institute for Wood Research WKI, Riedenkamp 3, Braunschweig, 38108, Germany</t>
  </si>
  <si>
    <t>Timber-concrete composite (TCC) structures offer higher stiffness and loading capacity compared to pure timber structures with similar dimensions. A more rigid adhesive interface between concrete and timber offers advantages over conventional connections (e.g., mechanical fasteners and notches) by ensuring strain compatibility between the two materials. Fiber-based textiles, such as alkali-resistant (AR) glass fiber fabric, provide electrochemical corrosion resistance when used as reinforcement in concrete. An innovative composite floor system was introduced in this study, comprising cross-laminated timber (CLT) and reinforced concrete embedded with lightweight AR glass textile reinforcement, rigidly bonded together through epoxy adhesive bonding. A comprehensive investigation on the flexural behavior of this composite structure panel was conducted. Instrumentation, like digital image correlation (DIC) and optical fiber sensors, was employed to record strain distribution and development during four-point bending tests on those panels. A nonlinear numerical model was developed to predict the flexural behavior of the panels using continuum damage evolution for timber, concrete damage plasticity (CDP) model, and cohesive contact behavior between timber layers, considering the non-glue edge in the transverse layer. Experimental results showed that the failure predominantly occurred in the transverse layer of the CLT in the TCC panels. Employing glass fabric reinforcement within the CLT-constituted TCC led to an increase in loading bearing capacity. Numerical simulation indicated that textile reinforcement embedded within TCC's concrete counteracted localized concrete tensile failure, preserving structural integrity, delaying cohesive failure between planks in CLT, and consequently amplifying ultimate loading capacity of TCC structure. © 2025 The Authors</t>
  </si>
  <si>
    <t>Adhesive bonding; CLT; Four-points bending; Numerical simulation; TCC; Textile reinforcement</t>
  </si>
  <si>
    <t>Bearings (structural); Bending tests; Connectors (structural); Fiber reinforced concrete; Floors; Fracture mechanics; Glass bonding; Glass fibers; Gluing; Laminated composites; Laminating; Structural panels; Timber; Adhesives bonding; Composite panels; Cross laminated; Cross-laminated timber; Flexural behavior; Four-point-bending; Laminated timber; Textile reinforcement; Timber-concrete composite structures; Timber-concrete composites; bending; composite; computer simulation; experimental study; flexure; numerical model; reinforced concrete; reinforcement; structural analysis; timber; Continuum damage mechanics</t>
  </si>
  <si>
    <t>L. Yan; Department of Organic and Wood-Based Construction Materials, Technische Universität Braunschweig, Braunschweig, Hopfengarten 20, 38102, Germany; email: l.yan@tu-braunschweig.de</t>
  </si>
  <si>
    <t>2-s2.0-85217901281</t>
  </si>
  <si>
    <t>Influence of the inclination angle of self-tapping screws on the fire performance of CLT-concrete composite floor slabs</t>
  </si>
  <si>
    <t>10.1016/j.engstruct.2025.120017</t>
  </si>
  <si>
    <t>https://www.scopus.com/pages/publications/85219701174?origin=resultslist</t>
  </si>
  <si>
    <t>Dept. of Civil Eng., Lakehead University, Thunder Bay, P7B 5E1, ON, Canada</t>
  </si>
  <si>
    <t>Barclay S., Dept. of Civil Eng., Lakehead University, Thunder Bay, P7B 5E1, ON, Canada; Salem O.S., Dept. of Civil Eng., Lakehead University, Thunder Bay, P7B 5E1, ON, Canada</t>
  </si>
  <si>
    <t>In this study, four full-size slab-type timber-concrete composite (TCC) floor assemblies were experimentally examined under standard fire exposure. The main objectives of the study are to investigate the influence of the inclination angles of the self-tapping screws (STS) utilized as shear connectors on the fire performance of TCC floor slabs, achieve a 2-h fire resistance as a result of the composite action between a supporting cross-laminated timber (CLT) panel and a top concrete layer, and ultimately verify the residual strength of the TCC slabs after 2-h standard fire exposure. Each slab specimen comprises a 143-mm thick, 5-ply CLT panel topped with a 90-mm thick normal-strength concrete layer. The overall dimensions of each test assembly were 5300 mm long and 900 mm wide, with a 5000 mm clear span. Screws were installed following the shear flow direction at two different inclination angles (i.e., 30° and 45°), with each specimen duplicated. TCC floor assemblies were exposed to elevated temperatures following the CAN/ULC-S101 standard fire time-temperature curve while subjected to four-point flexure. The experimental results show that all test assemblies surpassed the 2-h fire resistance time with an average residual wood thickness of 48 mm. However, after 2 h of standard fire exposure, the 30° STS installation angle resulted in better performance of the TCC floor slabs with lower midspan deflections than a 45° installation angle. In addition, the residual strength tests conducted after the 2-h standard fire exposure show that a TCC floor slab with STS installed at 30° may produce an ultimate moment as much as 12 % greater than when the STS are installed at 45°. © 2025 The Authors</t>
  </si>
  <si>
    <t>Cross-laminated timber; Fire resistance; Self-tapping screws; Shear connectors; Slab-type timber-concrete composite sections</t>
  </si>
  <si>
    <t>Concrete slabs; Laminated composites; Self drilling screws; Timber; Wooden floors; Composite floor slabs; Composite sections; Cross laminated; Cross-laminated timber; Laminated timber; Self-tapping screws; Shear connector; Slab-type timber-concrete composite section; Standard fire; Timber-concrete composites; concrete structure; experimental study; fire behavior; floor; performance assessment; residual strength; shear strength; structural analysis; structural response; timber; Fire resistance</t>
  </si>
  <si>
    <t>O.S. Salem; Dept. of Civil Eng., Lakehead University, Thunder Bay, P7B 5E1, Canada; email: sam.salem@lakeheadu.ca</t>
  </si>
  <si>
    <t>2-s2.0-85219701174</t>
  </si>
  <si>
    <t>Zhou J.; Zhao Z.</t>
  </si>
  <si>
    <t>57202383380; 57300777500</t>
  </si>
  <si>
    <t>Apparent impact sound insulation performance of cross laminated timber floors with floating concrete toppings</t>
  </si>
  <si>
    <t>10.3397/IN-2021-3006</t>
  </si>
  <si>
    <t>https://www.scopus.com/pages/publications/85117395836?origin=resultslist</t>
  </si>
  <si>
    <t>School of Engineering, University of Northern British Columbia, 499 George St., Prince George, V2N 1R5, BC, Canada</t>
  </si>
  <si>
    <t>Zhou J., School of Engineering, University of Northern British Columbia, 499 George St., Prince George, V2N 1R5, BC, Canada; Zhao Z., School of Engineering, University of Northern British Columbia, 499 George St., Prince George, V2N 1R5, BC, Canada</t>
  </si>
  <si>
    <t>Mass timber buildings are gaining increasing popularity as a sustainable alternative to concrete and steel structures. Mass timber panels, especially cross-laminated timber (CLT), are often used as floors due to their dry and fast construction. CLT has poor impact sound insulation performance due to its lightweight and relatively high bending stiffness. Floating concrete toppings are often applied to increase both the airborne and impact sound insulation performance. However, the impact sound insulation performance of floating concrete toppings on CLT structural floors is affected by both the concrete thickness and resilient interlayer. This study investigated the efficiency of both continuous and discrete floating floor assemblies through mock-up building tests using small-scale concrete toppings according to ASTM E1007-16. It was found that the improvements by continuous floating floor assemblies are dependent on the concrete thicknesses and dynamic stiffness of resilient interlayers. Usually, thicker concrete mass topping and low dynamic stiffness elastic interlayers provide better improvement on single number ratings. The highest apparent impact sound insulation class (AIIC) achieved with continuous floating floor assemblies in this study was 53 dBA, while that of the discrete floating floor assemblies was up to 62 dBA. The discrete floating floor solution showed great potential for use in mass timber buildings due to its high performance with thinner concrete toppings. The impact sound improvements by floating concrete floors cannot be well predicted by the equations developed for concrete structural floors. © INTER-NOISE 2021 .All right reserved.</t>
  </si>
  <si>
    <t>Concretes; Laminating; Sound insulation; Stiffness; Timber; Wooden buildings; 'Dry' [; Concrete thickness; Cross laminated; Dynamic stiffness; Floating floor; Impact sound insulation; Laminated timber; Sound insulation performance; Timber buildings; Timber floors; Floors</t>
  </si>
  <si>
    <t>2-s2.0-85117395836</t>
  </si>
  <si>
    <t>Miyazu Y.; Loss C.</t>
  </si>
  <si>
    <t>37117274400; 37098919100</t>
  </si>
  <si>
    <t>Evaluation of vibration properties of an 18-story mass timber–concrete hybrid building by on-site vibration tests</t>
  </si>
  <si>
    <t>10.1007/s13349-024-00767-z</t>
  </si>
  <si>
    <t>https://www.scopus.com/pages/publications/85185130507?origin=resultslist</t>
  </si>
  <si>
    <t>Department of Architecture, Tokyo University of Science, Noda, Japan; Sustainable Engineered Structural Solutions Laboratory, Department of Wood Science, The University of British Columbia, Vancouver, BC, Canada</t>
  </si>
  <si>
    <t>Miyazu Y., Department of Architecture, Tokyo University of Science, Noda, Japan, Sustainable Engineered Structural Solutions Laboratory, Department of Wood Science, The University of British Columbia, Vancouver, BC, Canada; Loss C., Sustainable Engineered Structural Solutions Laboratory, Department of Wood Science, The University of British Columbia, Vancouver, BC, Canada</t>
  </si>
  <si>
    <t>Timber–concrete hybrid structural systems are a practical option to provide tall mass timber buildings with a lateral load-resisting system. This paper discusses the dynamic behavior of an 18-story timber–concrete hybrid building based on the vibration properties evaluated by on-site vibration tests. First, microtremor measurements and human-powered excitation tests were carried out and the obtained vibration data were analyzed using a stochastic subspace identification method to derive natural frequencies, damping ratios, and mode shapes. Then, a finite-element (FE) model was developed based on detailed structural design information, and its eigenvalues and eigenvectors were compared with the test results. The vibration test results showed various mode shapes, including in-plane deformation of the floor diaphragm composed of cross-laminated timber (CLT) panels. The damping ratios in all the modes were scattered between 1 and 3%, and no frequency dependency was observed. The modal properties of the FE model agreed well with the test results by considering the additional stiffness of non-structural components. In order to simulate the in-plane deformation of the CLT floor diaphragm, detailed modeling of the connection between each CLT floor panel and the connection between CLT floor panels and concrete cores is recommended. The findings provide practitioners with an insight into dynamic properties and FE modeling methods of tall timber–concrete hybrid buildings. © The Author(s) 2024.</t>
  </si>
  <si>
    <t>Cross-laminated timber diaphragms; Finite-element modeling; Hybrid timber systems; Lateral vibration properties; Operational modal analysis; Tall timber buildings</t>
  </si>
  <si>
    <t>Damping; Diaphragms; Eigenvalues and eigenfunctions; Finite element method; Floors; Laminating; Modal analysis; Structural analysis; Vibration analysis; Wooden buildings; Cross laminated; Cross-laminated timber diaphragm; Element models; Finite-element modeling; Hybrid timber system; Laminated timber; Lateral vibration property; Lateral vibrations; Operational modal analysis; Tall timber building; Timber buildings; Vibration properties; Timber</t>
  </si>
  <si>
    <t>Y. Miyazu; Department of Architecture, Tokyo University of Science, Noda, Japan; email: miyazu@rs.tus.ac.jp</t>
  </si>
  <si>
    <t>2-s2.0-85185130507</t>
  </si>
  <si>
    <t>Fang D.; Mueller C.</t>
  </si>
  <si>
    <t>57222351421; 56555902400</t>
  </si>
  <si>
    <t>Mortise-and-tenon joinery for modern timber construction: Quantifying the embodied carbon of an alternative structural connection</t>
  </si>
  <si>
    <t>Architecture, Structures and Construction</t>
  </si>
  <si>
    <t>10.1007/s44150-021-00018-5</t>
  </si>
  <si>
    <t>https://www.scopus.com/pages/publications/105018882795?origin=resultslist</t>
  </si>
  <si>
    <t>Massachusetts Institute of Technology, Cambridge, MA, United States</t>
  </si>
  <si>
    <t>Fang D., Massachusetts Institute of Technology, Cambridge, MA, United States; Mueller C., Massachusetts Institute of Technology, Cambridge, MA, United States</t>
  </si>
  <si>
    <t>The mass timber industry offers a compelling pathway for low-carbon structural systems in buildings, replacing carbon-intensive materials like concrete and steel with sustainably forested wood. However, conventional structural connections in mass timber construction are largely made of metallic materials, such as screws, nails, and plates. In contrast, joinery, or geometrically interlocking all-timber connections, is globally prevalent in historic timber construction. This paper investigates the potential of applying joinery, specifically the “Nuki” mortise-and-tenon joinery connection, to contemporary mass timber construction from perspectives of structural behavior and carbon savings. Considering single spans supporting one-way cross-laminated timber (CLT) floor systems at the mid-rise residential scale, carbon savings ranging from 7 to 40% are possible at the beam-joint scale by using Nuki joints instead of steel concealed beam hangers, a more conventional mass timber connection. While these savings are smaller at the building scale, the paper nevertheless demonstrates a methodology and results for quantitatively comparing the scale of savings achieved by implementing this historic but contemporarily alternative connection type. © The Author(s), under exclusive licence to Springer Nature Switzerland AG 2021.</t>
  </si>
  <si>
    <t>Embodied carbon; Joinery; Structural systems; Timber connections; Timber structural design</t>
  </si>
  <si>
    <t>D. Fang; Massachusetts Institute of Technology, Cambridge, United States; email: dfang@mit.edu</t>
  </si>
  <si>
    <t>Springer Nature</t>
  </si>
  <si>
    <t>Archit. Struct. Constr.</t>
  </si>
  <si>
    <t>All Open Access; Bronze Open Access; Green Open Access</t>
  </si>
  <si>
    <t>2-s2.0-105018882795</t>
  </si>
  <si>
    <t>Homb A.; Conta S.</t>
  </si>
  <si>
    <t>6506079257; 57211213277</t>
  </si>
  <si>
    <t>Comparison of the direct sound insulation for wooden joist, CLT and timber hollow box floors</t>
  </si>
  <si>
    <t>Internoise 2022 - 51st International Congress and Exposition on Noise Control Engineering</t>
  </si>
  <si>
    <t>https://www.scopus.com/pages/publications/85147455679?origin=resultslist</t>
  </si>
  <si>
    <t>SINTEF Community, Trondheim, 7465, Norway</t>
  </si>
  <si>
    <t>Homb A., SINTEF Community, Trondheim, 7465, Norway; Conta S., SINTEF Community, Trondheim, 7465, Norway</t>
  </si>
  <si>
    <t>Timber buildings are now present worldwide, and their market is growing rapidly, pushed by sustainability and environmental arguments. Several technological options for engineered wood systems are available and well developed, the most common being wooden joist, CLT and timber hollow box. In this paper, we present a comparative study of impact sound insulation of the three options. The analysis is based on data collected from laboratory measurements. The results include the comparison of the bare floor construction and examples of assemblies with additional floating floor, suspended ceiling or a combination of the two. We identify the characteristic trends and highlight the effect of selected parameters as for instance mass per unit area, assembly thickness and properties of the resilient layers. The comparison attempts to show the constructive consequences of the different options on the sound insulation properties. It could help selecting the most suitable floor system in future projects and contribute making timber construction more efficient and affordable. © 2022 Internoise 2022 - 51st International Congress and Exposition on Noise Control Engineering. All rights reserved.</t>
  </si>
  <si>
    <t>Acoustic variables control; Concrete slabs; Sound insulation; Sustainable development; Wooden buildings; Wooden construction; Wooden floors; Comparatives studies; Engineered woods; Floating floor; Floor constructions; Impact sound insulation; Laboratory measurements; Per unit; Property; Suspended ceilings; Timber buildings; Timber</t>
  </si>
  <si>
    <t>978-190691342-7</t>
  </si>
  <si>
    <t>Internoise - Int. Congr. Expo. Noise Control Eng.</t>
  </si>
  <si>
    <t>2-s2.0-85147455679</t>
  </si>
  <si>
    <t>Nero R.; Christopher P.; Thai H.-T.; Ngo T.</t>
  </si>
  <si>
    <t>57360078100; 57211334839; 24765493900; 57209597335</t>
  </si>
  <si>
    <t>Reliability framework for CLT floors in out-of-plane bending using Monte Carlo simulation</t>
  </si>
  <si>
    <t>10.1016/j.istruc.2024.106745</t>
  </si>
  <si>
    <t>https://www.scopus.com/pages/publications/85196526009?origin=resultslist</t>
  </si>
  <si>
    <t>Department of Infrastructure Engineering, University of Melbourne, Melbourne, VIC, Australia</t>
  </si>
  <si>
    <t>Nero R., Department of Infrastructure Engineering, University of Melbourne, Melbourne, VIC, Australia; Christopher P., Department of Infrastructure Engineering, University of Melbourne, Melbourne, VIC, Australia; Thai H.-T., Department of Infrastructure Engineering, University of Melbourne, Melbourne, VIC, Australia; Ngo T., Department of Infrastructure Engineering, University of Melbourne, Melbourne, VIC, Australia</t>
  </si>
  <si>
    <t>Sustainably sourced engineered wood products (EWP) such as cross-laminated timber (CLT) floor panels are viable alternatives to conventional concrete and steel, however their inherent natural variability increases perceived risks and limits wide-spread adoption. The reliability index (β) is the metric used by design standards to communicate allowable structural risk. Although not included directly in any structural capacity equations, it governs all the partial resistance factors and load amplification factors that inform those design code calculations. CLT floors have significant partial resistance factors due to the natural variability of the material that effectively penalise the calculated design strength of those products. By exploring their reliability there is the potential to allow these products to be designed more efficiently, leading to increased competitiveness among traditional materials and less waste. A novel statistical capacity prediction model that goes beyond a simple averaged-value strength assumption to include consideration of the variability between individual boards within a panel was validated against experimental data. A CLT database of 237 out-of-plane bending test results was collected for the first time to inform an appropriate model error factor. Monte Carlo simulation (MCS) approaches were adopted to predict the reliability levels of CLT panels by defining the material, geometrical and loading parameters as random variables and assigning each a mean, coefficient of variation and appropriate distribution. The target and calculated reliability levels were compared across both Eurocode 5 and the North American codes ANSI/APA PRG 320 and CSA O86 as the preeminent CLT design codes internationally. This study found that the calculated reliability levels met or exceeded both codes in most scenarios. The impacts of width, load ratio, material strength distribution, and CLT layups on the expected failure probabilities were explored with sensitivity analyses. The MCS framework was also applied to the calibration of an appropriate resistance factor for CLT design to inform the potential creation of an Australian CLT design code. A resistance factor of 0.85 was calibrated which falls between the equivalent European and North American code resistance factors. © 2024 The Authors</t>
  </si>
  <si>
    <t>Cross-laminated timber (CLT); Engineered wood product (EWP); Monte Carlo simulation (MCS); Reliability assessment; Timber structures</t>
  </si>
  <si>
    <t>Bending strength; Floors; Intelligent systems; Laminating; Monte Carlo methods; Probability distributions; Product design; Sensitivity analysis; Timber; Wood products; Cross laminated; Cross-laminated timber; Engineered wood product; Engineered wood products; Laminated timber; Monte carlo simulation; Monte Carlo's simulation; Reliability assessments; Timber floors; Timber structures; Reliability</t>
  </si>
  <si>
    <t>T. Ngo; Department of Infrastructure Engineering, University of Melbourne, Melbourne, Australia; email: dtngo@unimelb.edu.au</t>
  </si>
  <si>
    <t>2-s2.0-85196526009</t>
  </si>
  <si>
    <t>Zong C.; Zhai J.; Sun X.; Liu X.; Cheng X.; Wang S.</t>
  </si>
  <si>
    <t>59347878000; 59347329100; 57191579736; 56230369100; 53879447300; 59642311500</t>
  </si>
  <si>
    <t>Analysis of Seismic Responses and Vibration Serviceability in a High-Rise Timber–Concrete Hybrid Building</t>
  </si>
  <si>
    <t>10.3390/buildings14092614</t>
  </si>
  <si>
    <t>https://www.scopus.com/pages/publications/85205237169?origin=resultslist</t>
  </si>
  <si>
    <t>College of Civil Engineering, Nanjing Tech University, Nanjing, 211800, China; China Construction Fifth Engineering Division Co., Ltd., Changsha, 410082, China</t>
  </si>
  <si>
    <t>Zong C., College of Civil Engineering, Nanjing Tech University, Nanjing, 211800, China; Zhai J., College of Civil Engineering, Nanjing Tech University, Nanjing, 211800, China; Sun X., College of Civil Engineering, Nanjing Tech University, Nanjing, 211800, China; Liu X., College of Civil Engineering, Nanjing Tech University, Nanjing, 211800, China; Cheng X., College of Civil Engineering, Nanjing Tech University, Nanjing, 211800, China; Wang S., China Construction Fifth Engineering Division Co., Ltd., Changsha, 410082, China</t>
  </si>
  <si>
    <t>Timber–concrete hybrid structures are commonly employed in multi-story timber buildings; however, further research is necessary to fully understand the seismic performance of these structures as well as the dynamic properties of the floor. The two dynamic concerns, seismic effects and the vibration of floors in hybrid structures, are key issues, in view of which this study aimed to investigate the small-seismic-response spectra and elastic time histories in a high-rise timber hybrid building, specifically the medical technology building of Jiangsu Provincial Rehabilitation Hospital in China. The dynamic characteristics of a localized cross-laminated timber (CLT) floor were tested in situ, and the impacts of human-induced vibration were quantified. Comprehensive theoretical analysis results reveal that the basic vibration pattern of the structure was mainly translational in nature and that the period ratio, inter-story displacement angle, and shear-to-weight ratio all met the demands of the Chinese timber building design code. The experimental test results show that the vertical natural frequency of the CLT floor was about 15.96 Hz and thus met appropriate requirements with respect to natural frequency. However, peak floor acceleration was found to be high under the conditions of a single person walking quickly, a single person trotting, and multiple persons walking randomly. In light of these findings, the floor should be paved with a fine-grained concrete building surface, according to design requirements, so that its serviceability might be improved. Overall, the relevant analytical methods presented in this paper provide guidance and practical reference for the seismic analysis of timber hybrid structures, as well as vibration serviceability analysis for CLT floors. © 2024 by the authors.</t>
  </si>
  <si>
    <t>CLT floor; high-rise timber hybrid building; human-induced vibration; seismic analysis; serviceability</t>
  </si>
  <si>
    <t>Architectural design; Concrete buildings; Concretes; Induced Seismicity; Seismic design; Structural analysis; Structural dynamics; Tall buildings; Wooden buildings; Wooden floors; Cross laminated; Cross-laminated timber floor; High rise; High-rise timber hybrid building; Human-induced vibration; Hybrid buildings; Induced vibrations; Laminated timber; Seismic analysis; Serviceability; Timber floors; Seismic response</t>
  </si>
  <si>
    <t>X. Sun; College of Civil Engineering, Nanjing Tech University, Nanjing, 211800, China; email: xiaoluan81118@njtech.edu.cn</t>
  </si>
  <si>
    <t>2-s2.0-85205237169</t>
  </si>
  <si>
    <t>Salem O.S.; Chen X.; Ali S.</t>
  </si>
  <si>
    <t>53980457500; 57644873700; 57644873800</t>
  </si>
  <si>
    <t>Experimental Testing of the Shear Strength of CLT-Concrete Composite Sections Utilizing Adhesive for Shear Connections</t>
  </si>
  <si>
    <t>10.1007/978-981-19-0656-5_36</t>
  </si>
  <si>
    <t>https://www.scopus.com/pages/publications/85128922886?origin=resultslist</t>
  </si>
  <si>
    <t>Department of Civil Engineering, Lakehead University, Thunder Bay, ON, Canada; Hatch Ltd., Mississauga, ON, Canada</t>
  </si>
  <si>
    <t>Salem O.S., Department of Civil Engineering, Lakehead University, Thunder Bay, ON, Canada; Chen X., Department of Civil Engineering, Lakehead University, Thunder Bay, ON, Canada; Ali S., Hatch Ltd., Mississauga, ON, Canada</t>
  </si>
  <si>
    <t>Timber-Concrete Composite (TCC) floor systems are increasingly being used in tall mass timber buildings worldwide. In such floor composite systems, the advantageous mechanical properties of both materials (timber and concrete) are efficiently utilized. The shear connections in TCC systems can be achieved using either discrete or continuous shear connectors that are located where the maximum shear forces are expected. The primary technique of shear connections in TCC systems is a wide variety of metal connectors, grooved connections, and adhesive connections. Usually, TCC systems with adhesive connections can be produced in two ways: cured concrete slabs can be glued to mass timber panels and then shipped to construction sites; or more advantageously a wet-on-wet process can be used. In the study presented in this paper, the shear characteristics of CLT-Concrete composite sections that utilized adhesive for shear connections have been experimentally investigated. The wet-on-wet process using a commercially available industrial adhesive was applied to fabricate four identical composite sections, each with 600 × 1000 mm shear interface between the CLT panel and concrete layer. Test specimens were experimentally examined under direct shear forces until failure. Experimental results show that all test specimens failed due to crushing of the loaded edge of the CLT panel as there was almost no slip at the interface between the CLT panel and concrete layer occurred in any of the four specimens. Outcomes of this experimental study confirmed the assumption of the rigid connection between the CLT panel and concrete layer in such TCC glued sections as all four specimens were able to attain more than 530 kN load without any shear interface failure observed. © 2022, Canadian Society for Civil Engineering.</t>
  </si>
  <si>
    <t>Concrete slabs; Concrete testing; Floors; Glues; Timber; Wooden buildings; Composite floor systems; Composite sections; Concrete composites; Concrete layer; Experimental testing; Shear connections; Shears strength; Test specimens; Timber-concrete composites; Wet process; Gluing</t>
  </si>
  <si>
    <t>O.S. Salem; Department of Civil Engineering, Lakehead University, Thunder Bay, Canada; email: sam.salem@lakeheadu.ca</t>
  </si>
  <si>
    <t>Walbridge S.; Nik-Bakht M.; Ng K.T.; Shome M.; Alam M.S.; el Damatty A.; Lovegrove G.</t>
  </si>
  <si>
    <t>978-981190655-8</t>
  </si>
  <si>
    <t>2-s2.0-85128922886</t>
  </si>
  <si>
    <t>Lecours S.; Nguyen T.-T.; Sorelli L.; Blanchet P.; Durand K.</t>
  </si>
  <si>
    <t>58209574500; 57218163186; 8833588000; 7102260600; 58210014500</t>
  </si>
  <si>
    <t>Optimizing composite floors for sustainability and efficiency: Cross laminated timber, concrete types, and ductile notch connectors with enhanced shape</t>
  </si>
  <si>
    <t>Cleaner Engineering and Technology</t>
  </si>
  <si>
    <t>10.1016/j.clet.2023.100635</t>
  </si>
  <si>
    <t>https://www.scopus.com/pages/publications/85154550198?origin=resultslist</t>
  </si>
  <si>
    <t>Department of Civil and Water Engineering, Université Laval, CRIB, CIRCERB, Canada; Department of Wood and Forest Sciences, Université Laval, CIRCERB, Canada; Nordic Structures, Montréal, Canada</t>
  </si>
  <si>
    <t>Lecours S., Department of Civil and Water Engineering, Université Laval, CRIB, CIRCERB, Canada; Nguyen T.-T., Department of Civil and Water Engineering, Université Laval, CRIB, CIRCERB, Canada; Sorelli L., Department of Civil and Water Engineering, Université Laval, CRIB, CIRCERB, Canada; Blanchet P., Department of Wood and Forest Sciences, Université Laval, CIRCERB, Canada; Durand K., Nordic Structures, Montréal, Canada</t>
  </si>
  <si>
    <t>Timber-concrete composite (TCC) structures allow designing efficient building floors in terms of lightness, slenderness, and acoustic insulation. The late development of ductile notch connectors has further advanced TCC structures. This work aims to further optimize the shape of ductile notch connections and to optimally design TCC floors with minimum embodied carbon, floor thickness, self-weight and cost. Firstly, an experimental campaign was carried out to characterize the shear behavior of ductile notch connectors with different shapes, which varied from rectangular to trapezoidal to avoid the use of screws, and concrete types, which varied from normal concrete to ultra-high performance fiber reinforced concrete. For the sake of comparison, a glued connection was also considered. Then, a multi-criteria optimization method was performed to optimally design TCC floor with the developed notch connectors and concrete types. The latest design recommendations for TCC floors developed in Canada were considered. A Non-Linear Finite Element Analysis (NLFEA) was carried out for validation. The presented results push the current design limits in terms of embodied carbon and volume of construction materials towards climate-positive floors. © 2023 The Authors</t>
  </si>
  <si>
    <t>Cross-laminated timber (CLT); Fiber-reinforced concrete (FRC); High performance fiber-reinforced concrete (HPFRC); Notch connectors; PVA fibers; Structure optimization; Timber-concrete composite (TCC) structure; Ultra-high-performance fiber-reinforced concrete (UHPFRC)</t>
  </si>
  <si>
    <t>L. Sorelli; Department of Civil and Water Engineering, Université Laval, CRIB, CIRCERB, Canada; email: luca.sorelli@gci.ulaval.ca</t>
  </si>
  <si>
    <t>Clean. Eng. Technol.</t>
  </si>
  <si>
    <t>2-s2.0-85154550198</t>
  </si>
  <si>
    <t>Bezabeh M.; Bitsuamlak G.; Tesfamariam S.</t>
  </si>
  <si>
    <t>56245255800; 7801424191; 8264664200</t>
  </si>
  <si>
    <t>Risk-based wind design of tall mass-timber buildings</t>
  </si>
  <si>
    <t>6th International Structural Specialty Conference 2018, Held as Part of the Canadian Society for Civil Engineering Annual Conference 2018</t>
  </si>
  <si>
    <t>https://www.scopus.com/pages/publications/85074322814?origin=resultslist</t>
  </si>
  <si>
    <t>Department of Civil Engineering, Western University, School of Engineering, Western University, Canada; Department of Civil Engineering, Western University, Canada; School of Engineering, University of British Columbia, Canada</t>
  </si>
  <si>
    <t>Bezabeh M., Department of Civil Engineering, Western University, School of Engineering, Western University, Canada; Bitsuamlak G., Department of Civil Engineering, Western University, Canada; Tesfamariam S., School of Engineering, University of British Columbia, Canada</t>
  </si>
  <si>
    <t>The rapid growth of urban population and the associated environmental concerns are partly influencing city planners and construction stakeholders to consider "Sustainable Urbanization" alternatives. In this regard, recent urban design strategies are entertaining the use of"tall timber buildings". Generally, tall mass-timber buildings (MTBs) utilize pre-engineered wood panels to form their main gravity and lateral load resisting systems, which makes them lighter and more flexible than buildings made from concrete, masonry or steel. As a result, frequent exposure to excessive wind induced vibrations can cause occupant discomfort and possible inhabitability of the buildings. This paper attempts to apply a risk-based procedure to design a 102 meter tall MTB by adapting and extending the Alan G. Davenport Wind Loading Chain as a probabilistic performance-based wind engineering framework. The structural systems of the study building are composed of Cross Laminated Timber (CLT) shear walls, CLT floors, glulam columns and reinforced-concrete link beams. Initially, aerodynamic wind tunnel tests were carried out at the Boundary Layer Wind Tunnel Laboratory of Western University on the 1:200 scale MTB model to obtain transient wind loads. Subsequently, using the wind tunnel data, the study MTB was structurally designed. In the risk-based performance assessment, uncertainties were incorporated at each step of the Wind Loading Chain, i.e., local wind, exposure, aerodynamics, dynamic effects, and criteria. These uncertainties were explicitly modeled as random variables. Dynamic structural analyses were carried out in the frequency-domain to include the amplification due to the resonance component of the excitation. Structural reliability analysis through Monte Carlo sampling was used to propagate the uncertainties through the Wind Loading Chain to quantify the risk of inhabitability and excessive deflection. The results of reliability analysis were used to develop fragility curves for wind vulnerability estimations. Based on the results, the effects of various uncertainties are discussed, and risk-based design decisions are forwarded. © 6th International Structural Specialty Conference 2018, Held as Part of the Canadian Society for Civil Engineering Annual Conference 2018. All rights reserved.</t>
  </si>
  <si>
    <t>Aerodynamics; Architectural design; Boundary layers; Concrete beams and girders; Economic and social effects; Frequency domain analysis; Gravitation; Monte Carlo methods; Population statistics; Reinforced concrete; Reliability analysis; Risk assessment; Timber; Uncertainty analysis; Urban growth; Wind stress; Wind tunnels; Wooden buildings; Boundary layer wind tunnel; Construction stakeholders; Dynamic structural analysis; Environmental concerns; Lateral load resisting systems; Probabilistic performance; Structural reliability analysis; Wind induced vibrations; Structural design</t>
  </si>
  <si>
    <t>M. Bezabeh; Department of Civil Engineering, Western University, School of Engineering, Western University, Canada; email: matiyas.bezabeh@alumni.ubc.ca</t>
  </si>
  <si>
    <t>Arjomandi K.; El Damatty A.</t>
  </si>
  <si>
    <t>978-151088974-3</t>
  </si>
  <si>
    <t>Int. Struct. Spec. Conf., Held Part Can. Soc. Civ. Eng. Annu. Conf.</t>
  </si>
  <si>
    <t>2-s2.0-85074322814</t>
  </si>
  <si>
    <t>Nicolussi V.; Pozza L.; Polastri A.; Casagrande D.</t>
  </si>
  <si>
    <t>58608808100; 56556666400; 37061546900; 23391955000</t>
  </si>
  <si>
    <t>STRUCTURAL LIMITATIONS IN THE USE OF EARTHQUAKE-RESISTANT PROPRIETARY CONNECTIONS IN MULTI-STOREY CLT BUILDINGS: A MULTI-PARAMETRIC NUMERICAL STUDY</t>
  </si>
  <si>
    <t>https://www.scopus.com/pages/publications/105027896751?origin=resultslist</t>
  </si>
  <si>
    <t>Department of Civil, Chemical, Environmental and Materials Engineering, University of Bologna, Italy; Institute of Bioeconomy-National Research Council of Italy (CNR IBE), Italy; Department of Civil, Environmental and Mechanical Engineering, University of Trento, Italy</t>
  </si>
  <si>
    <t>Nicolussi V., Department of Civil, Chemical, Environmental and Materials Engineering, University of Bologna, Italy, Institute of Bioeconomy-National Research Council of Italy (CNR IBE), Italy; Pozza L., Department of Civil, Chemical, Environmental and Materials Engineering, University of Bologna, Italy; Polastri A., Institute of Bioeconomy-National Research Council of Italy (CNR IBE), Italy; Casagrande D., Department of Civil, Environmental and Mechanical Engineering, University of Trento, Italy</t>
  </si>
  <si>
    <t>Cross-Laminated timber (CLT) structures have gained popularity in the last two decades thanks to the evolution of timber and connection technologies that aims to reach ever taller buildings. Nowadays mid-rise and high-rise CLT construction, thanks their seismic performance, represent a sustainable alternative to buildings realized with traditional building materials (e.g., steel and concrete). Connections have a crucial role in seismic behaviour of CLT buildings by means a right assurance of ductility and dissipative capacity of the entire system which guarantee the application of the capacity design roles in design stage. This paper analyses the structural limitations of earthquake-resistant proprietary connections (e.g. hold-downs, angle brackets) used in multi-story CLT building. A multi-parametric analysis on selected CLT building was performed paying particular attention to the characterisation of the connections used in the numerical modelling. The influence of different parameters, such as: seismic intensity, number of floors and values of the total shear-walls length per floor unit area was assessed by means of a non-linear elastic analysis. Results of numerical simulations carried out on different configurations or archetype were compared in terms of shear forces affecting the CLT shear-walls in the ground floor. Results obtained in this works provide an important insight for both academics and practicing engineers, showing how the structural limitations of the proprietary earthquake-resistant connections systems affected the seismic behaviour of CLT buildings. © 2024, International Association for Earthquake Engineering. All rights reserved.</t>
  </si>
  <si>
    <t>Earthquake effects; Floors; Mortar; Seismic design; Seismic response; Structural analysis; Tall buildings; Cross laminated; Earthquake resistant; High rise; Laminated timber; Seismic behaviour; Seismic Performance; Timber buildings; Timber construction; Timber structures; Traditional buildings; Shear walls</t>
  </si>
  <si>
    <t>2-s2.0-105027896751</t>
  </si>
  <si>
    <t>Beresford T.; Chen J.</t>
  </si>
  <si>
    <t>55822865700; 57209144738</t>
  </si>
  <si>
    <t>Floor airborne and impact sound insulation performance of cross laminated timber vs. timber joist and concrete systems</t>
  </si>
  <si>
    <t>Australian Acoustical Society Annual Conference, AAS 2018</t>
  </si>
  <si>
    <t>https://www.scopus.com/pages/publications/85066603019?origin=resultslist</t>
  </si>
  <si>
    <t>Acoustic Engineering, Norman Disney and Young, Auckland, New Zealand</t>
  </si>
  <si>
    <t>Beresford T., Acoustic Engineering, Norman Disney and Young, Auckland, New Zealand; Chen J., Acoustic Engineering, Norman Disney and Young, Auckland, New Zealand</t>
  </si>
  <si>
    <t>Cross laminated timber (CLT) is a modern building material which is gaining increasing application in Australian and New Zealand building developments. It is used as a structural wall and floor element, and has certain advantages over traditional building methods utilising concrete floors, particularly relating to the speed with which CLT structures can be constructed on-site. One disadvantage of CLT is that the base timber floor panel has less mass per square meter than concrete. Therefore, CLT typically requires additional layers of material (ceilings and raised floors) to achieve airborne and impact sound insulation performance similar to that of concrete floors and, indeed, to meet Building Code requirements. This paper explores a range of on-site test results obtained from two similar CLT apartment buildings. Standard airborne and impact sound insulation results (DnT,w, FSTC, LnT,w and FIIC) are presented, as well as heavy impact results obtained using a “Japanese ball drop” method (LiA,Fmax) to assess the low-frequency performance of the CLT floors. Various flooring upgrades were tested with the aim of improving the sound insulation performance of the floors. Test results from other apartment buildings with a mixture of concrete floors and timber joist floors are also presented and compared to the CLT floor results. © 2019 Australian Acoustical Society Annual Conference, AAS 2018. All rights reserved.</t>
  </si>
  <si>
    <t>Acoustic waves; Apartment houses; Atomic absorption spectrometry; Concrete construction; Concrete mixtures; Electric circuit breakers; Floors; Laminating; Sound insulating materials; Timber; Apartment buildings; Building development; Code requirements; Impact sound insulation; Low frequency performance; Sound insulation performance; Structural walls; Traditional buildings; Sound insulation</t>
  </si>
  <si>
    <t>Australian Acoustical Society</t>
  </si>
  <si>
    <t>978-151087738-2</t>
  </si>
  <si>
    <t>Aust. Acoust. Soc. Annu. Conf., AAS</t>
  </si>
  <si>
    <t>2-s2.0-85066603019</t>
  </si>
  <si>
    <t>Lal R.; Hashemi A.; Quenneville P.</t>
  </si>
  <si>
    <t>59732682600; 57189629304; 6602903084</t>
  </si>
  <si>
    <t>ADVANCED SEISMIC-RESILIENT CONNECTION FOR MODULAR MASS TIMBER STRUCTURES</t>
  </si>
  <si>
    <t>10.52202/080513-0047</t>
  </si>
  <si>
    <t>https://www.scopus.com/pages/publications/105010260244?origin=resultslist</t>
  </si>
  <si>
    <t>The University of Auckland, New Zealand</t>
  </si>
  <si>
    <t>Lal R., The University of Auckland, New Zealand; Hashemi A., The University of Auckland, New Zealand; Quenneville P., The University of Auckland, New Zealand</t>
  </si>
  <si>
    <t>Prefabricated Modular Mass Timber (PMMT) construction is becoming increasingly popular among engineers and developers for multi-story buildings due to Cross Laminated Timber's (CLT) inherent strength, stiffness, and prefabrication potential. These buildings consist of prefabricated volumetric modules assembled on-site, offering consistent quality and sustainability advantages over traditional construction methods. Past studies revealed that conventional connections, such as wall-to-floor hold-down brackets and shear connectors with nails and screws, do not meet the requirements for seismic resilient design. This paper presents the seismic performance of a 5-storey PMMT building incorporating an advanced seismic resilient wall-to-floor connection at intermediate levels of a PMMT building. The numerical model developed in ETABS was evaluated using Response Spectrum Analysis (RSA) followed by Nonlinear Time History Analysis (NLTHA), and the seismic performance of the building with the proposed connection was compared with a base-isolated structure. Results indicated that implementing the proposed connection significantly reduces the force demands on PMMT components, enhancing seismic response with acceptable ductility in the system. Additionally, the system displayed effective energy dissipation while exhibiting full self-centering behaviour. The findings of this research revealed that the proposed connection could be an ideal solution for PMMT buildings. © (2025) WORLD CONFERENCE ON TIMBER ENGINEERING 2025 (WCTE 2025) All rights reserved.</t>
  </si>
  <si>
    <t>Cross-laminated timber; cross-laminated timber (CLT); ductility; numerical model; prefabricated modular mass timber (PMMT); resilient</t>
  </si>
  <si>
    <t>Buildings; Energy dissipation; Floors; Laminating; Prefabricated construction; Seismic design; Seismic response; Seismic waves; Spectrum analysis; Timber; Cross laminated; Cross-laminated timber; Laminated timber; Modulars; Prefabricated modular mass timber; Resilient; Timber buildings; Ductility; Numerical models</t>
  </si>
  <si>
    <t>2-s2.0-105010260244</t>
  </si>
  <si>
    <t>Jiang Z.-Q.; Liu L.-T.; Chang W.-S.; Wang W.; Wang Y.-H.; Huang H.</t>
  </si>
  <si>
    <t>55802589900; 59235697400; 25026757300; 56726974300; 60122385900; 56949179500</t>
  </si>
  <si>
    <t>Enhancing CLT floor vibration mitigation with pre-strained shape memory alloy-tuned mass dampers</t>
  </si>
  <si>
    <t>10.1016/j.istruc.2024.106980</t>
  </si>
  <si>
    <t>https://www.scopus.com/pages/publications/85199675689?origin=resultslist</t>
  </si>
  <si>
    <t>College of Architecture and Civil Engineering, Beijing University of Technology, Beijing, 100124, China; Beijing Engineering Research Center of High-Rise and Large-Span Prestressed Steel Structure, Beijing, 100124, China; Lincoln School of Architecture and the Built Environment, University of Lincoln, Lincoln, LN6 7TS, United Kingdom; State Key Laboratory for Disaster Education in Civil Engineering, Tongji University, Shanghai, 200092, China; School of Engineering, Newcastle University, Newcastle upon Tyne, NE1 7RU, United Kingdom</t>
  </si>
  <si>
    <t>Jiang Z.-Q., College of Architecture and Civil Engineering, Beijing University of Technology, Beijing, 100124, China, Beijing Engineering Research Center of High-Rise and Large-Span Prestressed Steel Structure, Beijing, 100124, China; Liu L.-T., College of Architecture and Civil Engineering, Beijing University of Technology, Beijing, 100124, China; Chang W.-S., Lincoln School of Architecture and the Built Environment, University of Lincoln, Lincoln, LN6 7TS, United Kingdom; Wang W., State Key Laboratory for Disaster Education in Civil Engineering, Tongji University, Shanghai, 200092, China; Wang Y.-H., College of Architecture and Civil Engineering, Beijing University of Technology, Beijing, 100124, China; Huang H., School of Engineering, Newcastle University, Newcastle upon Tyne, NE1 7RU, United Kingdom</t>
  </si>
  <si>
    <t>Cross-laminated timber (CLT), recognised for its environmental benefits, faces challenges in its excessive human-induced vibration due to its lightweight nature. This research investigates the application of a tuned mass damper (TMD) for vibration control in CLT floor slabs, focusing on enhancing the structural performance of using this sustainable building material. The study introduces a solution by integrating Shape memory alloy (SMA) into TMD systems (SMA-TMD), utilising the properties of SMAs for effective self-centring and consistent damping, and it aims to incorporate pre-strained SMAs into TMDs to improve the damping performance of the system. Experimental testing and finite element simulations confirm that pre-straining SMA bars not only contribute to the self-centring but also considerably increase the equivalent viscous damping ratio of the SMA-TMD. Findings from the simulations demonstrate that the optimised SMA-TMD system can substantially reduce CLT floor vibration and accelerates the energy dissipation effect under human footfall loadings, overcoming one of the primary limitations of CLT in construction applications. This advancement supports the broader adoption of CLT as a sustainable building material by providing a viable solution for vibration control. © 2024 The Authors</t>
  </si>
  <si>
    <t>Cross-laminated timber; Pre-strain; Shape memory alloy; Tuned mass damper; Vibration control</t>
  </si>
  <si>
    <t>Acoustic devices; Damping; Energy dissipation; Floors; Intelligent buildings; Laminating; Sustainable development; Timber; Vibration control; Cross laminated; Cross-laminated timber; Floor vibrations; Laminated timber; Pre-strain; Self centering; Sustainable building materials; Timber floors; Tuned mass damper systems; Tuned mass dampers; Shape-memory alloy</t>
  </si>
  <si>
    <t>2-s2.0-85199675689</t>
  </si>
  <si>
    <t>Qazizadeh S.; Hashemi S.K.; Valipour H.R.</t>
  </si>
  <si>
    <t>58524576700; 56227055000; 6508258428</t>
  </si>
  <si>
    <t>Numerical investigation of steel-timber composite floors with flush end-plate connection</t>
  </si>
  <si>
    <t>10.1016/j.istruc.2023.104892</t>
  </si>
  <si>
    <t>https://www.scopus.com/pages/publications/85166964640?origin=resultslist</t>
  </si>
  <si>
    <t>Department of Civil Engineering, Babol Noshirvani University of Technology, Babol, Iran; Centre for Infrastructure Engineering and Safety, School of Civil and Environmental Engineering, UNSW Australia, UNSW Sydney, 2052, NSW, Australia</t>
  </si>
  <si>
    <t>Qazizadeh S., Department of Civil Engineering, Babol Noshirvani University of Technology, Babol, Iran; Hashemi S.K., Department of Civil Engineering, Babol Noshirvani University of Technology, Babol, Iran; Valipour H.R., Centre for Infrastructure Engineering and Safety, School of Civil and Environmental Engineering, UNSW Australia, UNSW Sydney, 2052, NSW, Australia</t>
  </si>
  <si>
    <t>Steel-timber composite floors have received much attention in the past years due to their lightweight, high construction and dismantling speed, low pollution and energy consumption. These floors consist of timber slab that is connected to steel beam by shear connectors. This paper investigates the behavior of steel-timber composite floors, which have flush end-plate beam-to-column connections. To achieve this, three-dimensional finite element models were prepared from several laboratory specimens and then validated against each other. The numerical and laboratory results were compared and validated, which shows the appropriate accuracy of the assumptions used for modeling specimens. In the following, parametric studies were conducted to investigate the factors affecting stiffness, strength, and rotational capacity such as type, diameter, and spacing of shear connectors, thickness and width of timber slab, the thickness of flush end-plate, and beam-to-column bolt size. Lastly, several mathematical formulas were presented to estimate the moment-rotation response of semi-rigid steel-timber composite connections. © 2023 Institution of Structural Engineers</t>
  </si>
  <si>
    <t>Composite connection; Cross-laminated timber (CLT); Engineered wood product (EWP); Finite element method; Steel-timber composite (STC)</t>
  </si>
  <si>
    <t>Building materials; Composite materials; Energy utilization; Floors; Numerical methods; Plates (structural components); Timber; Wood products; Composite connections; Composite floors; Cross laminated; Cross-laminated timber; Engineered wood product; Engineered wood products; Flush end plate; Laminated timber; Shear connector; Steel-timber composite; Finite element method</t>
  </si>
  <si>
    <t>S.K. Hashemi; Department of Civil Engineering, Babol Noshirvani University of Technology, Babol, Iran; email: k.hashemi@nit.ac.ir</t>
  </si>
  <si>
    <t>2-s2.0-85166964640</t>
  </si>
  <si>
    <t>Dickof C.; Jackson R.; Kim J.</t>
  </si>
  <si>
    <t>55547026300; 57193120662; 56646639700</t>
  </si>
  <si>
    <t>Case Study: A High-Rise Mass Timber Building in Vancouver, British Columbia</t>
  </si>
  <si>
    <t>Structures Congress 2023 - Selected Papers from the Structures Congress 2023</t>
  </si>
  <si>
    <t>10.1061/9780784484777.024</t>
  </si>
  <si>
    <t>https://www.scopus.com/pages/publications/85159782744?origin=resultslist</t>
  </si>
  <si>
    <t>Fast + Epp, Vancouver, Canada</t>
  </si>
  <si>
    <t>Dickof C., Fast + Epp, Vancouver, Canada; Jackson R., Fast + Epp, Vancouver, Canada; Kim J., Fast + Epp, Vancouver, Canada</t>
  </si>
  <si>
    <t>The Keith Drive Office building, a 10-story, exposed tall wood structure located in Vancouver, Canada, will serve as landmark building in central Vancouver. The 43-m-Tall structure is comprised of nine floors of mass timber gravity and lateral construction over a concrete podium and four levels of below-grade concrete parking. The 2-h fire rated exposed gravity structure consists of cross laminated timber (CLT) floor panels supported on dropped perimeter glulam beams and flush interior steel beams. The seismic force resisting system (SRFS) consists of perimeter timber braced frames and interior balloon framed CLT shearwalls. Tectonus resilient slip friction joint (RSFJ) devices specified at each brace, and both ends of each shear wall, allowing energy dissipation without damage to the structural system. To support the SFRS design, Non-linear time history analysis (NLTHA) was completed as part of a larger peer review. Iterative NLTHA was used to optimize the RSFJ design for the 2% in 50-year design earthquake. NLTHA was also implemented at 130% and 150% of the design UHS to review the collapse risk for an earthquake exceeding the design earthquake. © 2023 ASCE.</t>
  </si>
  <si>
    <t>Concrete buildings; Concretes; Earthquakes; Energy dissipation; Floors; Gravitation; Office buildings; Shear walls; Wooden buildings; Case-studies; Cross laminated; Design earthquakes; Friction joints; High rise; Laminated timber; Linear time; Non linear; Timber buildings; Time history analysis; Timber</t>
  </si>
  <si>
    <t>978-078448477-7</t>
  </si>
  <si>
    <t>2-s2.0-85159782744</t>
  </si>
  <si>
    <t>Bartlett A.I.; McNamee R.; Robert F.; Bisby L.A.</t>
  </si>
  <si>
    <t>57190802165; 57189521484; 56225986900; 6507753420</t>
  </si>
  <si>
    <t>Comparative energy analysis from fire resistance tests on combustible versus noncombustible slabs</t>
  </si>
  <si>
    <t>Fire and Materials</t>
  </si>
  <si>
    <t>10.1002/fam.2760</t>
  </si>
  <si>
    <t>https://www.scopus.com/pages/publications/85075712534?origin=resultslist</t>
  </si>
  <si>
    <t>School of Engineering, The University of Edinburgh, Edinburgh, United Kingdom; Brandskyddslaget AB, Stockholm, Sweden; CERIB, Fire Testing Centre, CERIB, Epernon, France</t>
  </si>
  <si>
    <t>Bartlett A.I., School of Engineering, The University of Edinburgh, Edinburgh, United Kingdom; McNamee R., Brandskyddslaget AB, Stockholm, Sweden; Robert F., CERIB, Fire Testing Centre, CERIB, Epernon, France; Bisby L.A., School of Engineering, The University of Edinburgh, Edinburgh, United Kingdom</t>
  </si>
  <si>
    <t>Standard fire resistance tests have been used in the design of structural building elements for more than a century. Originally developed to provide comparative measures of the level of fire safety of noncombustible products and elements, the recent resurgence in engineered timber construction raises important questions regarding the suitability of standard fire resistance tests for combustible structural elements. Three standard fire resistance floor tests (5.9 m × 3.9 m in plan), one on a concrete slab and two on cross-laminated timber (CLT) slabs, were undertaken to explore some of the relevant issues. The fuel consumption rate within the furnace was recorded during these tests, and the energy supplied from this was determined. An external fuel supply (from natural gas supplied to the furnace) equating to approximately 3 MW was recorded throughout the concrete test, whereas this was about 1.25 MW throughout the CLT tests. The total heat release rate was calculated using carbon dioxide generation calorimetry; this yielded values of approximately 1.75 MW during the CLT tests (ie, an additional energy contribution of approximately 0.5 MW from the timber). This demonstrates that considerably more energy input (by about 1.25 MW) was needed to heat the system when the test sample was noncombustible. A further series of six large-scale compartment fire experiments (6 m × 4 m × 2.52 m) was undertaken to further explore comparative performance of combustible versus noncombustible construction when the external fuel load is kept constant and is governed by more realistic compartment fire dynamics. For a fuel-controlled case, the peak temperatures in the compartment with an unprotected CLT ceiling were approximately 200°C higher than in the compartments with a concrete ceiling, whereas for a ventilation-controlled case, the compartment with a CLT slab ceiling displayed a burning duration that increased by approximately 15 minutes. Potential implications for standard fire resistance testing of combustible specimens are discussed. © 2019 John Wiley &amp; Sons, Ltd.</t>
  </si>
  <si>
    <t>calorimetry; cross-laminated timber; fire resistance; standard testing</t>
  </si>
  <si>
    <t>Calorimeters; Carbon dioxide; Ceilings; Concrete slabs; Fire resistance; Fuels; Laminating; Timber; Compartment fires; Cross laminated; Cross-laminated timber; Energy analysis; External fuels; Fire resistance test; Laminated timber; Standard fire; Standard testing; Structural buildings; Calorimetry</t>
  </si>
  <si>
    <t>A.I. Bartlett; School of Engineering, The University of Edinburgh, Edinburgh, United Kingdom; email: alastair.bartlett@ed.ac.uk</t>
  </si>
  <si>
    <t>John Wiley and Sons Ltd</t>
  </si>
  <si>
    <t>FMATD</t>
  </si>
  <si>
    <t>Fire Mater</t>
  </si>
  <si>
    <t>2-s2.0-85075712534</t>
  </si>
  <si>
    <t>Merryday H.; Potuzak M.; Roueche D.; Sener K.</t>
  </si>
  <si>
    <t>58266770500; 58266463300; 55365701900; 55366144500</t>
  </si>
  <si>
    <t>Experimental and Numerical Investigations on the Usage of CLT Panels to Form Timber-Steel Composite Floor Systems</t>
  </si>
  <si>
    <t>10.52202/069179-0439</t>
  </si>
  <si>
    <t>https://www.scopus.com/pages/publications/85171769946?origin=resultslist</t>
  </si>
  <si>
    <t>Auburn University, Department of Civil and Environmental Engineering, United States</t>
  </si>
  <si>
    <t>Merryday H., Auburn University, Department of Civil and Environmental Engineering, United States; Potuzak M., Auburn University, Department of Civil and Environmental Engineering, United States; Roueche D., Auburn University, Department of Civil and Environmental Engineering, United States; Sener K., Auburn University, Department of Civil and Environmental Engineering, United States</t>
  </si>
  <si>
    <t>This paper presents experimental and numerical results from an ongoing investigation to evaluate the performance of steel-timber composite floor systems. A composite floor system comprised of cross-laminated timber (CLT) made from Southern Yellow Pine species was fastened to a hot-rolled wide flange steel beam using self-tapping wood screws. Experimental evaluations included pushout tests for mechanical fastener characterization and a beam test that was monotonically tested under a four-point bending setup. Beam test results were compared against a steel-timber fiber model, existing equations adapted from steel-concrete composite design, and experimental steel-CLT load-slip response from the pushout testing. Near full-composite behavior was observed in the beam prior to connection slip but reduced to partial-composite behavior as screws began to deform. A substantial increase in strength and stiffness was observed for the composite beam from the non-composite (hybrid) case which was nearly equal to the level of composite action achieved during the test. Both the section fiber model and adapted steel-concrete composite design equations estimated the steel-CLT beam behavior with reasonable accuracy compared to the experimental test. © (2023) WORLD CONFERENCE ON TIMBER ENGINEERING 2023 (WCTE 2023) All rights reserved.</t>
  </si>
  <si>
    <t>Mass timber; self-tapping screws; steel-CLT composite beam</t>
  </si>
  <si>
    <t>Bending tests; Composite beams and girders; Floors; Hot rolling; Laminated composites; Steel beams and girders; Steel fibers; Beam tests; Composite beam; Composite designs; Composite floor systems; Cross laminated; Laminated timber; Mass timber; Self-tapping screws; Steel-concrete composite; Steel-cross-laminated timber composite beam; Timber</t>
  </si>
  <si>
    <t>2-s2.0-85171769946</t>
  </si>
  <si>
    <t>Kasai Y.; Tanaka M.; Murakami T.</t>
  </si>
  <si>
    <t>57192695052; 55437928100; 57089572100</t>
  </si>
  <si>
    <t>Experimental study on floor impact sound reduction by double ceiling system with cross laminated timber panels</t>
  </si>
  <si>
    <t>Proceedings of 2020 International Congress on Noise Control Engineering, INTER-NOISE 2020</t>
  </si>
  <si>
    <t>https://www.scopus.com/pages/publications/85101310232?origin=resultslist</t>
  </si>
  <si>
    <t>General Building Research Corporation of Japan, Fujishiro-dai 5-8-1, Suita-City, Osaka, 565-0873, Japan</t>
  </si>
  <si>
    <t>Kasai Y., General Building Research Corporation of Japan, Fujishiro-dai 5-8-1, Suita-City, Osaka, 565-0873, Japan; Tanaka M., General Building Research Corporation of Japan, Fujishiro-dai 5-8-1, Suita-City, Osaka, 565-0873, Japan; Murakami T., General Building Research Corporation of Japan, Fujishiro-dai 5-8-1, Suita-City, Osaka, 565-0873, Japan</t>
  </si>
  <si>
    <t>One of the characteristics of Cross laminated timber (=CLT) is its lightness compared to concrete, but this may be disadvantageous in terms of sound insulation. Therefore, in order to use CLT panels as floor slabs, it is required to improve impact sound insulation performance. For the purpose of improving impact sound insulation performance, the authors conducted laboratory measurements of test specimens with several variations of CLT double ceiling system adding to CLT floor slabs. First, adding a double ceiling with a closed air back cavity improved only light floor impact sound insulation performance. In case of its air back cavity opened to the sound receiving room, both heavy/soft and light floor impact sound levels became higher. On the other hand, when the thickness of the air back cavity was increased and a clearance of its air back cavity opened to horizontal direction, heavy/soft floor impact sound insulation performance was improved. Further, by increasing the thickness of the air back cavity while leaving a clearance in the horizontal direction and loading weights of sand bags on CLT ceiling panels, heavy/soft floor impact sound insulation performance greatly improved from the specification without CLT panel double ceiling system. © Proceedings of 2020 International Congress on Noise Control Engineering, INTER-NOISE 2020. All rights reserved.</t>
  </si>
  <si>
    <t>Acoustic noise; Acoustic variables control; Ceilings; Electric circuit breakers; Floors; Laminating; Sound insulating materials; Timber; Back cavities; Ceiling systems; Cross laminated; Floor-impact sound; Impact sound insulation; Laboratory measurements; Loading weight; Test specimens; Sound insulation</t>
  </si>
  <si>
    <t>Jeon J.Y.</t>
  </si>
  <si>
    <t>Korean Society of Noise and Vibration Engineering</t>
  </si>
  <si>
    <t>978-899402136-2</t>
  </si>
  <si>
    <t>Proc. Int. Congr. Noise Control Eng., INTER-NOISE</t>
  </si>
  <si>
    <t>2-s2.0-85101310232</t>
  </si>
  <si>
    <t>Gato Carrión M.; Olmos Noguera J.M.</t>
  </si>
  <si>
    <t>60209711800; 58146866300</t>
  </si>
  <si>
    <t>02-028-Design of a timber structure for an office building located in a seismic zone, consisting of two storeys; [Diseño de estructura de madera de un edificio de oficinas en zona sísmica formado por planta baja y dos alturas]</t>
  </si>
  <si>
    <t>Proceedings from the International Congress on Project Management and Engineering</t>
  </si>
  <si>
    <t>https://www.scopus.com/pages/publications/105022841935?origin=resultslist</t>
  </si>
  <si>
    <t>Universidad Politécnica de Cartagena, Spain</t>
  </si>
  <si>
    <t>Gato Carrión M., Universidad Politécnica de Cartagena, Spain; Olmos Noguera J.M., Universidad Politécnica de Cartagena, Spain</t>
  </si>
  <si>
    <t>The construction sector in building faces challenges due to the need to industrialize processes and reduce its carbon footprint, which boosts the use of new materials such as crossed-laminated timber (CLT). This work transforms the conventional reinforced concrete design of an office building (ground floor and two storeys) to a wood-based one with CLT panels, glulam beams and pillars (GLT). The structural design was performed using software such as CLT Toolbox, Sofistik and self generated code in Matlab to analyze particular failure modes in CLT elements. The results highlight the importance of treating the material with an orthotropic Mindlin-Reissner matrix and properly modeling the stiffness of the joints, reducing maximum stresses by up to three times. In addition, the use of Matlab to evaluate elements automatically and globally using Sofistik data is validated. Although the wooden design increases the initial costs, they are compensated by the incorporation of partitions and environmental impacts. This comprehensive approach establishes a methodology for designing more sustainable structures using prefabricated wooden elements, thereby laying the groundwork for more efficient and environmentally friendly construction practices. © 2025 by the authors.</t>
  </si>
  <si>
    <t>CLT; Open source; Sofistik; Structures; Sustainable</t>
  </si>
  <si>
    <t>Asociacion Espanola de Direccion e Ingenieria de Proyectos (AEIPRO)</t>
  </si>
  <si>
    <t>Proc. Int. Congr. Proj. Manag. Eng.</t>
  </si>
  <si>
    <t>2-s2.0-105022841935</t>
  </si>
  <si>
    <t>Tolotti S.; Tannert T.; Loss C.</t>
  </si>
  <si>
    <t>57365054900; 22939744900; 37098919100</t>
  </si>
  <si>
    <t>Connectors for hybrid cross-laminated timber prefabricated buildings</t>
  </si>
  <si>
    <t>https://www.scopus.com/pages/publications/85120724048?origin=resultslist</t>
  </si>
  <si>
    <t>Department of Civil, Environmental and Mechanical Engineering, University of Trento, Italy; University of Northern British Columbia, Canada; Sustainable Engineered Structural Solutions Laboratory, Department of Wood Science, The University of British Columbia, Canada</t>
  </si>
  <si>
    <t>Tolotti S., Department of Civil, Environmental and Mechanical Engineering, University of Trento, Italy; Tannert T., University of Northern British Columbia, Canada; Loss C., Sustainable Engineered Structural Solutions Laboratory, Department of Wood Science, The University of British Columbia, Canada</t>
  </si>
  <si>
    <t>Common mass-timber buildings use prefabricated wood-based elements for wall, floor and roof applications. For tall and large construction, hybrid solutions in which mass-timber elements are combined with concrete, steel or other structural materials create cost-effective sustainable systems and reduce on-site construction time. As part of wood-based building construction advancements, new methods of assembly are being developed with particular attention to prefabrication and modular components, such as volumetric modules or macro-panel walls and floors. This paper presents and discusses a new connection method that can be incorporated into composite steel-cross-laminated timber (CLT) floors or CLT-infill hybrid frames. Shear connectors consist of threaded rods inserted into CLT panels and surrounded by a thick layer of epoxy-based grout. Connectors can be easily designed to provide high stiffness and shear capacity and responds to quick assembly requirements on-site. Results obtained from an experimental campaign considering quasi-static loads acting along the main axis of CLT elements are reported and discussed. This connection delivers a solution to architects' and designers' needs for flexibility at production and construction sites. © WCTE 2021. All rights reserved.</t>
  </si>
  <si>
    <t>Capacity; CLT connectors; Glued rods; Shear connectors; Stiffness; Timber joints</t>
  </si>
  <si>
    <t>Cost effectiveness; Gluing; Hybrid materials; Laminated composites; Laminating; Timber; Walls (structural partitions); Wooden buildings; Wooden construction; Wooden floors; Capacity; Cross laminated; Cross-laminated timber connector; Glued rod; Hybrid solution; Laminated timber; Shear connector; Timber buildings; Timber connectors; Timber joints; Stiffness</t>
  </si>
  <si>
    <t>C. Loss; Sustainable Engineered Structural Solutions Laboratory, Department of Wood Science, The University of British Columbia, Canada; email: cristiano.loss@ubc.ca</t>
  </si>
  <si>
    <t>2-s2.0-85120724048</t>
  </si>
  <si>
    <t>Filippoupolitis M.; Mascarenhas T.; Wright P.</t>
  </si>
  <si>
    <t>56529596700; 57820733100; 59000632300</t>
  </si>
  <si>
    <t>VIBROACOUSTIC FINITE ELEMENT MODELLING OF AIRBORNE SOUND INSULATION OF A CROSS LAMINATED TIMBER FLOOR</t>
  </si>
  <si>
    <t>Proceedings of Forum Acusticum</t>
  </si>
  <si>
    <t>https://www.scopus.com/pages/publications/85191264397?origin=resultslist</t>
  </si>
  <si>
    <t>Arup, 8-13 Fitzroy St, London, United Kingdom</t>
  </si>
  <si>
    <t>Filippoupolitis M., Arup, 8-13 Fitzroy St, London, United Kingdom; Mascarenhas T., Arup, 8-13 Fitzroy St, London, United Kingdom; Wright P., Arup, 8-13 Fitzroy St, London, United Kingdom</t>
  </si>
  <si>
    <t>Cross Laminated Timber (CLT), as a lightweight floor, typically provides lower sound insulation than concrete floors - particularly in the low frequency range. Although this is particularly related to impact sound transmission, airborne sound transmission is also an issue that needs to be considered with care in CLT floors. This paper concerns the development and validation of numerical models using Finite Element Methods (FEM) to predict airborne sound transmission in Cross Laminated Timber (CLT) floors. Vibroacoustic finite element models of a simply supported three-layer CLT panel were developed in COMSOL and validated against airborne laboratory measurements. Predictions are shown for two different FEM models, one using solid elements with material orientation and the other using shell elements with homogenized material properties. © 2023 Marios Filippoupolitis et al. This is an open-access article distributed under the terms of the Creative Commons Attribution 3.0 Unported License, which permits unrestricted use, distribution, and reproduction in any medium, provided the original author and source are credited.</t>
  </si>
  <si>
    <t>Airborne sound insulation; CLT; FEM</t>
  </si>
  <si>
    <t>Acoustic wave transmission; Architectural acoustics; Laminating; Numerical methods; Sound insulation; Timber; Wooden floors; Airborne sound insulation; Airborne sound transmissions; Concrete floor; Cross laminated; Cross laminated timber; Element models; Laminated timber; Lightweight floors; Timber floors; Vibroacoustics; Finite element method</t>
  </si>
  <si>
    <t>M. Filippoupolitis; Arup, London, 8-13 Fitzroy St, United Kingdom; email: marios.filippoupolitis@arup.com</t>
  </si>
  <si>
    <t>European Acoustics Association, EAA</t>
  </si>
  <si>
    <t>978-888894267-4</t>
  </si>
  <si>
    <t>Proc. Forum Acusticum</t>
  </si>
  <si>
    <t>2-s2.0-85191264397</t>
  </si>
  <si>
    <t>Schwendy B.; Pang W.; Smith R.</t>
  </si>
  <si>
    <t>57365409100; 57203252594; 57197527260</t>
  </si>
  <si>
    <t>Vibration control of cross-laminated timber floor with concrete topping</t>
  </si>
  <si>
    <t>https://www.scopus.com/pages/publications/85120727649?origin=resultslist</t>
  </si>
  <si>
    <t>Clemson University, United States</t>
  </si>
  <si>
    <t>Schwendy B., Clemson University, United States; Pang W., Clemson University, United States; Smith R., Clemson University, United States</t>
  </si>
  <si>
    <t>This study investigates the effect of a heavy topping on the vibration properties of a (Cross Laminated Timber) CLT floor. The principal floor system considered is the CLT panels at the Andy Quattlebaum Outdoor Education center at Clemson University which have a 2" concrete topping over a layer of rigid insulation. Instrumented heel-drop tests, employing a roving grid of accelerometers, were performed to determine natural frequencies, mode shapes, frequency response functions, and dampening coefficients. The test determined vibration properties were compared to results of existing analytical models to determine which was the most appropriate one for use in engineering design. In addition to heel-drop tests, an in-situ walking excitation test was performed to evaluate the serviceability of the CLT floor. This study found that, with a layer of rigid insulation separating the topping and the CLT panels, the system behaved predictably like a non-composite system. The resultant mode shapes also verified that the boundary conditions behaved very close to "hinged" and showed that the combination of the surface splines and the continuous topping provide significant transverse continuity in terms of response to vibrations. Lastly, the results of the walking excitation test showed that, with some further study, the current design standards for steel vibration serviceability may be applicable for CLT floor systems. © WCTE 2021. All rights reserved.</t>
  </si>
  <si>
    <t>Clemson; Cross-Laminated Timber; Serviceability; Vibration</t>
  </si>
  <si>
    <t>Concretes; Drops; Frequency response; Laminating; Testing; Timber; Wooden floors; Clemson; Cross laminated; Cross-laminated timber; Drop-tests; Floor systems; Laminated timber; Mode shapes; Serviceability; Vibration; Vibration properties; Vibration analysis</t>
  </si>
  <si>
    <t>2-s2.0-85120727649</t>
  </si>
  <si>
    <t>Zhang C.; Loss C.</t>
  </si>
  <si>
    <t>58608819500; 37098919100</t>
  </si>
  <si>
    <t>SEISMIC FRAGILITY OF A NEW MASS TIMBER-STEEL HYBRID BUILDING SYSTEM EQUIPPED WITH CLT FLOOR DIAPHRAGMS</t>
  </si>
  <si>
    <t>10.52202/069179-0423</t>
  </si>
  <si>
    <t>https://www.scopus.com/pages/publications/85171790972?origin=resultslist</t>
  </si>
  <si>
    <t>Sustainable Engineered Structural Solutions Laboratory, The University of British Columbia, Canada</t>
  </si>
  <si>
    <t>Zhang C., Sustainable Engineered Structural Solutions Laboratory, The University of British Columbia, Canada; Loss C., Sustainable Engineered Structural Solutions Laboratory, The University of British Columbia, Canada</t>
  </si>
  <si>
    <t>An essential step in analysing a Seismic Force-Resisting System (SFRS) is to ascertain how lateral loads distribute within the structure in-between horizontal systems, such as roof and floor diaphragms, and vertical members, such as shear walls and bracings. Clear identification of load paths requires a proper assessment of the in-plane stiffness of floor diaphragms. Nevertheless, in the context of designing SFRS with diaphragms made of wood, neither comprehensive code provisions nor accurate computational methods exist to account for its in-plane flexibility. This shortage of knowledge becomes even more obvious if compared to the common reinforced concrete flooring systems. To investigate influences of the actual in-plane stiffness of diaphragms on the global response of the SFRS, this research performs incremental dynamic analysis (IDA) on a new mass timber-steel hybrid building system via the OpenSees platform and compares its collapse fragility to that of an ideal building model with rigid diaphragms. The SFRS of hybrid building entails concentrically X-braced steel frames, whose nonlinear responses are explicitly simulated, including global buckling, tensile yielding, and post-buckling behaviours. Overall, the fragility analysis concluded that the adoption of the proposed hybrid floor system, with the reinforcement of panel-to-panel connections that contributes to sufficient in-plane stiffness, can facilitate a comparable seismic performance as the building with the fully rigid diaphragm. © 13th World Conference on Timber Engineering, WCTE 2023. All rights reserved.</t>
  </si>
  <si>
    <t>IDA; In-plane diaphragm flexibility; Mass timber-steel hybrid building; OpenSees modelling</t>
  </si>
  <si>
    <t>Buildings; Diaphragms; Floors; Reinforced concrete; Roofs; Seismology; Stiffness; Floor diaphragms; Force resisting systems; Hybrid buildings; In-plane diaphragm flexibility; In-plane stiffness; Incremental dynamic analysis; Mass timber-steel hybrid building; Opensee modeling; Opensees; Seismic forces; Timber</t>
  </si>
  <si>
    <t>2-s2.0-85171790972</t>
  </si>
  <si>
    <t>Bajzecerová V.; Kanócz J.; Rovňák M.; Kováč M.</t>
  </si>
  <si>
    <t>56021870700; 6508181241; 6508053042; 57194526777</t>
  </si>
  <si>
    <t>Prestressed CLT-concrete composite panels with adhesive shear connection</t>
  </si>
  <si>
    <t>10.1016/j.jobe.2022.104785</t>
  </si>
  <si>
    <t>https://www.scopus.com/pages/publications/85132346951?origin=resultslist</t>
  </si>
  <si>
    <t>Institute of Structural Engineering, Faculty of Civil Engineering, Technical University of Košice, Vysokoškolská 4, Košice, 042 00, Slovakia; Department of Architecture, Faculty of Art, Technical University of Košice, Letná 9, Košice, 042 00, Slovakia</t>
  </si>
  <si>
    <t>Bajzecerová V., Institute of Structural Engineering, Faculty of Civil Engineering, Technical University of Košice, Vysokoškolská 4, Košice, 042 00, Slovakia; Kanócz J., Department of Architecture, Faculty of Art, Technical University of Košice, Letná 9, Košice, 042 00, Slovakia; Rovňák M., Institute of Structural Engineering, Faculty of Civil Engineering, Technical University of Košice, Vysokoškolská 4, Košice, 042 00, Slovakia; Kováč M., Institute of Structural Engineering, Faculty of Civil Engineering, Technical University of Košice, Vysokoškolská 4, Košice, 042 00, Slovakia</t>
  </si>
  <si>
    <t>The wet-on-wet gluing method seems to be a highly effective way to ensure a rigid shear connection between timber and concrete. However, in this case, the concrete shrinkage induces a relatively high deflection of timber-concrete composite elements. A new type of slender composite floor panel with a high load-bearing capacity was designed: prestressed cross-laminated timber (CLT)-concrete composite panels with an adhesive shear connection, made using the wet-on-wet method. The prestressing of composite panels was induced by releasing both ends of CLT slabs cambered by 3-point bending with a camber of about 1/100 of the panel length. Doing it this way eliminates the negative effect of the wet-on-wet gluing method, as was experimentally proven. Even one year after concreting, the middle-span deflection of the CLT-concrete composite panels was negative, with a residual camber of 5.5 mm. The theoretical model reflecting the phases of the manufacturing process, rheological phenomena and cracking of the concrete proved to be suitable for estimating the behaviour of prestressed CLT-concrete composite panels with adhesive shear connections. The contributions of influencing factors to the deformations and stresses of panels were quantified. The unfavourable effect of shrinkage has been confirmed regardless of the different anchoring times of panels, and the deflection only due to shrinkage exceeded 1/300 of the panel spans. By prestressing the panels, it was possible to achieve about a 1.2 times higher load-bearing capacity compared to the load capacities of non-prestressed panels. © 2022 Elsevier Ltd</t>
  </si>
  <si>
    <t>Adhesive shear connection; Creep; Cross-laminated timber panel; Prestressing; Shrinkage; Timber-concrete composite element; Time-depended behaviour</t>
  </si>
  <si>
    <t>Bearing capacity; Cambers; Laminated composites; Loads (forces); Prestressing; Shrinkage; Timber; Adhesive shear connection; Composite element; Composite panels; Cross laminated; Cross-laminated timber panel; Laminated timber; Shear connections; Timber-concrete composite element; Timber-concrete composites; Time-depended behavior; Laminating</t>
  </si>
  <si>
    <t>V. Bajzecerová; Institute of Structural Engineering, Faculty of Civil Engineering, Technical University of Košice, Košice, Vysokoškolská 4, 042 00, Slovakia; email: viktoria.bajzecerova@tuke.sk</t>
  </si>
  <si>
    <t>2-s2.0-85132346951</t>
  </si>
  <si>
    <t>Control of building sway and force flows using ultralightweight slabs</t>
  </si>
  <si>
    <t>Journal of Performance of Constructed Facilities</t>
  </si>
  <si>
    <t>A4014015</t>
  </si>
  <si>
    <t>10.1061/(ASCE)CF.1943-5509.0000580</t>
  </si>
  <si>
    <t>https://www.scopus.com/pages/publications/84910613073?origin=resultslist</t>
  </si>
  <si>
    <t>Prince Mohammad Bin Fahd Univ., P.O. Box 1664, Al Khobar, 31952, Saudi Arabia; Univ. of New Brunswick, P.O. Box 4400, Fredericton, E3B 5A3, NB, Canada</t>
  </si>
  <si>
    <t>Asiz A., Prince Mohammad Bin Fahd Univ., P.O. Box 1664, Al Khobar, 31952, Saudi Arabia; Smith I., Univ. of New Brunswick, P.O. Box 4400, Fredericton, E3B 5A3, NB, Canada</t>
  </si>
  <si>
    <t>Design analyses are presented to demonstrate the technical advantages of substituting ultralightweight slab materials like cross-laminated-timber (CLT) for reinforced concrete (RC) floors and roofs of low-rise and high-rise hybrid building superstructures. Such substitution reduces the gravitational masses of slab by at least two-thirds without reducing functionality as bending or diaphragm slabs. Specific illustrations of design impacts of using CLT are given for hybrid building superstructures where steel or RC frameworks are the primary means of resisting effects of gravity forces associated with occupied built spaces. Results shown apply to two-story buildings in which effects of lateral forces associated with wind or seismic loads are resisted entirely by a steel moment framework, and six- and twenty four-story buildings in which RC shear walls within building cores primarily resist effects of such lateral loads. Consideration is also given to how fire engineering design decisions can impact structural performances of high-rise buildings incorporating combustible slab materials like CLT. The possible fire design solutions considered being complete encapsulation of CLT slabs using noncombustible claddings, and inclusion of RC fire floors vertically separating the superstructure into fire compartments having dimensions typically permitted for combustible construction. In the broad sense, analyses presented here suggest that it is feasible to reduce total gravitational and modal masses of superstructure by at least one-third, with concomitant reductions in superstructure and foundation construction costs. In practice engineers can have many types of lightweight slab construction techniques to choose from, apart from using CLT. Approximate percentage reductions in sway and superstructure force flows quoted herein will scale in proportion to the square-root of the ratio of the masses of RC floor slabs to masses of any substitute floor construction. © 2014 American Society of Civil Engineers.</t>
  </si>
  <si>
    <t>Concrete; Damping; Dynamic response; Earthquake; High-rise; Hybrid building; Lightweight; Steel; Structural dynamics; Timber</t>
  </si>
  <si>
    <t>Concretes; Damping; Dynamic response; Earthquakes; Fires; Floors; Gravitation; Hybrid materials; Reinforced concrete; Shear flow; Steel; Structural dynamics; Tall buildings; Timber; Combustible construction; Concomitant reduction; Foundation construction; Four-story buildings; High rise; Hybrid buildings; Lightweight; Structural performance; Architectural design</t>
  </si>
  <si>
    <t>JPCFE</t>
  </si>
  <si>
    <t>J. Perform. Constr. Facil.</t>
  </si>
  <si>
    <t>2-s2.0-84910613073</t>
  </si>
  <si>
    <t>Lago F.S.; Doudak G.</t>
  </si>
  <si>
    <t>57210913715; 8344084200</t>
  </si>
  <si>
    <t>FINITE ELEMENT-BASED EVALUATION OF WALKING-INDUCED VIBRATIONS IN TIMBER-CONCRETE COMPOSITE FLOORS</t>
  </si>
  <si>
    <t>10.52202/080513-0270</t>
  </si>
  <si>
    <t>https://www.scopus.com/pages/publications/105010253373?origin=resultslist</t>
  </si>
  <si>
    <t>Dept. of Civil Engineering, University of Ottawa, Ottawa, Canada</t>
  </si>
  <si>
    <t>Lago F.S., Dept. of Civil Engineering, University of Ottawa, Ottawa, Canada; Doudak G., Dept. of Civil Engineering, University of Ottawa, Ottawa, Canada</t>
  </si>
  <si>
    <t>This study investigates the dynamic behaviour of Cross-Laminated Timber (CLT) and Timber-Concrete Composite (TCC) floor systems under human induced vibrations through parametric analysis. A full-scale 9.35 m TCC floor segment was designed to promote failure in vibration and deflection, using the γ-method from Eurocode 5 with the aim to evaluate the effective bending stiffness. The results show a 63% reduction in midspan deflection for the TCC system compared to the CLT panel, due to stiffness contribution from the concrete layer and composite action. The addition of concrete consistently decreased the natural frequencies due to the increased mass. The TCC system showed a significant reduction in peak acceleration compared to that with CLT alone, demonstrating enhanced vibration mitigation. The study also examined the effects of connection stiffness, occupant weight, gait frequency, and multiple occupants. The findings show the complexity of vibrational behaviour in TCC systems and provide a foundation for validating future experimental work. © (2025) WORLD CONFERENCE ON TIMBER ENGINEERING 2025 (WCTE 2025) All rights reserved.</t>
  </si>
  <si>
    <t>finite elements modelling; human-induced vibrations; Timber-concrete composite (TCC)</t>
  </si>
  <si>
    <t>Concrete slabs; Laminated composites; Stiffness; Structural dynamics; Timber; Vibration analysis; Vibration control; % reductions; Composite floors; Cross laminated; Element models; Finite element modeling; Human-induced vibration; Induced vibrations; Laminated timber; Timber-concrete composite; Timber-concrete composites; Floors</t>
  </si>
  <si>
    <t>2-s2.0-105010253373</t>
  </si>
  <si>
    <t>Mai K.Q.; Park A.; Lee K.</t>
  </si>
  <si>
    <t>57202573624; 57201128050; 7501514239</t>
  </si>
  <si>
    <t>Experimental and numerical performance of shear connections in CLT–concrete composite floor</t>
  </si>
  <si>
    <t>Materials and Structures/Materiaux et Constructions</t>
  </si>
  <si>
    <t>10.1617/s11527-018-1202-3</t>
  </si>
  <si>
    <t>https://www.scopus.com/pages/publications/85048794332?origin=resultslist</t>
  </si>
  <si>
    <t>Mai K.Q., Department of Architectural Engineering, Sejong University, Seoul, South Korea; Park A., Department of Architectural Engineering, Sejong University, Seoul, South Korea; Lee K., Department of Architectural Engineering, Sejong University, Seoul, South Korea</t>
  </si>
  <si>
    <t>The hybrid cross-laminated timber (CLT) and concrete system has drawn attention as an attractive application for residential and commercial buildings. However, it is crucial to fully understand the mechanical characteristics of the CLT–concrete composite connections before such a hybrid structure becomes widely applicable. This paper assesses the structural performance (force–slip response, slip modulus, and failure mode) of a CLT–concrete composite by conducting fifteen pushout test specimens, which were designed by using the γ-method (Eurocode 5). In these composite specimens, the CLT floor panels were connected to concrete slabs using common mechanical connectors, and the effect of different connection types, connection angles, the penetration depth of the connector, and concrete topping thickness were investigated. The results show that all of the specimens had good trend in the failure mechanisms with a little crush occurred in the CLT and concrete. The finding revealed that the inclination connectors were appeared as an attractive connector layout for CLT–concrete composite components. Non-linear 3D finite element analysis was also developed to simulate the load-slip behavior of the CLT-concrete specimens under shear load. In general, a reliable non-linear finite element model using ANSYS is a great tool for capturing shear capacity and the overall behavior of the hybrid push-out specimens. © 2018, RILEM.</t>
  </si>
  <si>
    <t>Ansys workbench; CLT—concrete composite floor; Cross laminated timber; Hybrid timber structure; Push-out test; Shear connector</t>
  </si>
  <si>
    <t>Concrete slabs; Finite element method; Floors; Laminating; Office buildings; Structural analysis; Timber; Ansys workbenches; Concrete composites; Cross laminated; Push-out tests; Shear connector; Timber structures; Laminated composites</t>
  </si>
  <si>
    <t>Springer Netherlands</t>
  </si>
  <si>
    <t>MASTE</t>
  </si>
  <si>
    <t>Mater Struct</t>
  </si>
  <si>
    <t>2-s2.0-85048794332</t>
  </si>
  <si>
    <t>Hindman D.P.; Golden M.V.</t>
  </si>
  <si>
    <t>9233984400; 55428118300</t>
  </si>
  <si>
    <t>Acoustical Properties of Southern Pine Cross-Laminated Timber Panels</t>
  </si>
  <si>
    <t>10.1061/(ASCE)AE.1943-5568.0000407</t>
  </si>
  <si>
    <t>https://www.scopus.com/pages/publications/85083400594?origin=resultslist</t>
  </si>
  <si>
    <t>Dept. Sustainable Biomaterials, Virginia Tech, 1650 Research Center Drive, Blacksburg, 24061, VA, United States; Pliteq, Inc., 131 Royal Group Crescent, Vaughan, L4H 1X9, ON, Canada</t>
  </si>
  <si>
    <t>Hindman D.P., Dept. Sustainable Biomaterials, Virginia Tech, 1650 Research Center Drive, Blacksburg, 24061, VA, United States; Golden M.V., Pliteq, Inc., 131 Royal Group Crescent, Vaughan, L4H 1X9, ON, Canada</t>
  </si>
  <si>
    <t>Cross-laminated timber (CLT) is composed of a series of lumber layers placed orthogonally to create a thick panel. Advantages of CLT construction include reduced construction time, lighter structural elements, and reduced carbon footprint. As part of an effort to explore the use of a southern pine CLT panel for building code acceptance, the transmission loss (TL), associated sound transmission class (STC), normalized impact sound pressure levels (NISPL), and associated impact insulation class (IIC) of CLT walls and floors were measured. Wall and floor configurations were tested both as bare CLT panels and with one side covered with studs/joists, insulation, and gypsum wall board. STC results of the bare wall and floor configurations produced identical STC values. The wall and floor configurations using CLT with one-sided studs/joists met or exceeded the STC values in the International Building Code (IBC), but did not meet the IIC values in the IBC. Comparisons of the one-third octave band TL of the CLT panels with conventional wood frame and concrete sections were discussed. The TL performance of the CLT panels mirrored the mass-law relationship. The NISPL associated with CLT bare floors mimicked the NISPL values of a bare concrete floor, except at higher frequencies at which the CLT outperformed the concrete. © 2020 American Society of Civil Engineers.</t>
  </si>
  <si>
    <t>ASTM E 492; ASTM E 90; Cross-laminated timber; Impact insulation class (IIC); Sound transmission class (STC)</t>
  </si>
  <si>
    <t>Acoustic wave transmission; Architectural acoustics; Building codes; Carbon footprint; Floors; Laminating; Sound insulation; Studs (structural members); Timber; Transmissions; Walls (structural partitions); Acoustical properties; Construction time; Higher frequencies; International Building Code; Normalized impact sound pressure levels; Sound transmission; Structural elements; Transmission loss; Concretes</t>
  </si>
  <si>
    <t>D.P. Hindman; Dept. Sustainable Biomaterials, Virginia Tech, Blacksburg, 1650 Research Center Drive, 24061, United States; email: dhindman@vt.edu</t>
  </si>
  <si>
    <t>2-s2.0-85083400594</t>
  </si>
  <si>
    <t>Van Thai M.; Galimard P.; Elachachi S.M.; Ménard S.</t>
  </si>
  <si>
    <t>57218437138; 6506441067; 14055863500; 56653986600</t>
  </si>
  <si>
    <t>Multi-objective optimization of cross laminated timber-concrete composite floor using NSGA-II</t>
  </si>
  <si>
    <t>10.1016/j.jobe.2022.104285</t>
  </si>
  <si>
    <t>https://www.scopus.com/pages/publications/85128205002?origin=resultslist</t>
  </si>
  <si>
    <t>Civil and Environmental Engineering Department, University of Bordeaux, Bordeaux, 33000, France; Applied Sciences Department, University of Québec in Chicoutimi, Saguenay, QC G7H 2B1, Canada</t>
  </si>
  <si>
    <t>Van Thai M., Civil and Environmental Engineering Department, University of Bordeaux, Bordeaux, 33000, France, Applied Sciences Department, University of Québec in Chicoutimi, Saguenay, QC G7H 2B1, Canada; Galimard P., Civil and Environmental Engineering Department, University of Bordeaux, Bordeaux, 33000, France; Elachachi S.M., Civil and Environmental Engineering Department, University of Bordeaux, Bordeaux, 33000, France; Ménard S., Applied Sciences Department, University of Québec in Chicoutimi, Saguenay, QC G7H 2B1, Canada</t>
  </si>
  <si>
    <t>Cross-laminated timber (CLT) is an engineered wood product made of multiple glued layers in the form of a panel suitable for flooring systems. CLT can also be mechanically connected to the concrete layer using the connector systems to create a CLT-concrete composite (CCC). This concept enhanced the structural performance of the floor and could be adopted for mid-and high-rise buildings. However, the design of the CCC floor involves the optimization of multiple structural and non-structural elements. In this study, we tackle the gap in the literature by carrying out a multi-objective optimization of the CCC floor with notched connectors by minimizing total thickness, total weight, and total material cost considering structural, vibration comfort, and especially, fire conditions constraints using the well-developed genetic algorithm (NSGA-II). The optimal solutions are presented in the Pareto fronts of multiple floor spans and cost ratio timber/concrete. The study also gives insight into the influence of design parameters and the governing design constraint. However, we only focus on one type of floor (CCC) and do not implement the environmental aspect of the structure. © 2022</t>
  </si>
  <si>
    <t>Canadian standards; CLT-Concrete composite; Cross-laminated timber; Multi-objective optimization; NSGA-II</t>
  </si>
  <si>
    <t>Concretes; Floors; Genetic algorithms; Laminated composites; Laminating; Tall buildings; Timber; Canadian standard; Cross laminated; Cross-laminated timber; Cross-laminated timber-concrete composite; Laminated timber; Multi-objectives optimization; NSGA-II; Timber-concrete composites; Multiobjective optimization</t>
  </si>
  <si>
    <t>P. Galimard; Civil and Environmental Engineering Department, University of Bordeaux, Bordeaux, 33000, France; email: philippe.galimard@u-bordeaux.fr</t>
  </si>
  <si>
    <t>2-s2.0-85128205002</t>
  </si>
  <si>
    <t>Diao Y.; Loss C.</t>
  </si>
  <si>
    <t>57205532257; 37098919100</t>
  </si>
  <si>
    <t>Long-Span CLT-Glulam Composite Flooring System Connected with Bamboo-Based Shear Connectors: Feasibility of Design for Assembly</t>
  </si>
  <si>
    <t>348 LNCE</t>
  </si>
  <si>
    <t>10.1007/978-3-031-34159-5_23</t>
  </si>
  <si>
    <t>https://www.scopus.com/pages/publications/85172734701?origin=resultslist</t>
  </si>
  <si>
    <t>Sustainable Engineered Structural Solutions Laboratory, University of British Columbia, Vancouver, BC, Canada</t>
  </si>
  <si>
    <t>Diao Y., Sustainable Engineered Structural Solutions Laboratory, University of British Columbia, Vancouver, BC, Canada; Loss C., Sustainable Engineered Structural Solutions Laboratory, University of British Columbia, Vancouver, BC, Canada</t>
  </si>
  <si>
    <t>Composite flooring systems built with CLT-glulam ribs have a higher strength-to-weight ratio compared to the concrete-steel composites; thus, it can result in an economical solution for spans over 12 m. In practice, the lack of studies on the structural performance of such CLT-glulam composites often leads to the oversize of the floor members. In addition, shear connectors design is crucial and drives to the structural efficiency of the floor assembly. In this paper, the long-span CLT-glulam composite flooring system is assembled using bamboo-based shear connectors. Similar to conventional mortise-tenon joints, this new connection method can minimize the required number of connectors and installation time. Modular design is incorporated in the flooring system, serving the North American mass timber construction market. The design method of the flooring system is based on the theory of composite beams with partial interaction. Design assumptions covering effective width, joint efficiency, and components configuration are discussed under ultimate limit state and serviceability limit states. Four bamboo-based shear connector prototypes with different tenon profiles are given. The optimized timber components and connectors for a 12-m span floor are implemented. Individual load-slip response of bamboo-based shear connectors is investigated by means of modeling each component with a solid-type finite element (FE) model. Results show that bamboo-based shear connectors have high stiffness values and can transfer shear force between the timber members efficiently. Based on the stress distribution analysis, discussion on the mechanical behavior and floor’s bending resistance is also included. Compared to common hardwood shear keys, bamboo connectors have advantages in terms of material and structural efficiency. © 2023, Canadian Society for Civil Engineering.</t>
  </si>
  <si>
    <t>Bamboo-based shear connectors; Flooring system; Long-span CLT-glulam composite</t>
  </si>
  <si>
    <t>Bamboo; Building materials; Efficiency; Hardwoods; Structural analysis; Timber; Bamboo-based shear connector; Composite flooring; Design for assembly; Flooring system; High-strength; Long span; Long-span CLT-glulam composite; Shear connector; Strength to weight ratio; Structural efficiencies; Floors</t>
  </si>
  <si>
    <t>C. Loss; Sustainable Engineered Structural Solutions Laboratory, University of British Columbia, Vancouver, Canada; email: cristiano.loss@ubc.ca</t>
  </si>
  <si>
    <t>978-303134158-8</t>
  </si>
  <si>
    <t>2-s2.0-85172734701</t>
  </si>
  <si>
    <t>Mohammdadyzadeh S.; Ganjali H.; Zhou J.; Tannert T.</t>
  </si>
  <si>
    <t>57208226208; 57918861600; 57202383380; 22939744900</t>
  </si>
  <si>
    <t>Experimental Study on the Quasi-Static Cyclic and Dynamic Performance of Two-Story Platform Cross-Laminated Timber Mock-Ups</t>
  </si>
  <si>
    <t>10.1061/JPCFEV.CFENG-4852</t>
  </si>
  <si>
    <t>https://www.scopus.com/pages/publications/85203190035?origin=resultslist</t>
  </si>
  <si>
    <t>School of Engineering, Univ. of Northern British Columbia, Prince George, V2L 1R5, BC, Canada; School of Engineering, Univ. of Northern British Columbia, Prince George, V2L 1R5, BC, Canada; School of Engineering, Univ. of Northern British Columbia, Prince George, V2L 1R5, BC, Canada; School of Engineering, Univ. of Northern British Columbia, Prince George, V2L 1R5, BC, Canada</t>
  </si>
  <si>
    <t>Mohammdadyzadeh S., School of Engineering, Univ. of Northern British Columbia, Prince George, V2L 1R5, BC, Canada; Ganjali H., School of Engineering, Univ. of Northern British Columbia, Prince George, V2L 1R5, BC, Canada; Zhou J., School of Engineering, Univ. of Northern British Columbia, Prince George, V2L 1R5, BC, Canada; Tannert T., School of Engineering, Univ. of Northern British Columbia, Prince George, V2L 1R5, BC, Canada</t>
  </si>
  <si>
    <t>Cross-laminated timber (CLT) is a mass timber product that has been used increasingly as a sustainable and cost-effective alternative to conventional construction materials such as concrete and steel. Understanding the seismic performance of CLT buildings is vital in the design process for engineers as the use of CLT has increased toward mid-and high-rise buildings. In this study, the experimental dynamic behavior of three full-scale two-story platform CLT shear wall mock-ups were investigated under quasi-static reversed cyclic and interval impact hammer modal tests. The mock-ups differed in the tension splice between the two stories, the level of dead load, and the installation of an acoustic insulation layer between stories. The impact hammer modal tests were conducted during different steps of the reversed cyclic tests to extract modal characteristics such as natural frequencies, damping ratios, and mode shapes in the defined drifts of frequent, medium, and rare seismic hazard levels. The mock-up's experimental first period was in good agreement with the results predicted by the empirical equation in the National Building Code of Canada (NBCC). The stiffness degradation during the reversed cyclic tests was related to frequency reductions representing an index of damage. The presence of an acoustic layer increased the damping ratio and stiffness in the first three measured modes. However, further investigations are needed to see the extent of the effect of acoustic layers between the walls and floors on the lateral performance of timber buildings equipped with CLT shear walls and floors. © 2024 American Society of Civil Engineers.</t>
  </si>
  <si>
    <t>Cross-laminated timber (CLT); Dynamic properties; Modal test; Stiffness degradation</t>
  </si>
  <si>
    <t>Architectural acoustics; Floors; Mockups; Mortar; Seismic design; Structural dynamics; Tall buildings; Wooden buildings; Cross laminated; Cross-laminated timber; Dynamics properties; Impact hammers; Laminated timber; Modal test; Quasi-static; Stiffness degradation; Timber buildings; Timber shear walls; Shear walls</t>
  </si>
  <si>
    <t>J. Zhou; School of Engineering, Univ. of Northern British Columbia, Prince George, V2L 1R5, Canada; email: jianhui.zhou@unbc.ca</t>
  </si>
  <si>
    <t>2-s2.0-85203190035</t>
  </si>
  <si>
    <t>Neve O.; Spencer-Allen L.</t>
  </si>
  <si>
    <t>36782582800; 56741338800</t>
  </si>
  <si>
    <t>Shaking up dance floor design with timber–concrete composites</t>
  </si>
  <si>
    <t>Proceedings of Institution of Civil Engineers: Construction Materials</t>
  </si>
  <si>
    <t>10.1680/coma.14.00048</t>
  </si>
  <si>
    <t>https://www.scopus.com/pages/publications/84938057687?origin=resultslist</t>
  </si>
  <si>
    <t>Ramboll UK, Cambridge, United Kingdom</t>
  </si>
  <si>
    <t>Neve O., Ramboll UK, Cambridge, United Kingdom; Spencer-Allen L., Ramboll UK, Cambridge, United Kingdom</t>
  </si>
  <si>
    <t>A cross-laminated timber (CLT) and concrete composite, referred to as TimCrete®, was constructed for dance floor and classroom spaces at a new school in Wisbech, Cambridgeshire by Ramboll. It is understood that this particular type of system using CLT and a concrete composite topping is a world first in an occupied structure. CLT is typically limited to approximately a 7·5m span before vibration becomes a governing issue. The introduction of a composite concrete topping improves the stiffness and reduces the vibration response factor allowing greater spans, such as 10m at Thomas Clarkson Community College, to be achieved. © 2015, ICE Publishing: All rights reserved</t>
  </si>
  <si>
    <t>Composite structures; Slabs &amp; plates; Timber structures</t>
  </si>
  <si>
    <t>Composite structures; Floors; Laminated composites; Timber; Community college; Composite concretes; Concrete composites; Cross laminated; Timber structures; Vibration response; Concretes</t>
  </si>
  <si>
    <t>Thomas Telford Services Ltd</t>
  </si>
  <si>
    <t>1747650X</t>
  </si>
  <si>
    <t>Proc. Inst. Civ. Eng. Constr. Mater.</t>
  </si>
  <si>
    <t>2-s2.0-84938057687</t>
  </si>
  <si>
    <t>Thai M.-V.; Elachachi S.M.; Ménard S.; Galimard P.</t>
  </si>
  <si>
    <t>57296614300; 14055863500; 56653986600; 6506441067</t>
  </si>
  <si>
    <t>Vibrational behavior of cross-laminated timber-concrete composite beams using notched connectors</t>
  </si>
  <si>
    <t>10.1016/j.engstruct.2021.113309</t>
  </si>
  <si>
    <t>https://www.scopus.com/pages/publications/85117081216?origin=resultslist</t>
  </si>
  <si>
    <t>Civil and Environmental Engineering Department, University of Bordeaux, Bordeaux, 33000, France; Applied Sciences Department, University of Québec in Chicoutimi, Saguenay, G7H 2B1, QC, Canada</t>
  </si>
  <si>
    <t>Thai M.-V., Civil and Environmental Engineering Department, University of Bordeaux, Bordeaux, 33000, France, Applied Sciences Department, University of Québec in Chicoutimi, Saguenay, G7H 2B1, QC, Canada; Elachachi S.M., Civil and Environmental Engineering Department, University of Bordeaux, Bordeaux, 33000, France; Ménard S., Applied Sciences Department, University of Québec in Chicoutimi, Saguenay, G7H 2B1, QC, Canada; Galimard P., Civil and Environmental Engineering Department, University of Bordeaux, Bordeaux, 33000, France</t>
  </si>
  <si>
    <t>The CLT-concrete composite (CCC) solution is appealing since it possesses many advantages of a timber-concrete composite flooring system with a small thickness. However, the vibration criteria is usually an obstacle in the design process, especially more onerous for the long-span floor. The present study focus on the dynamic properties (fundamental frequency and damping) of CCC beams featured notched connectors. Three composite beams were fabricated and tested. The experimental natural frequencies were compared with analytical and numerical results. Some improvement in terms of the fundamental frequency and modal damping was found in the CCC beams compared to bare CLT beams. A significant gap between the experimental and theoretical fundamental frequency was observed in the case of a non-composite beam. Modal damping was negatively correlated to the number of notches of the beams. Finally, the analysis was expanded to other literature studies to validate our experimental and numerical results. © 2021 Elsevier Ltd</t>
  </si>
  <si>
    <t>Bending stiffness; CLT-concrete composite; Cross-laminated timber; Damping; Dynamic behavior; FE model; Fundamental frequency; Notched connectors; Timber-concrete composite; Vibration</t>
  </si>
  <si>
    <t>Composite beams and girders; Concretes; Finite element method; Floors; Laminated composites; Laminating; Natural frequencies; Timber; Bending stiffness; CLT-concrete composite; Concrete composites; Cross laminated; Cross-laminated timber; Dynamic behaviors; FE model; Fundamental frequencies; Laminated timber; Notched connector; Timber-concrete composites; Vibration; composite; dynamic response; experimental study; finite element method; frequency analysis; numerical model; reinforced concrete; stiffness; timber; vibration; Damping</t>
  </si>
  <si>
    <t>M.-V. Thai; Civil and Environmental Engineering Department, University of Bordeaux, Bordeaux, 33000, France; email: minh-van.thai@u-bordeaux.fr</t>
  </si>
  <si>
    <t>2-s2.0-85117081216</t>
  </si>
  <si>
    <t>Woschitz R.; Deix K.; Huber C.; Kampitsch T.</t>
  </si>
  <si>
    <t>54972694100; 57211961384; 57211966465; 57220068309</t>
  </si>
  <si>
    <t>Development of innovative wood-concrete composite floors in prefabricated construction method; [Entwicklung neuartiger Holz-Betonverbunddecken in Fertigteilbauweise]</t>
  </si>
  <si>
    <t>Bautechnik</t>
  </si>
  <si>
    <t>S1</t>
  </si>
  <si>
    <t>10.1002/bate.201800097</t>
  </si>
  <si>
    <t>https://www.scopus.com/pages/publications/85096798957?origin=resultslist</t>
  </si>
  <si>
    <t>Woschitz Gruppe, Karlsplatz 2, Wien, 1010, Austria; Technische Universität Wien – Baustofflehre E206-1, Karlsplatz 13, Wien, 1040, Austria; Höhere Technische Bundeslehranstalt Wien 3, Rennweg 89b, Wien, 1030, Austria</t>
  </si>
  <si>
    <t>Woschitz R., Woschitz Gruppe, Karlsplatz 2, Wien, 1010, Austria; Deix K., Technische Universität Wien – Baustofflehre E206-1, Karlsplatz 13, Wien, 1040, Austria; Huber C., Höhere Technische Bundeslehranstalt Wien 3, Rennweg 89b, Wien, 1030, Austria; Kampitsch T., Technische Universität Wien – Baustofflehre E206-1, Karlsplatz 13, Wien, 1040, Austria</t>
  </si>
  <si>
    <t>Development of innovative wood-concrete composite floors in prefabricated construction method. The use of wood in construction as a natural and sustainable building material is becoming increasingly important. New developments are moving towards the use of wood in multi-storey residential and office buildings. In addition to the ecological advantages, the favourable room climate and the direct experience of wooden surfaces on walls and ceilings are also important for the user. In storey construction, the wood-concrete composite construction method in particular, which makes optimum use of the static advantages of both building materials, has proven to be forward-looking. The newly developed wood-concrete composite floor described in this paper consists of CLT panels and precast concrete elements. The wooden element mainly absorbs the bending tensile forces and the concrete slab mainly absorbs the bending compressive forces. The necessary shear connection is made via so-called cleats, which are milled into the wood and formed in the concrete in complementary form. The connection is also secured with an adhesion bond. In addition to the development of the design and the appropriate manufacturing method, shear tests on small bodies and several large-scale bending tests on ceiling elements on a scale of 1 : 1 were carried out to investigate the load-bearing behaviour. Furthermore, in order to find a suitable calculation method, the gamma method and the discrete were compared with the bending tests. © 2021, Ernst und Sohn. All rights reserved.</t>
  </si>
  <si>
    <t>Building materials; calculation; cleats; load test; support structure; Timber construction; wood-concrete composite floors</t>
  </si>
  <si>
    <t>K. Deix; Technische Universität Wien – Baustofflehre E206-1, Wien, Karlsplatz 13, 1040, Austria; email: karl.deix@tuwien.ac.at</t>
  </si>
  <si>
    <t>Ernst und Sohn</t>
  </si>
  <si>
    <t>BAUTE</t>
  </si>
  <si>
    <t>German</t>
  </si>
  <si>
    <t>2-s2.0-85096798957</t>
  </si>
  <si>
    <t>Soriano F.M.; Pericot N.G.; Sierra E.M.</t>
  </si>
  <si>
    <t>57189216636; 54885256400; 57189222710</t>
  </si>
  <si>
    <t>Comparative analysis of the reinforcement of a traditional wood floor in collective housing. In depth development with cross laminated timber and concrete</t>
  </si>
  <si>
    <t>Case Studies in Construction Materials</t>
  </si>
  <si>
    <t>10.1016/j.cscm.2016.03.004</t>
  </si>
  <si>
    <t>https://www.scopus.com/pages/publications/84966264794?origin=resultslist</t>
  </si>
  <si>
    <t>Universidad Europea de Madrid, Grupo de Investigación en Tecnología Arquitectónica Construida (GITAC), Madrid, Spain; Universidad Politécnica de Madrid, Madrid, Spain</t>
  </si>
  <si>
    <t>Soriano F.M., Universidad Europea de Madrid, Grupo de Investigación en Tecnología Arquitectónica Construida (GITAC), Madrid, Spain; Pericot N.G., Universidad Europea de Madrid, Grupo de Investigación en Tecnología Arquitectónica Construida (GITAC), Madrid, Spain; Sierra E.M., Universidad Europea de Madrid, Grupo de Investigación en Tecnología Arquitectónica Construida (GITAC), Madrid, Spain, Universidad Politécnica de Madrid, Madrid, Spain</t>
  </si>
  <si>
    <t>The restoration of heritage buildings deserves innovative and sustainable solutions that prioritize reinforcement versus substitution. When considering materials to undertake the actions, wood and its derivatives such as cross-laminated timber (CLT) are an interesting option. The aim of this study is to conduct a comparative analysis of two constructive systems from a structural point of view. Both are mixed systems: concrete-wood and CLT-wood. The reference floor structure proposed to simulate a real situation is searched among the typology of existing floors described in different treaties from XVIII and XIX Centuries. After comparing the samples in terms of deformation, in fire situation, and considering the influence by load increases on the building foundations, the lightness of the mixed solution wood-CLT offers advantages as it makes the state of permanent loads very similar to the original state of loads of the building. © 2016 The Authors.</t>
  </si>
  <si>
    <t>Change of use; Cross-laminated timber; Floor structure; Mixed system; Reinforcement</t>
  </si>
  <si>
    <t>Concretes; Floors; Laminating; Reinforcement; Timber; Building foundations; Change of use; Comparative analysis; Constructive systems; Cross laminated; Floor structures; Mixed systems; Sustainable solution; Wood</t>
  </si>
  <si>
    <t>N.G. Pericot; Universidad Europea de Madrid, Grupo de Investigación en Tecnología Arquitectónica Construida (GITAC), Madrid, Spain; email: natalia.gonzalez@universidadeuropea.es</t>
  </si>
  <si>
    <t>Case Stud. Constr. Mater.</t>
  </si>
  <si>
    <t>2-s2.0-84966264794</t>
  </si>
  <si>
    <t>Barbosa A.R.; Rodrigues L.G.; Sinha A.; Higgins C.; Zimmerman R.B.; Breneman S.; Pei S.; Van De Lindt J.W.; Berman J.; McDonnell E.</t>
  </si>
  <si>
    <t>55203435000; 57196117518; 57203184231; 57212721289; 56625531200; 6603488427; 16031485700; 6701580121; 7202773945; 57193128278</t>
  </si>
  <si>
    <t>Shake-Table Experimental Testing and Performance of Topped and Untopped Cross-Laminated Timber Diaphragms</t>
  </si>
  <si>
    <t>10.1061/(ASCE)ST.1943-541X.0002914</t>
  </si>
  <si>
    <t>https://www.scopus.com/pages/publications/85099764195?origin=resultslist</t>
  </si>
  <si>
    <t>School of Civil and Construction Engineering, Oregon State Univ., Corvallis, 97331, OR, United States; Dept. of Civil Engineering, Institute of Science, Innovation Institute for Sustainability and Innovation in Structural Engineering, Univ. of Minho, Azurém, Guimarães, 4800-058, Portugal; Dept. of Wood Science and Engineering, Oregon State Univ., Corvallis, 97331, OR, United States; KPFF Consulting Engineers, 111 SW 5th Ave., Portland, 97204, OR, United States; WoodWorks-Wood Products Council, P.O. Box D, Deer Park, 99006, WA, United States; Dept. of Civil and Environmental Engineering, Colorado School of Mines, 1500 Illinois St., Golden, 80401, CO, United States; Dept. of Civil and Environmental Engineering, Colorado State Univ., Fort Collins, 80523, CO, United States; Dept. of Civil and Environmental Engineering, Univ. of Washington, 214D More Hall, Seattle, 98195, WA, United States; Holmes Structures, 555 SE MLK Blvd., Portland, 97214, OR, United States</t>
  </si>
  <si>
    <t>Barbosa A.R., School of Civil and Construction Engineering, Oregon State Univ., Corvallis, 97331, OR, United States; Rodrigues L.G., Dept. of Civil Engineering, Institute of Science, Innovation Institute for Sustainability and Innovation in Structural Engineering, Univ. of Minho, Azurém, Guimarães, 4800-058, Portugal; Sinha A., Dept. of Wood Science and Engineering, Oregon State Univ., Corvallis, 97331, OR, United States; Higgins C., School of Civil and Construction Engineering, Oregon State Univ., Corvallis, 97331, OR, United States; Zimmerman R.B., KPFF Consulting Engineers, 111 SW 5th Ave., Portland, 97204, OR, United States; Breneman S., WoodWorks-Wood Products Council, P.O. Box D, Deer Park, 99006, WA, United States; Pei S., Dept. of Civil and Environmental Engineering, Colorado School of Mines, 1500 Illinois St., Golden, 80401, CO, United States; Van De Lindt J.W., Dept. of Civil and Environmental Engineering, Colorado State Univ., Fort Collins, 80523, CO, United States; Berman J., Dept. of Civil and Environmental Engineering, Univ. of Washington, 214D More Hall, Seattle, 98195, WA, United States; McDonnell E., Holmes Structures, 555 SE MLK Blvd., Portland, 97214, OR, United States</t>
  </si>
  <si>
    <t>This paper presents the behavior of floor diaphragms of a shake-table experiment of a full-scale 2-story mass-timber building structure. The structure consists of glued-laminated timber beams and columns, and floors and walls were designed and built making use of cross-laminated timber panels. Two different floor systems were designed, where the roof consists of a topped cross-laminated timber (CLT)-concrete composite system, and the floor level consists of untopped CLT panels connected with plywood single-surface splines. The CLT floor systems were designed to remain essentially elastic over the whole series of shake-table tests, which included testing of three lateral force-resisting systems tested at three different seismic intensity levels (service level, design basis, and maximum considered earthquake) for a total of 34 shake-table earthquake tests. Results from the testing indicate that CLT diaphragms designed to remain essentially elastic based on basic principles of structural mechanics and existing test data can achieve desired seismic performance objectives. In addition, sources of overstrength in certain elements of the diaphragm need to be explicitly considered for a holistic diaphragm design. © 2021 American Society of Civil Engineers.</t>
  </si>
  <si>
    <t>Cross-laminated timber (CLT); Cross-laminated timber-concrete composite floor; Diaphragm design; Resilience; Shake-table test</t>
  </si>
  <si>
    <t>Earthquakes; Floors; Laminating; Seismic design; Timber; Wooden buildings; Concrete composites; Experimental testing; Glued-laminated timber; Lateral force resisting system; Maximum considered earthquakes; Seismic Performance; Shake table experiments; Structural mechanics; Laminated composites</t>
  </si>
  <si>
    <t>A.R. Barbosa; School of Civil and Construction Engineering, Oregon State Univ., Corvallis, 97331, United States; email: andre.barbosa@oregonstate.edu; A.R. Barbosa; School of Civil and Construction Engineering, Oregon State Univ., Corvallis, 97331, United States; email: andre.barbosa@oregonstate.edu</t>
  </si>
  <si>
    <t>2-s2.0-85099764195</t>
  </si>
  <si>
    <t>Hiramitsu A.; Hirakawa S.; Ishizuka M.</t>
  </si>
  <si>
    <t>36499616500; 56637881700; 60519576300</t>
  </si>
  <si>
    <t>Experimental study on the indication method of heavy-weight floor impact sound insulation performance of CLT floors in Japan</t>
  </si>
  <si>
    <t>54th International Congress and Exposition on Noise Control Engineering, INTERNOISE 2025</t>
  </si>
  <si>
    <t>10.3397/IN_2025_1076082</t>
  </si>
  <si>
    <t>https://www.scopus.com/pages/publications/105033453932?origin=resultslist</t>
  </si>
  <si>
    <t>Building Research Institute, 1, Tachihara, Ibaraki, Tsukuba-Shi, 305-0802, Japan; National Institute for Land and Infrastructure Management, 1, Tachihara, Ibaraki, Tsukuba-Shi, 305-0802, Japan; Architectural Laboratory for Systems Environment &amp; Development 5th Floor, Imonmitake Bldg., 1-20-1, Shibuya, Shibuya-Ku, Tokyo, 150-0002, Japan</t>
  </si>
  <si>
    <t>Hiramitsu A., Building Research Institute, 1, Tachihara, Ibaraki, Tsukuba-Shi, 305-0802, Japan; Hirakawa S., National Institute for Land and Infrastructure Management, 1, Tachihara, Ibaraki, Tsukuba-Shi, 305-0802, Japan; Ishizuka M., Architectural Laboratory for Systems Environment &amp; Development 5th Floor, Imonmitake Bldg., 1-20-1, Shibuya, Shibuya-Ku, Tokyo, 150-0002, Japan</t>
  </si>
  <si>
    <t>The Housing Performance Indication System provides standardized evaluation criteria for the acoustic performance in Japan. For heavy-weight floor impact sound control, two primary parameters are used: the heavy floor impact sound control grade and the equivalent slab thickness (heavy floor impact sounds). The equivalent slab thickness quantifies the effectiveness of a floor in reducing heavy-weight floor impact sound transmission, expressed as the thickness of a homogeneous concrete slab with equivalent performance. Current prescriptive regulations define section specifications for timber framework and wood-framed construction, specifying an equivalent slab thickness of 11 cm. The CLT floors, however, have not yet been formally incorporated into these regulatory standards. To address this gap, an experimental study was conducted using two full-scale CLT test houses to assess the acoustic performance of different CLT floor configurations. The results indicate that adding a 100 mm concrete topping and constructing a dry-type double-floor structure significantly enhances heavy-weight floor impact sound insulation, achieving an equivalent slab thickness of 11 cm. This paper provides an overview of the Housing Performance Indication System, outlines the experimental methodology, and evaluates the acoustic performance of CLT floors. The findings support the future development of prescriptive regulations for CLT floors in building acoustics. © 2025 INTERNOISE. All Rights Reserved.</t>
  </si>
  <si>
    <t>Acoustic noise; Acoustic variables control; Acoustic wave transmission; Architectural acoustics; Concrete slabs; Wooden construction; Wooden floors; Acoustic performance; Evaluation criteria; Heavy-weight floor impact sounds; Impact sound insulation; Indication system; Performance; Primary parameters; Slab thickness; Sound insulation performance; Housing</t>
  </si>
  <si>
    <t>Int. Congr. Expos. Noise Control Eng., INTERNOISE</t>
  </si>
  <si>
    <t>2-s2.0-105033453932</t>
  </si>
  <si>
    <t>Chiniforush A.A.; Yan M.; Ngo T.D.</t>
  </si>
  <si>
    <t>57190258599; 59983887400; 57209597335</t>
  </si>
  <si>
    <t>PERFORMANCE-BASED SEISMIC DESIGN OF STEEL-TIMBER COMPOSITE STRUCTURES USING ENDURANCE TIME METHOD</t>
  </si>
  <si>
    <t>10.52202/080513-0051</t>
  </si>
  <si>
    <t>https://www.scopus.com/pages/publications/105010241507?origin=resultslist</t>
  </si>
  <si>
    <t>Department of Infrastructure Engineering, The University of Melbourne, Parkville, Australia; School of Civil and Environmental Engineering, UNSW Sydney, Kensington, Australia</t>
  </si>
  <si>
    <t>Chiniforush A.A., Department of Infrastructure Engineering, The University of Melbourne, Parkville, Australia; Yan M., School of Civil and Environmental Engineering, UNSW Sydney, Kensington, Australia; Ngo T.D., Department of Infrastructure Engineering, The University of Melbourne, Parkville, Australia</t>
  </si>
  <si>
    <t>This paper investigates the seismic performance of Steel-Timber Composite (STC) frame structures using the Endurance Time (ET) method as a dynamic analysis technique. Motivated by the potential of replacing steel-concrete composite (SCC) systems with lightweight and sustainable alternatives, this study evaluates and compares the seismic response of STC and SCC systems. Three case-study buildings of different heights (3-storey, 7-storey, and 10-storey) are analysed through nonlinear pushover and ET time-history analysis. Timber-concrete hybrid floor slabs are replaced with engineered timber products such as Cross-Laminated Timber (CLT), connected via shear connectors to steel frames. The OpenSees platform is used for detailed modelling of nonlinear behaviour under earthquake excitations. The results indicate that STC systems significantly reduce seismic demand through decreased mass, leading to lower base shear and improved structural performance under dynamic loading. ET analysis effectively captures performance across a spectrum of intensities in a single run, proving to be an efficient tool for performance-based seismic assessment. © (2025) WORLD CONFERENCE ON TIMBER ENGINEERING 2025 (WCTE 2025) All rights reserved.</t>
  </si>
  <si>
    <t>Cross-Laminated Timber (CLT); Endurance Time Method; OpenSees; Seismic Performance; Steel-Timber Composite (STC)</t>
  </si>
  <si>
    <t>Composite structures; Concrete slabs; Dynamic loads; Earthquakes; Floors; Laminated composites; Seismic response; Shear flow; Structural analysis; Timber; Cross laminated; Cross-laminated timber; Endurance time; Endurance time methods; Laminated timber; Opensees; Performance based seismic design; Seismic Performance; Steel-concrete composite; Steel-timber composite; Seismic design; Seismic waves</t>
  </si>
  <si>
    <t>2-s2.0-105010241507</t>
  </si>
  <si>
    <t>Karampour H.; Piran F.; Faircloth A.; Talebian N.; Miller D.</t>
  </si>
  <si>
    <t>44761148700; 57217304040; 57211892198; 55508467600; 59804890900</t>
  </si>
  <si>
    <t>Vibration of Timber and Hybrid Floors: A Review of Methods of Measurement, Analysis, and Design</t>
  </si>
  <si>
    <t>10.3390/buildings13071756</t>
  </si>
  <si>
    <t>https://www.scopus.com/pages/publications/85166186742?origin=resultslist</t>
  </si>
  <si>
    <t>School of Engineering and Built Environment, Griffith University, Gold Coast, 4215, QLD, Australia; Department of Agriculture and Fisheries, Queensland Government, Brisbane City, 4000, QLD, Australia; Faculty of Society &amp; Design, Bond University, Robina, 4226, QLD, Australia</t>
  </si>
  <si>
    <t>Karampour H., School of Engineering and Built Environment, Griffith University, Gold Coast, 4215, QLD, Australia; Piran F., School of Engineering and Built Environment, Griffith University, Gold Coast, 4215, QLD, Australia; Faircloth A., Department of Agriculture and Fisheries, Queensland Government, Brisbane City, 4000, QLD, Australia; Talebian N., Faculty of Society &amp; Design, Bond University, Robina, 4226, QLD, Australia; Miller D., Faculty of Society &amp; Design, Bond University, Robina, 4226, QLD, Australia</t>
  </si>
  <si>
    <t>Floor vibration, although not a safety concern, is a prevalent performance complaint in multi-story structures. With the increasing use of mass timber construction, various types of long-span timber floors (LSTFs), including plain cross-laminated timber (CLT), CLT with secondary beams (ribbed-deck), and hybrid systems such as timber–concrete composite (TCC) and CLT on-steel-support beams, are gaining popularity. However, due to limited knowledge regarding their vibration characteristics and acceptance criteria, these construction types are often overlooked during the design stage by architects, engineers, and builders. Existing standards and guidelines primarily calibrated for steel and concrete floors lack a validated and calibrated method for evaluating the vibration performance of LSTFs. Nonetheless, it is essential for structural engineers to address vibration concerns during the design stage and potentially investigate excessive vibration in existing buildings, providing mitigation solutions. This article provides a comprehensive overview, discussion, and analysis of the measurement, analysis, design, perception, and acceptability of vibration of timber floors as outlined in international standards and commonly used guidelines. Experimental and theoretical case studies, including vibration measurements of a CLT floor and a comparison of vibration acceptability in lightweight timber floors using different methods, are reported. The results highlight discrepancies between simplified equation calculations and modal analysis observations, underscoring the limitations of relying solely on simplified equations. Furthermore, it is observed that current modal superposition methods tend to be conservative in predicting floor acceleration and velocity responses. Recommendations are provided for future research in the field to enhance floor vibration assessment techniques, aiming for improved design optimization and occupant comfort. © 2023 by the authors.</t>
  </si>
  <si>
    <t>acceptance criteria; floor dynamics; long-span timber floors; timber floor vibration; vibration serviceability</t>
  </si>
  <si>
    <t>H. Karampour; School of Engineering and Built Environment, Griffith University, Gold Coast, 4215, Australia; email: h.karampour@griffith.edu.au</t>
  </si>
  <si>
    <t>2-s2.0-85166186742</t>
  </si>
  <si>
    <t>Wang M.; Xu Q.; Harries K.A.; Chen L.; Wang Z.; Chen X.</t>
  </si>
  <si>
    <t>56378850200; 36865268500; 7003794049; 55196064100; 57856552000; 57644873700</t>
  </si>
  <si>
    <t>Experimental study on mechanical performance of shear connections in CLT-concrete composite floor</t>
  </si>
  <si>
    <t>10.1016/j.engstruct.2022.114842</t>
  </si>
  <si>
    <t>https://www.scopus.com/pages/publications/85136498066?origin=resultslist</t>
  </si>
  <si>
    <t>Shanghai Key Laboratory of Engineering Structure Safety, Shanghai Research Institute of Building Sciences Co. Ltd, Shanghai, 200032, China; Department of Civil and Environmental Engineering, University of Pittsburgh, Pittsburgh, 15260, PA, United States; School of Naval Architecture, Ocean and Civil Engineering, Shanghai Jiao Tong University, Shanghai, 200240, China</t>
  </si>
  <si>
    <t>Wang M., Shanghai Key Laboratory of Engineering Structure Safety, Shanghai Research Institute of Building Sciences Co. Ltd, Shanghai, 200032, China; Xu Q., Shanghai Key Laboratory of Engineering Structure Safety, Shanghai Research Institute of Building Sciences Co. Ltd, Shanghai, 200032, China; Harries K.A., Department of Civil and Environmental Engineering, University of Pittsburgh, Pittsburgh, 15260, PA, United States; Chen L., Shanghai Key Laboratory of Engineering Structure Safety, Shanghai Research Institute of Building Sciences Co. Ltd, Shanghai, 200032, China; Wang Z., School of Naval Architecture, Ocean and Civil Engineering, Shanghai Jiao Tong University, Shanghai, 200240, China; Chen X., Shanghai Key Laboratory of Engineering Structure Safety, Shanghai Research Institute of Building Sciences Co. Ltd, Shanghai, 200032, China</t>
  </si>
  <si>
    <t>The results of a series of an experimental study and theoretical analyses of the shear performance of self-tapping screw connections in composite concrete-topped cross laminated timber floor systems are presented. Twenty-four specimens were prepared and tested in direct shear under monotonic loading conditions. The test variables included screw configuration, geometry and thread type. Endoscopy was used to investigate the observed failure modes at the CLT-concrete interfaces. Screws loaded in shear-tension were withdrawn from the CLT panels, while those loaded in shear-compression yielded in the CLT panels due to flexure. Timber embedding failure, and concrete crushing failure were also observed around the shear-compression loaded screws. Analysis of variation (ANOVA) indicated that the screw configuration, inclination angle, and thread type were the primary factors affecting slip stiffness, while screw configuration, inclination angle, and penetration length into the CLT panel affected maximum capacity achieved. A connection shear bearing capacity prediction model based on Johansen theory was proposed and shown to result in modeling errors generally less than 15%. © 2022 Elsevier Ltd</t>
  </si>
  <si>
    <t>CLT-concrete composite floor; Self-tapping screw; Shear bearing capacity prediction method; Shear connection; Single shear push-off tests</t>
  </si>
  <si>
    <t>Bearing capacity; Bearings (machine parts); Concrete testing; Concretes; Floors; Laminated composites; Screws; Capacity prediction; CLT-concrete composite floor; Composite floors; Concrete composites; Prediction methods; Push offs; Self-tapping screws; Shear bearing capacity; Shear bearing capacity prediction method; Shear connections; Single shear push-off test; Timber</t>
  </si>
  <si>
    <t>Q. Xu; Shanghai, No. 75 South Wanping Road, China; email: xuqingfeng73@163.com</t>
  </si>
  <si>
    <t>2-s2.0-85136498066</t>
  </si>
  <si>
    <t>Morrell I.; Sinha A.; Higgins C.; Tunc B.; Barbosa A.R.</t>
  </si>
  <si>
    <t>57191162642; 57203184231; 57212721289; 59172060100; 55203435000</t>
  </si>
  <si>
    <t>Two-Way Bending Behavior of Cross-Laminated Timber-Concrete Composite Floors with Alternative Shear Connectors</t>
  </si>
  <si>
    <t>10.1061/JSENDH.STENG-13290</t>
  </si>
  <si>
    <t>https://www.scopus.com/pages/publications/85195973641?origin=resultslist</t>
  </si>
  <si>
    <t>Dept. of Wood Science and Engineering, Oregon State Univ, Corvallis, 97331, OR, United States; School of Civil and Construction Engineering, Oregon State Univ, Corvallis, 97331, OR, United States</t>
  </si>
  <si>
    <t>Morrell I., Dept. of Wood Science and Engineering, Oregon State Univ, Corvallis, 97331, OR, United States; Sinha A., Dept. of Wood Science and Engineering, Oregon State Univ, Corvallis, 97331, OR, United States; Higgins C., School of Civil and Construction Engineering, Oregon State Univ, Corvallis, 97331, OR, United States; Tunc B., School of Civil and Construction Engineering, Oregon State Univ, Corvallis, 97331, OR, United States; Barbosa A.R., School of Civil and Construction Engineering, Oregon State Univ, Corvallis, 97331, OR, United States</t>
  </si>
  <si>
    <t>Experimental tests of cross-laminated timber (CLT)-concrete composite floor panels were conducted. The tests consisted of linear-elastic tests of square CLT-concrete composite panels with a novel shear connector to determine elastic orthotropic plate properties. After the linear-elastic tests, the panels were subjected to a patch load at the center of the panel and tested to failure. To investigate load transfer across longitudinal joints between adjacent panels, nonuniform bending tests were conducted. Results from the experimentally measured orthotropic plate properties showed that the shear connector increased the bending stiffness in the weak direction of the panel compared to prior test results using conventional shear connectors. The tests to failure exhibited larger differences in behavior between the strong and weak orientations of the specimens, with both showing substantial inelastic behavior prior to failure. Numerical finite element models of the patch-load test showed good agreement with experimental results. Analytical formulas using the obtained orthotropic plate properties did not agree with experimental results for the patch-load at linear scales, suggesting the simplified method is currently not suited for CLT-concrete two-way bending. Load-transfer tests found that the reinforced concrete topping is capable of transferring load across the longitudinal joint of two parallel panels to enable two-way bending of composite timber-concrete floors and that the addition of a plywood spline with closely spaced screws enables a higher degree of force transfer. © 2024 American Society of Civil Engineers.</t>
  </si>
  <si>
    <t>Composite action; Cross-laminated timber (CLT); Splines; Timber-concrete composites (TCC); Two-way bending</t>
  </si>
  <si>
    <t>Bending tests; Concrete slabs; Floors; Laminated composites; Laminating; Loads (forces); Orthotropic plates; Reinforced concrete; Timber; Composite action; Cross laminated; Cross-laminated timber; Laminated timber; Property; Shear connector; Timber-concrete composite; Timber-concrete composites; Two ways; Two-way bending; Ductile fracture</t>
  </si>
  <si>
    <t>I. Morrell; Dept. of Wood Science and Engineering, Oregon State Univ, Corvallis, 97331, United States; email: ian.morrell@oregonstate.edu</t>
  </si>
  <si>
    <t>2-s2.0-85195973641</t>
  </si>
  <si>
    <t>Bradette A.; Glasø G.; Andresen T.O.</t>
  </si>
  <si>
    <t>58577464900; 55546532100; 58577226000</t>
  </si>
  <si>
    <t>Building with wood structures succesfull design process</t>
  </si>
  <si>
    <t>10.52202/069179-0544</t>
  </si>
  <si>
    <t>https://www.scopus.com/pages/publications/85171255109?origin=resultslist</t>
  </si>
  <si>
    <t>Sweco Norway AS, Norway</t>
  </si>
  <si>
    <t>Bradette A., Sweco Norway AS, Norway; Glasø G., Sweco Norway AS, Norway; Andresen T.O., Sweco Norway AS, Norway</t>
  </si>
  <si>
    <t>Building with wood construction (glulam, CLT, LVL etc.) poses challenges compared to conventional buildings in steel and concrete. Load bearing systems, stability, spans (thickness and vibration of floor elements), connections between structural elements, the behaviour in case of fire and sound insulation properties are the main characteristics that must be addressed individually. These challenges grow in importance when one desires to display the wood construction as much as possible. The reasons for building with timber are many. To name some: low CO2-emissions, reduced duration of the building phase, low noise on building site, architectural properties as well as use of prefabricated elements and design processes combining virtual design and construction (VDC) with building information modelling (BIM) that reduces risk and cost compared to onsite building systems. Planning building projects with normal design phase level of development is in our experience not appropriate to successfully plan and execute building projects with visible timber structures. The reason being that the necessary multidisciplinary aspect of the design is not sufficiently considered. In this paper we will, through case studies, showcase some of the multidisciplinary design challenges with exposed timber structures and show how a multidisciplinary design process can help to achieve project goals and meet design requirements. Copyright © (2023) WORLD CONFERENCE ON TIMBER ENGINEERING 2023 (WCTE 2023) All rights reserved.</t>
  </si>
  <si>
    <t>Acoustics; Building design; Building information model (BIM); Collaboration; Fire safety; Large timber buildings; Multidisciplinary engineering; Norway.; Oslo; Project management; Structural design; Sustainability; Timber structures; WCTE 2023</t>
  </si>
  <si>
    <t>Architectural design; Information theory; Project management; Risk assessment; Sound insulation; Sustainable development; Timber; Wooden buildings; Wooden construction; Building design; Building information model; Building Information Modelling; Collaboration; Fire safety; Large timber building; Multidisciplinary engineering; Norway.; Oslo; Timber buildings; Timber engineering; Timber structures; WORLD CONFERENCE ON TIMBER ENGINEERING 2023; Structural design</t>
  </si>
  <si>
    <t>2-s2.0-85171255109</t>
  </si>
  <si>
    <t>McCord K.H.; Dillon H.E.; Hu A.; Carlson S.; Phillips A.R.; Jung Y.J.; Gunderson P.; Tarufelli B.; Antonopoulos C.A.</t>
  </si>
  <si>
    <t>57222261445; 36128388700; 59723265100; 58812830600; 56642281000; 58759195900; 58531436500; 57220865493; 57208709002</t>
  </si>
  <si>
    <t>Comparative life cycle assessment of a modular cross-laminated timber residential building designed for disassembly and reuse versus traditional wood frame construction</t>
  </si>
  <si>
    <t>Journal of Cleaner Production</t>
  </si>
  <si>
    <t>10.1016/j.jclepro.2025.146541</t>
  </si>
  <si>
    <t>https://www.scopus.com/pages/publications/105017860704?origin=resultslist</t>
  </si>
  <si>
    <t>Building Systems Group, Pacific Northwest National Laboratory, 902 Battelle Blvd, Richland, 99354, WA, United States; Mechanical Engineering, University of Washington, 1900 Commerce St, Tacoma, 98354, WA, United States; Green Canopy NODE, 620 S Orcas St #80425, Seattle, 98108, WA, United States; Department of Civil &amp; Environmental Engineering, Virginia Polytechnic and State University, 750 Drillfield Dr., Blacksburg, 24061, VA, United States</t>
  </si>
  <si>
    <t>McCord K.H., Building Systems Group, Pacific Northwest National Laboratory, 902 Battelle Blvd, Richland, 99354, WA, United States; Dillon H.E., Building Systems Group, Pacific Northwest National Laboratory, 902 Battelle Blvd, Richland, 99354, WA, United States, Mechanical Engineering, University of Washington, 1900 Commerce St, Tacoma, 98354, WA, United States; Hu A., Building Systems Group, Pacific Northwest National Laboratory, 902 Battelle Blvd, Richland, 99354, WA, United States; Carlson S., Green Canopy NODE, 620 S Orcas St #80425, Seattle, 98108, WA, United States; Phillips A.R., Department of Civil &amp; Environmental Engineering, Virginia Polytechnic and State University, 750 Drillfield Dr., Blacksburg, 24061, VA, United States; Jung Y.J., Building Systems Group, Pacific Northwest National Laboratory, 902 Battelle Blvd, Richland, 99354, WA, United States; Gunderson P., Building Systems Group, Pacific Northwest National Laboratory, 902 Battelle Blvd, Richland, 99354, WA, United States; Tarufelli B., Building Systems Group, Pacific Northwest National Laboratory, 902 Battelle Blvd, Richland, 99354, WA, United States; Antonopoulos C.A., Building Systems Group, Pacific Northwest National Laboratory, 902 Battelle Blvd, Richland, 99354, WA, United States</t>
  </si>
  <si>
    <t>There is a need for affordable housing across the U.S., with high-performance modular and prefabricated buildings providing a logical avenue for meeting some of this demand. However, there is a need to balance high performance construction – including low emissions – with affordability. To provide a proof-of-concept in meeting these goals, the Circular Home is a cross-laminated timber (CLT)-based deconstructible and reconfigurable single-family residence that meets high performance targets in moisture, energy, design, economics, and life cycle assessment (LCA). This study focuses on the LCA, presenting a cradle-to-cradle whole-building life cycle assessment (WBLCA) for the Circular Home and a functionally equivalent Baseline Home constructed with traditional materials and methods. The functional unit is 1 m2 of gross floor area across 60 years. Revit building information models (BIM) provided material quantities and Tally LCA was utilized for impact data (inclusive of biogenic carbon sequestration), supplemented with manufacturer environmental product declarations (EPDs). The Circular Home outperforms the baseline residence in most measured impact categories, including global warming potential (GWP), producing −2.73 kgCO2eq/m2 in embodied emissions, whereas the modeled baseline has an embodied GWP of 428 kgCO2eq/m2. The careful material selection and advanced building design optimizes performance, with the Circular Home containing only −0.006 times the embodied emissions and −0.02 times the operational emissions of its traditional counterpart. The unique contribution of this work is in the environmental impact comparison of a high-performance modular CLT structure that can be affordably scaled and mass produced in a U.S. market, compared to typical single family home construction. © 2025 Elsevier Ltd</t>
  </si>
  <si>
    <t>Circularity; Cross-laminated timber; LCA; Modular; Residential; Reuse</t>
  </si>
  <si>
    <t>Architectural design; Carbon cycle; Carbon sequestration; Ecodesign; Economics; Environmental impact; Global warming; Laminating; Life cycle; Life cycle assessment; Modular construction; Structural design; Timber; Wooden construction; Circularity; Cross laminated; Cross-laminated timber; Embodied emissions; Global warming potential; Laminated timber; Modulars; Performance; Residential; Reuse; Housing</t>
  </si>
  <si>
    <t>K.H. McCord; Building Systems Group, Pacific Northwest National Laboratory, Richland, 902 Battelle Blvd, 99354, United States; email: kieren.mccord@pnnl.gov</t>
  </si>
  <si>
    <t>JCROE</t>
  </si>
  <si>
    <t>J. Clean. Prod.</t>
  </si>
  <si>
    <t>2-s2.0-105017860704</t>
  </si>
  <si>
    <t>Badini L.; Ott S.; Aondio P.; Winter S.</t>
  </si>
  <si>
    <t>57201210417; 37104635400; 57216636654; 56556003000</t>
  </si>
  <si>
    <t>A new integrated approach on the seismic strengthening of existing RC buildings with external cross-laminated timber panels</t>
  </si>
  <si>
    <t>https://www.scopus.com/pages/publications/85120750336?origin=resultslist</t>
  </si>
  <si>
    <t>Technical University of Munich, Timber Structures and Building Construction, Germany</t>
  </si>
  <si>
    <t>Badini L., Technical University of Munich, Timber Structures and Building Construction, Germany; Ott S., Technical University of Munich, Timber Structures and Building Construction, Germany; Aondio P., Technical University of Munich, Timber Structures and Building Construction, Germany; Winter S., Technical University of Munich, Timber Structures and Building Construction, Germany</t>
  </si>
  <si>
    <t>In this study a timber-based integrated solution is presented to solve at once common issues affecting typical reinforced concrete (RC) existing buildings, such as seismic and energy performances, providing an eco-friendly alternative to steel external bracing systems. Cross-laminated timber (CLT) walls are provided perpendicularly to the external façades as strengthening elements while interposed CLT slabs are foreseen at each floor level to host new architectural units together with a new envelope. While the connections to the foundations and to the existing RC frames are provided respectively with steel brackets and simple axial-connectors distributed along the height of the building, a post-tensioned connection, between CLT panels (PT-CLT connection), is implemented in the system to guarantee resistance to horizontal actions acting parallel to existing façades with consequent structural independence and architectural freedom. A numerical model is developed with finite element software and non-linear static analyses with target displacement checks are performed to assess the seismic improvement obtained. Finally, the preassembled architectural components that allow to renovate the envelope and the provided assembly procedure are revealed. © WCTE 2021. All rights reserved.</t>
  </si>
  <si>
    <t>Cross-laminated timber; Energy retrofit; Existing building; Seismic retrofit; Target displacement</t>
  </si>
  <si>
    <t>Buildings; Laminating; Reinforced concrete; Retrofitting; Seismology; Static analysis; Strengthening (metal); Cross laminated; Cross-laminated timber; Energy retrofit; Existing building; Existing reinforced concrete; Integrated approach; Laminated timber; Seismic retrofits; Seismic strengthening; Target displacement; Timber</t>
  </si>
  <si>
    <t>2-s2.0-85120750336</t>
  </si>
  <si>
    <t>Ding Y.; Zhang J.; Zhu J.; Jiang M.</t>
  </si>
  <si>
    <t>60121982500; 56176438900; 60122317200; 60121867100</t>
  </si>
  <si>
    <t>Experimental study on progressive collapse resistance of CLT wall-floor systems</t>
  </si>
  <si>
    <t>10.1016/j.conbuildmat.2025.144678</t>
  </si>
  <si>
    <t>https://www.scopus.com/pages/publications/105023836766?origin=resultslist</t>
  </si>
  <si>
    <t>Key Laboratory of Concrete and Prestressed Concrete Structures of the Ministry of Education, Southeast University, Nanjing, 211189, China; Key Laboratory of Performance Evolution and Control for Engineering Structures (Tongji University), Ministry of Education, Shanghai, 200092, China; JD.com, Inc., Shanghai, 201821, China</t>
  </si>
  <si>
    <t>Ding Y., Key Laboratory of Concrete and Prestressed Concrete Structures of the Ministry of Education, Southeast University, Nanjing, 211189, China, Key Laboratory of Performance Evolution and Control for Engineering Structures (Tongji University), Ministry of Education, Shanghai, 200092, China; Zhang J., Key Laboratory of Concrete and Prestressed Concrete Structures of the Ministry of Education, Southeast University, Nanjing, 211189, China, Key Laboratory of Performance Evolution and Control for Engineering Structures (Tongji University), Ministry of Education, Shanghai, 200092, China; Zhu J., JD.com, Inc., Shanghai, 201821, China; Jiang M., Key Laboratory of Concrete and Prestressed Concrete Structures of the Ministry of Education, Southeast University, Nanjing, 211189, China, Key Laboratory of Performance Evolution and Control for Engineering Structures (Tongji University), Ministry of Education, Shanghai, 200092, China</t>
  </si>
  <si>
    <t>With the rapid development of multi-story mass timber buildings, Cross-Laminated Timber (CLT) has been widely applied. The collapse resistance of CLT structures has become a key issue affecting their safe application. Existing research has mainly focused on theoretical analysis and numerical simulations, with limited experimental validation of the failure mechanisms and performance of CLT structures under collapse scenarios. This study systematically investigates the impact of screw length, framing angle specifications, and floor-to-floor connection (continuous, Half-lap, and bonded rebar) on the system's load-bearing performance and failure mechanisms through five full-scale vertical loading tests (referred to as pushdown test in this paper). The experimental results reveal two primary failure modes: continuous floor-to-floor connection specimens exhibit a "staircase" failure pattern, in which CLT panels fracture layer by layer, while non-continuous connections exhibit a "joint energy absorption" failure mode, with connectors (framing angles, STS, rebar) playing a dominant role. The key findings indicate that the continuity of the floor-to-floor connection is the decisive factor in collapse resistance, with the peak load and total energy absorption of continuous connections exceeding those of non-continuous ones by more than 6 times and 5 times, respectively. In non-continuous connections, framing angle specifications significantly affect joint failure behavior and energy absorption by altering the force transfer path, with larger framing angles leading to an almost 100 % increase in total energy absorption. The conclusion highlights that, for the collapse-resistant design of CLT structures, continuous floor-to-floor connections should be prioritized, and joint connector designs should be optimized to align with the timber failure process to prevent sudden failure. © 2025 Elsevier Ltd.</t>
  </si>
  <si>
    <t>Connector details; Cross-Laminated Timber (CLT); Floor-to-Floor connection; Progressive collapse; Vertical loading tests</t>
  </si>
  <si>
    <t>Connectors (structural); Energy absorption; Failure (mechanical); Failure modes; Loads (forces); Outages; Rebar; Specifications; Structural design; Timber; Collapse resistance; Connector detail; Cross laminated; Cross-laminated timber; Floor-to-floor connection; Laminated timber; Loading tests; Progressive collapse; Vertical loading test; Vertical loadings; Floors; Laminating</t>
  </si>
  <si>
    <t>J. Zhang; Key Laboratory of Concrete and Prestressed Concrete Structures of the Ministry of Education, Southeast University, Nanjing, 211189, China; email: zhangjin@seu.edu.cn</t>
  </si>
  <si>
    <t>2-s2.0-105023836766</t>
  </si>
  <si>
    <t>Schoenwald S.; Zeitler B.; Sabourin I.; King F.</t>
  </si>
  <si>
    <t>7003330245; 6508367296; 35194490000; 15026665100</t>
  </si>
  <si>
    <t>Sound insulation performance of cross laminated timber building systems</t>
  </si>
  <si>
    <t>42nd International Congress and Exposition on Noise Control Engineering 2013, INTER-NOISE 2013: Noise Control for Quality of Life</t>
  </si>
  <si>
    <t>https://www.scopus.com/pages/publications/84904465963?origin=resultslist</t>
  </si>
  <si>
    <t>National Research Council - Construction, Ottawa K1M 2C1, 1200 Montreal Road, Canada; EMPA - Acoustics/Noise Control, 8600 Dübendorf, Ueberlandstrasse 129, Switzerland</t>
  </si>
  <si>
    <t>Schoenwald S., National Research Council - Construction, Ottawa K1M 2C1, 1200 Montreal Road, Canada, EMPA - Acoustics/Noise Control, 8600 Dübendorf, Ueberlandstrasse 129, Switzerland; Zeitler B., National Research Council - Construction, Ottawa K1M 2C1, 1200 Montreal Road, Canada; Sabourin I., National Research Council - Construction, Ottawa K1M 2C1, 1200 Montreal Road, Canada; King F., National Research Council - Construction, Ottawa K1M 2C1, 1200 Montreal Road, Canada</t>
  </si>
  <si>
    <t>In recent years Cross Laminated Timber (CLT) was introduced as an emerging building system in the North American market. CLT elements consist of multiple layers of wooden beams that are laid-out cross-wise and laminated together to form solid wood panels for floors and walls. As part of a multi-disciplinary research project a comprehensive study was conducted on the impact and airborne sound insulation of this type of elements in order to create a data base that allows building designers to predict the acoustic performance of CLT systems. Parametric studies were carried out on the direct impact airborne sound insulation of CLT floor assemblies (with/ without various floor topping and gypsum board ceiling variants), on the direct airborne sound insulation of CLT walls (with/without gypsum board linings), as well as on the structure-borne sound transmission on a series of CLT building junctions. The results were then used as input data for predictions of the apparent impact and airborne sound insulation in real CLT buildings using the ISO 15712 (EN12354) framework that was originally developed for concrete and masonry buildings. The paper presents the prediction approach as well as results of prediction and measurement series for apparent impact and airborne sound insulation.</t>
  </si>
  <si>
    <t>Building acoustics; Impact sound; Prediction; Sound insulation</t>
  </si>
  <si>
    <t>Acoustic variables control; Acoustic wave transmission; Architectural acoustics; Forecasting; Gypsum; Laminating; Sound insulation; Walls (structural partitions); Wooden buildings; Wooden floors; Acoustic performance; Airborne sound insulation; Building acoustics; Impact sound; Multi-disciplinary research; North American market; Sound insulation performance; Structure borne sound; Acoustic noise</t>
  </si>
  <si>
    <t>OAL-Osterreichischer Arbeitsring fur Larmbekampfung</t>
  </si>
  <si>
    <t>978-163266267-5</t>
  </si>
  <si>
    <t>Int. Congr. Expo. Noise Control Eng., INTER-NOISE: Noise Control Qual. Life</t>
  </si>
  <si>
    <t>2-s2.0-84904465963</t>
  </si>
  <si>
    <t>Bergami A.V.; Casadei C.; Follesa M.; Franciosini L.; Nuti C.; Briseghella B.; Vassallo D.</t>
  </si>
  <si>
    <t>55599101100; 57300482900; 15729465700; 57196035215; 56116327300; 16314812100; 56102567800</t>
  </si>
  <si>
    <t>Design of a base isolated timber building in the historical center of a high seismic hazard area of Italy</t>
  </si>
  <si>
    <t>Life-Cycle Civil Engineering: Innovation, Theory and Practice - Proceedings of the 7th International Symposium on Life-Cycle Civil Engineering, IALCCE 2020</t>
  </si>
  <si>
    <t>10.1201/9780429343292-116</t>
  </si>
  <si>
    <t>https://www.scopus.com/pages/publications/85117406032?origin=resultslist</t>
  </si>
  <si>
    <t>Department of Architecture, University Roma Tre, Rome, Italy; College of Civil Engineering, Fuzhou University, China; dedaLEGNO sstp, Florence, Italy</t>
  </si>
  <si>
    <t>Bergami A.V., Department of Architecture, University Roma Tre, Rome, Italy; Casadei C., Department of Architecture, University Roma Tre, Rome, Italy; Follesa M., Department of Architecture, University Roma Tre, Rome, Italy; Franciosini L., Department of Architecture, University Roma Tre, Rome, Italy; Nuti C., Department of Architecture, University Roma Tre, Rome, Italy, College of Civil Engineering, Fuzhou University, China; Briseghella B., College of Civil Engineering, Fuzhou University, China; Vassallo D., dedaLEGNO sstp, Florence, Italy</t>
  </si>
  <si>
    <t>This paper deals with the design of an innovative school building under construction in the historical center of Ariano Irpino (Italy). The building has been designed to be integrated into the historical Town, with very peculiar and innovative structural aspects. The very characteristic heritage location, with small access roads and typical historical buildings, and the site topography, at the top of the hill characterized by sloping sides and high retaining structures, with high seismic hazard, strongly influenced the structural and architectonical solution. In order to deal with the site complexity, and realize a sustainable building, the designers developed an innovative solution: the substructure is a reinforced concrete (r.c.) volume on three sides underground, the superstructure is composed by a couple of timber buildings. Between the base and the timber buildings a base isolation system is placed (which results above the third floor of the complex). The use of cast onsite concrete offer an optimal solution for the basement, with the multiple function of soil retaining system, foundation and location for several fundamental functions (gym, conference hall and restaurants), whereas the use of timber frames and Cross-Laminated Timber (CLT) elements, for the buildings in elevations, allows to obtain a low energy consumption and eco-sustainability, not requiring big construction machines, notwithstanding the use of prefabrication. In this paper the architectural and structural solutions are presented discussing functionality, safety and sustainability issues. © 2021 Taylor &amp; Francis Group, London.</t>
  </si>
  <si>
    <t>Architectural design; Building codes; Concrete buildings; Hazards; Intelligent buildings; Reinforced concrete; Seismic design; Seismic response; Sustainable development; Timber; Topography; Wooden buildings; Access roads; Hazard areas; Historical buildings; Historical centers; Innovative solutions; Retaining structure; Seismic hazards; Structural aspects; Sustainable building; Timber buildings; Energy utilization</t>
  </si>
  <si>
    <t>Chen A.; Ruan X.; Frangopol D.M.</t>
  </si>
  <si>
    <t>978-036736019-1</t>
  </si>
  <si>
    <t>Life-Cycle Civ. Eng.: Innov., Theory Practice - Proc. Int. Symp. Life-Cycle Civ. Eng., IALCCE</t>
  </si>
  <si>
    <t>2-s2.0-85117406032</t>
  </si>
  <si>
    <t>Shahnewaz M.; Jackson R.; Fast T.; Tannert T.</t>
  </si>
  <si>
    <t>55634928200; 57193120662; 57365479000; 22939744900</t>
  </si>
  <si>
    <t>Experimental investigations of reinforced cross-laminated timber-concrete composite systems</t>
  </si>
  <si>
    <t>https://www.scopus.com/pages/publications/85120751781?origin=resultslist</t>
  </si>
  <si>
    <t>Fast+Epp, Vancouver, Canada; School of Engineering, University of Northern British Columbia, Prince George, Canada</t>
  </si>
  <si>
    <t>Shahnewaz M., Fast+Epp, Vancouver, Canada; Jackson R., Fast+Epp, Vancouver, Canada; Fast T., Fast+Epp, Vancouver, Canada; Tannert T., School of Engineering, University of Northern British Columbia, Prince George, Canada</t>
  </si>
  <si>
    <t>This paper presents experimental investigations on timber concrete composite (TCC) systems as a part of the design of “The Arbour”, a mass timber building for George Brown College, located in Toronto, Canada. The objective was to determine the stiffness, ultimate load-carrying capacity, and failure modes of TCC systems using various shear connectors. The TCC system was comprised of 245mm thick, 7-ply cross-laminated timber (CLT) panels with 150 mm concrete topping, joined with shear connectors. A total of 18-half scale and 12-full scale 2.4 m wide TCC floor segments with a span of 4.6 m and 9.2 m, respectively, were tested to failure under symmetric four-point bending as well as torsional bending. The efficiency of three types of shear connectors: self-tapping screws, steel kerf plates, and proprietary glued-in Holz-Beton-Verbund (HBV) plates were evaluated. Since no test results were available for steel kerf plate shear connectors in CLT, small scale tests were on this connector were conducted utilizing three different embedment depths in the CLT, varying from 35mm to 90 mm. To simulate a torsional load case for edge panels, one test series was completed by applying eccentric loading near the edge - inducing torsional behaviour. The small-scale test provided data on the required embedment depth of steel kerf plates. The full-scale tests showed that the steel kerf plates exhibited the highest capacity and stiffness, and were the most economical solution. The results from this research have been utilized to make project-specific design decisions for The Arbour and are intended to further the study of TCC components for future large-span applications. © WCTE 2021. All rights reserved.</t>
  </si>
  <si>
    <t>Connections; Cross-laminated timber; Shear capacity; Timber concrete composite; Vibration</t>
  </si>
  <si>
    <t>Laminated composites; Reinforced concrete; Stiffness; Testing; Timber; Vibrations (mechanical); Wooden buildings; Connection; Cross laminated; Cross-laminated timber; Experimental investigations; Laminated timber; Shear capacity; Shear connector; Smaller-scale tests; Timber-concrete composites; Vibration; Laminating</t>
  </si>
  <si>
    <t>2-s2.0-85120751781</t>
  </si>
  <si>
    <t>Maderebner R.; Stieb T.; Maurer B.; Bestler M.; Dietsch P.</t>
  </si>
  <si>
    <t>55546358200; 58623170000; 57204965116; 58622942400; 36993038100</t>
  </si>
  <si>
    <t>SOLUTIONS FOR EDGE CONNECTIONS TO BUILD TWO-WAY SPANNING CROSS LAMINATED TIMBER SLABS</t>
  </si>
  <si>
    <t>https://www.scopus.com/pages/publications/85172662078?origin=resultslist</t>
  </si>
  <si>
    <t>Unit of Timber Engineering, Universität Innsbruck, Austria; Haug &amp; Partner - Beratende Ingenieure MbB, Germany; Timber Structures and Building Construction, Karlsruhe Institute of Technology, Germany</t>
  </si>
  <si>
    <t>Maderebner R., Unit of Timber Engineering, Universität Innsbruck, Austria; Stieb T., Unit of Timber Engineering, Universität Innsbruck, Austria; Maurer B., Haug &amp; Partner - Beratende Ingenieure MbB, Germany; Bestler M., Timber Structures and Building Construction, Karlsruhe Institute of Technology, Germany; Dietsch P., Unit of Timber Engineering, Universität Innsbruck, Austria</t>
  </si>
  <si>
    <t>Two-way spanning slabs made of cross laminated timber (CLT) require a rigid connection of the single elements. In particular for point-supported flat slabs this connection is necessary to enable spans that exceed the transport-related width of the single CLT-elements. The paper shows solutions how this connection could be designed and realized. In addition to the load-bearing capacity, especially the rotational stiffness is a crucial factor for the edge connection. A certain stiffness is needed to meet the requirements of a floor in terms of serviceability. To determine the load-bearing capacity and stiffness, four-point bending tests were performed on different types of possible edge connection solutions. The investigations revealed two connection types that meet the specified criteria without on-site gluing. One approach consists of a timber-concrete-composite system. Here, reinforcing bars are glued into the narrow surface of the CLT-element and the gap between the adjacent CLT-elements is then casted on-site. A second, completely dry application is to use a system connector with serrated steel plates. This serration ensures the force transmission between the CLT-elements by the connector. In addition to the results of these two types, also further options for the edge connection are presented. © (2023) WORLD CONFERENCE ON TIMBER ENGINEERING 2023 (WCTE 2023) All rights reserved.</t>
  </si>
  <si>
    <t>Cross laminated timber; edge connection; flat slab; joints; rotational stiffness; two-way spanning slab</t>
  </si>
  <si>
    <t>Bearing capacity; Bending tests; Glues; Laminating; Loads (forces); Stiffness; Timber; Cross laminated; Cross laminated timber; Edge connections; Flat slabs; Laminated timber; Load-bearing capacity; Rigid connection; Rotational stiffness; Two ways; Two-way spanning slab; Gluing</t>
  </si>
  <si>
    <t>2-s2.0-85172662078</t>
  </si>
  <si>
    <t>Byrick W.; Golden M.</t>
  </si>
  <si>
    <t>55178554200; 55428118300</t>
  </si>
  <si>
    <t>Predicting the impact and airborne sound insulation performance of monolithic wood and concrete structures using laboratory data</t>
  </si>
  <si>
    <t>ICSV 2016 - 23rd International Congress on Sound and Vibration: From Ancient to Modern Acoustics</t>
  </si>
  <si>
    <t>https://www.scopus.com/pages/publications/84987875519?origin=resultslist</t>
  </si>
  <si>
    <t>Pliteq Inc., 1370 Don Mills Road, Toronto, M3B3N7, ON, Canada</t>
  </si>
  <si>
    <t>Byrick W., Pliteq Inc., 1370 Don Mills Road, Toronto, M3B3N7, ON, Canada; Golden M., Pliteq Inc., 1370 Don Mills Road, Toronto, M3B3N7, ON, Canada</t>
  </si>
  <si>
    <t>When attempting to design floor-ceiling assemblies that achieve international building code (IBC) minimums of STC 50 and IIC 50 based on laboratory testing to ASTM E90 and ASTM E492 respectively, it is important to be able to predict one-third octave band deficiencies based on the type of structure. This paper examines four types of floor-ceiling structure, Cross-laminated timber (CLT), Heavy Timber, concrete slab and hollow-core concrete slab. By comparing one-third octave band data from the four types of structure we can select different floor or ceiling side isolation techniques in order to meet IBC minimum code. Comparative plots from different labs are presented to determine the reproducibility of data from lab to lab. Multiple identical assemblies are compared in the same lab to assess the repeatability with the listed structures. By predicting one-third octave band deficiencies and resonant frequency trends in the four different structures, we can apply various resilient toppings and mounted ceilings to meet the IBC minimum codes and improve overall tenant satisfaction.</t>
  </si>
  <si>
    <t>Building codes; Ceilings; Codes (symbols); Concrete slabs; Concretes; Floors; Forecasting; Laboratories; Natural frequencies; Timber; Airborne sound insulation; Different floors; Different structure; International Building Code; Isolation techniques; Laboratory datum; Laboratory testing; Reproducibilities; Sound insulation</t>
  </si>
  <si>
    <t>International Institute of Acoustics and Vibrations</t>
  </si>
  <si>
    <t>978-960992262-3</t>
  </si>
  <si>
    <t>ICSV - Int. Congr. Sound Vib.: From Anc. Mod. Acoust.</t>
  </si>
  <si>
    <t>2-s2.0-84987875519</t>
  </si>
  <si>
    <t>Al Rahim A.; Heng P.; Somja H.; Soquet T.</t>
  </si>
  <si>
    <t>58003139100; 56644218900; 24171989300; 57733367600</t>
  </si>
  <si>
    <t>CYCLIC BEHAVIOUR OF A DOVETAIL-SHAPE NOTCHED CONNECTION FOR CROSS-LAMINATED-TIMBER-CONCRETE COMPOSITE SLABS</t>
  </si>
  <si>
    <t>https://www.scopus.com/pages/publications/85143906201?origin=resultslist</t>
  </si>
  <si>
    <t>Laboratoire de Génie Civil et Génie Mécanique/Structural Engineering Research Group, Institut National des Sciences Appliquées de Rennes, Rennes, France; Architecture Plurielle agency, Rennes, France</t>
  </si>
  <si>
    <t>Al Rahim A., Laboratoire de Génie Civil et Génie Mécanique/Structural Engineering Research Group, Institut National des Sciences Appliquées de Rennes, Rennes, France; Heng P., Laboratoire de Génie Civil et Génie Mécanique/Structural Engineering Research Group, Institut National des Sciences Appliquées de Rennes, Rennes, France; Somja H., Laboratoire de Génie Civil et Génie Mécanique/Structural Engineering Research Group, Institut National des Sciences Appliquées de Rennes, Rennes, France; Soquet T., Architecture Plurielle agency, Rennes, France</t>
  </si>
  <si>
    <t>Timber-concrete composite members can be used in medium-to-large span structures as a more sustainable but structurally efficient solution. The performance of such members relies largely on the degree of composite action, which is in turn dependent on the type of shear connectors used. Concrete notches are seen to perform well in terms of high strength and stiffness while retaining simplicity in installation as an efficient fabrication of the notches with different shapes can be carried out by high capacity machinery in warehouses. However, there is a lack of knowledge on the cyclic behaviour of these connectors, particularly when used in CLT-concrete composite floors. This paper presents an experimental study on notched connectors for CLT-concrete composite slabs by three symmetrical pushout tests under reversed-cyclic loading. The notched connector has a dovetail shape, which is able to limit the separation between the concrete and the CLT without the need for metallic screws or dowels. Shear capacities and ductility ratio were determined. The test results showed noticeable pinching effect, which became more pronounced after each series of cycles. This phenomenon was originated from compressive settlement of CLT layers that were in contact with the concrete notches and the degradation of the cross layer of the CLT, creating gaps when the load was reversed. The failure mode was governed by shear rupture of the CLT layer caused by rolling shear action, thus achieving low ductility. © Fédération Internationale du Béton – International Federation for Structural Concrete.</t>
  </si>
  <si>
    <t>CLT-concrete composite slabs; cyclic behaviour; Dovetail-shape notched connectors; Push-out tests</t>
  </si>
  <si>
    <t>Concretes; Laminated composites; Timber; CLT-concrete composite slab; Composite slab; Concrete composites; Cross laminated; Cyclic behavior; Dovetail-shape notched connector; Laminated timber; Push-out tests; Timber-concrete composite slabs; Timber-concrete composites; Ductility</t>
  </si>
  <si>
    <t>2-s2.0-85143906201</t>
  </si>
  <si>
    <t>Zeitler B.; Schoenwald S.; Sabourin I.</t>
  </si>
  <si>
    <t>6508367296; 7003330245; 35194490000</t>
  </si>
  <si>
    <t>Direct impact sound insulation of cross laminate timber floors with and without toppings</t>
  </si>
  <si>
    <t>INTERNOISE 2014 - 43rd International Congress on Noise Control Engineering: Improving the World Through Noise Control</t>
  </si>
  <si>
    <t>https://www.scopus.com/pages/publications/84923531240?origin=resultslist</t>
  </si>
  <si>
    <t>National Research Council of Canada, Canada; EMPA Swiss Federal Laboratories for Materials Science and Technology, Switzerland</t>
  </si>
  <si>
    <t>Zeitler B., National Research Council of Canada, Canada; Schoenwald S., EMPA Swiss Federal Laboratories for Materials Science and Technology, Switzerland; Sabourin I., National Research Council of Canada, Canada</t>
  </si>
  <si>
    <t>Cross Laminated Timber (CLT), which is well suited for construction of tall buildings, is becoming a more popular construction material in North America. However, to ensure comfortable living conditions, sound insulation measures are necessary. The study presented here compares results of direct impact sound insulation of 5- And 7-ply CLT floors covered with different a concrete toppings on various interlayers. Improvements of up to 21dB in Weighted Normalized Impact Sound Pressure Level (Ln,w) were observed using a newly proposed reference floor for CLTs. Furthermore, the improvements of floor coverings on CLT floors are compared to those achieved on other types of construction, such as the reference concrete floor. The improvements of Ln,w tend to be higher on the concrete floors than on the CLT floors tested. These and other findings will be presented.</t>
  </si>
  <si>
    <t>Clt; Impact sound; Insulation; Reference curve</t>
  </si>
  <si>
    <t>Acoustic noise; Acoustic variables control; Acoustic waves; Building materials; Concrete construction; Concretes; Floors; Insulation; Sound insulating materials; Tall buildings; Timber; Clt; Cross laminated; Floor covering; Impact sound; Insulation measures; Living conditions; Normalized impact sound pressure levels; Reference curves; Sound insulation</t>
  </si>
  <si>
    <t>Davy J.; Burgess M.; Don C.; Dowsett L.; McMinn T.; Broner N.</t>
  </si>
  <si>
    <t>978-090988203-7</t>
  </si>
  <si>
    <t>INTERNOISE - Int. Congr. Noise Control Eng.: Improv. World Through Noise Control</t>
  </si>
  <si>
    <t>2-s2.0-84923531240</t>
  </si>
  <si>
    <t>Khai M.Q.; Kihak L.</t>
  </si>
  <si>
    <t>57196046592; 7501514239</t>
  </si>
  <si>
    <t>Performance of hybrid cross laminated timber - Concrete composite floor</t>
  </si>
  <si>
    <t>https://www.scopus.com/pages/publications/85058188756?origin=resultslist</t>
  </si>
  <si>
    <t>Sejong University, South Korea</t>
  </si>
  <si>
    <t>Khai M.Q., Sejong University, South Korea; Kihak L., Sejong University, South Korea</t>
  </si>
  <si>
    <t>The hybrid Cross-Laminated Timber (CLT) and concrete system has drawn attention as an attractive application for residential and non-residential buildings. It is important to fully understand the mechanical performances of the CLT-concrete composite system before such a hybrid structure becomes widely applicable. This paper assesses the structural behaviour (force-slip response, slip modulus, and failure modes) of the CLT-concrete composite by conducting nine push-out test specimens and five composite floor specimens which were designed by using y-method (Eurocode 5). In these composite specimens, CLT floor panels are connected to concrete slabs by using common mechanical connectors, and effect of different connection types, connection angles of connection, and concrete thickness are investigated. Nonlinear 3D finite element models have been also developed to simulate the load-slip response of CLT-concrete specimens under shear load. © WCTE 2018 Committee.</t>
  </si>
  <si>
    <t>Ansys Workbench; CLT - concrete composite; Cross laminated timber (CLT); Hybrid timber structure; Push-out test</t>
  </si>
  <si>
    <t>Concrete slabs; Floors; Housing; Laminating; Timber; Ansys workbenches; Concrete composites; Cross laminated; Push-out tests; Timber structures; Laminated composites</t>
  </si>
  <si>
    <t>2-s2.0-85058188756</t>
  </si>
  <si>
    <t>Lukić I.; Azinović B.; Naumovski L.; Premrov M.; Žegarac Leskovar V.</t>
  </si>
  <si>
    <t>57220183396; 56400950100; 59984568200; 6701482772; 54894356900</t>
  </si>
  <si>
    <t>EFFECT OF SEISMIC LOAD INTENSITY ON DESIGN OF CONNECTIONS IN CLT BUILDINGS-PARAMETRIC STUDY</t>
  </si>
  <si>
    <t>https://www.scopus.com/pages/publications/105027870725?origin=resultslist</t>
  </si>
  <si>
    <t>Graz University of Technology, Graz, Austria; Slovenian National Building and Civil Engineering Institute, Ljubljana, Slovenia; University of Maribor, Faculty of Civil Engineering, Transportation Engineering and Architecture, Maribor, Slovenia</t>
  </si>
  <si>
    <t>Lukić I., Graz University of Technology, Graz, Austria, University of Maribor, Faculty of Civil Engineering, Transportation Engineering and Architecture, Maribor, Slovenia; Azinović B., Slovenian National Building and Civil Engineering Institute, Ljubljana, Slovenia; Naumovski L., Slovenian National Building and Civil Engineering Institute, Ljubljana, Slovenia; Premrov M., University of Maribor, Faculty of Civil Engineering, Transportation Engineering and Architecture, Maribor, Slovenia; Žegarac Leskovar V., University of Maribor, Faculty of Civil Engineering, Transportation Engineering and Architecture, Maribor, Slovenia</t>
  </si>
  <si>
    <t>Cross-laminated timber (CLT) has become an increasingly important material for load-bearing structures of mid to high-rise buildings and is considered a sustainable alternative to traditional building materials, even in earthquake-prone regions. Because the connections between CLT panels are the main source of energy dissipation in the platform type CLT structures, it is common for similar structures in earthquake-prone regions to require a greater number of connections (i.e., connectors and fasteners) than in non-earthquake-prone regions. This is also because seismic action is usually a part of the decisive lateral load combination in the design of CLT structures in earthquake-prone regions. In this study, we investigate CLT structures with the same floor plan, but different number of stories (up to 8) subjected to different seismic actions (ag up to 0.25 g). Each structural model was designed according to Eurocode 8, considering medium ductility class. In addition, a modal response spectrum analysis was performed for each model. A total of 160 models were designed and the corresponding types and quantities of fasteners and connectors were accurately determined. It was found that the connections contribute up to 2.5% of the total weight of the structure in the case of an 8-story building designed on ag=0.25g (soil type E), while the same structure on areas with ag=0.1g (soil type A) requires significantly fewer connections (i.e., 0.5% of the total weight of the structure). The results of the structural analyses in terms of the amount of connection material can be further used in the life cycle assessment and life cycle cost estimation. © 2024, International Association for Earthquake Engineering. All rights reserved.</t>
  </si>
  <si>
    <t>Bearings (structural); Building materials; Connectors (structural); Earthquake effects; Seismic design; Structural analysis; Structural dynamics; Cross laminated; Laminated timber; Load intensity; Loadbearing structure; Parametric study; Seismic action; Seismic load; Soil types; Timber buildings; Timber structures; Tall buildings</t>
  </si>
  <si>
    <t>I. Lukić; Graz University of Technology, Graz, Austria; email: iva.lukic@tugraz.at</t>
  </si>
  <si>
    <t>2-s2.0-105027870725</t>
  </si>
  <si>
    <t>Chmelík V.; Benklewski J.; Rychtáriková M.; Kisic D.; Jambrošic K.; Horvat M.; Muellner H.</t>
  </si>
  <si>
    <t>55353780200; 57211893509; 25822861400; 57221514685; 26662090200; 57225303910; 55327939000</t>
  </si>
  <si>
    <t>The preliminary study on subjective rating of different floors characterised by Ln,w+CI,50-2500</t>
  </si>
  <si>
    <t>Proceedings of the International Congress on Acoustics</t>
  </si>
  <si>
    <t>2019-September</t>
  </si>
  <si>
    <t>10.18154/RWTH-CONV-239074</t>
  </si>
  <si>
    <t>https://www.scopus.com/pages/publications/85099328807?origin=resultslist</t>
  </si>
  <si>
    <t>Department of Architecture, Faculty of Civil Engineering, Slovak University of Technology, Bratislava, Slovakia; TGM Versuchsanstalt, Fachbereich Akustik and Bauphysik, Wexstraße 19 - 23, Wien, A-1200, Austria; KU Leuven, Faculty of Architecture, Hoogstraat 51, Gent, 9000, Belgium; KU Leuven, Faculty of Architecture, Paleizenstraat 65, Brussel, 1030, Belgium; Department of Electroacoustics, University of Zagreb, Faculty of Electrical Engineering and Computing, Unska 3, Zagreb, 10000, Croatia</t>
  </si>
  <si>
    <t>Chmelík V., Department of Architecture, Faculty of Civil Engineering, Slovak University of Technology, Bratislava, Slovakia; Benklewski J., TGM Versuchsanstalt, Fachbereich Akustik and Bauphysik, Wexstraße 19 - 23, Wien, A-1200, Austria; Rychtáriková M., KU Leuven, Faculty of Architecture, Hoogstraat 51, Gent, 9000, Belgium, KU Leuven, Faculty of Architecture, Paleizenstraat 65, Brussel, 1030, Belgium; Kisic D., Department of Electroacoustics, University of Zagreb, Faculty of Electrical Engineering and Computing, Unska 3, Zagreb, 10000, Croatia; Jambrošic K., Department of Electroacoustics, University of Zagreb, Faculty of Electrical Engineering and Computing, Unska 3, Zagreb, 10000, Croatia; Horvat M., Department of Electroacoustics, University of Zagreb, Faculty of Electrical Engineering and Computing, Unska 3, Zagreb, 10000, Croatia; Muellner H., TGM Versuchsanstalt, Fachbereich Akustik and Bauphysik, Wexstraße 19 - 23, Wien, A-1200, Austria</t>
  </si>
  <si>
    <t>The problem of noise in dwellings is topic of large discussions nowadays. Not only airborne noise but also impact noise are responsible for decreased comfort of living. The subjective evaluation of impact noise sounds in dwellings are described in this paper. Listening tests based on method of adjustment (1) with statistically sufficient sample of tested subjects were performed in a listening test room in the laboratory of TGM where subjects compared the performance of acoustically presented floors. Impact noise stimuli were measured as the sound coming through various floor constructions with similar Ln,w values, sorted into three main groups: (i) masonry concrete structure, (ii) cross laminated timber (CLT) structure and (iii) light-weight timber structure. Comparisons of listening test performance with calculated single number quantities for each construction were prepared in order to understand the perception of presented sounds by dwellers. The results from this preliminary study are meant as a basis for adjusting of currently applied reference curve also with particular focus on the low frequency range. © 2019 Proceedings of the International Congress on Acoustics. All rights reserved.</t>
  </si>
  <si>
    <t>Impact noise; Listening tests; Psychoacoustic; Sound insulation of floors; Sound transmission</t>
  </si>
  <si>
    <t>Acoustic noise; Architectural acoustics; Housing; Psychoacoustic; Sound insulation; Timber; Airborne noise; Different floors; Impact noise; Listening tests; Method of adjustments; Sound insulation of floor; Sound transmission; Subjective evaluations; Subjective rating; Timber structures; Floors</t>
  </si>
  <si>
    <t>Ochmann M.; Michael M.; Fels J.</t>
  </si>
  <si>
    <t>International Commission for Acoustics (ICA)</t>
  </si>
  <si>
    <t>978-393929615-7</t>
  </si>
  <si>
    <t>Proc. Int. Congr. Acoust.</t>
  </si>
  <si>
    <t>2-s2.0-85099328807</t>
  </si>
  <si>
    <t>Lyu C.H.; Gilbert B.P.; Guan H.; Underhill I.D.; Gunalan S.; Karampour H.</t>
  </si>
  <si>
    <t>57200644137; 35179225700; 7202612804; 25422848400; 36461029900; 44761148700</t>
  </si>
  <si>
    <t>Experimental study on the quasi-static progressive collapse response of post-and-beam mass timber buildings under an edge column removal scenario</t>
  </si>
  <si>
    <t>10.1016/j.engstruct.2020.111425</t>
  </si>
  <si>
    <t>https://www.scopus.com/pages/publications/85097338500?origin=resultslist</t>
  </si>
  <si>
    <t>School of Engineering and Built Environment, Griffith University, Queensland, Australia</t>
  </si>
  <si>
    <t>Lyu C.H., School of Engineering and Built Environment, Griffith University, Queensland, Australia; Gilbert B.P., School of Engineering and Built Environment, Griffith University, Queensland, Australia; Guan H., School of Engineering and Built Environment, Griffith University, Queensland, Australia; Underhill I.D., School of Engineering and Built Environment, Griffith University, Queensland, Australia; Gunalan S., School of Engineering and Built Environment, Griffith University, Queensland, Australia; Karampour H., School of Engineering and Built Environment, Griffith University, Queensland, Australia</t>
  </si>
  <si>
    <t>Mid-rise to tall mass timber buildings are becoming internationally popular and are required, for instance in the Eurocode or the Australian building code, to be designed against progressive collapse. Designing against progressive collapse is especially important for mass timber buildings as, when compared to reinforced concrete and steel, timber is a more brittle construction material and mass timber buildings are deemed to be more elastic and have limited rotational capacities at the beam-to-column connections. However, whilst the ability of reinforced concrete and steel buildings to resist such an extreme event has been widely researched, limited studies were carried out on mass timber buildings. Their load transfer mechanisms and structural response after the loss of a load-bearing element are currently unclear. Consequently, this paper presents the outcomes of three experimental tests performed on three scaled-down, 2 × 2-bay, post-and-beam mass timber substructures under an edge column removal scenario. The capacity of the 3D substructures to resist progressive collapse was investigated for two types of beam-to-column connectors, namely two tests performed with a connector type commonly used in Australia in mass timber buildings and one test with a proposed novel connector. In the tests, Uniformly Distributed Pressures (UDP) were applied to the floors in two stages: (i) a constant UDP of 4.8 kPa was first applied to the bays not adjacent to the removed column and (ii) an idealised UDP was then increasingly applied to the remaining two bays through a hydraulic jack connected to a six-point loading tree. The load redistribution mechanisms or alternative load paths, structural response and failure modes were recorded and are presented in this paper. Results showed that the applied load was principally transferred to the three columns closest to the removed column and that the Cross Laminated Timber (CLT) panels spanning over two bays were efficient in resisting and transferring the load. The substructure with the proposed novel connector showed an 8.5% increase in capacity and higher ductility than the substructures assembled with the commonly used connector. A simplified theoretical model consistent with the methodology currently used by industry to predict the collapse resistance capacity of post-and-beam mass timber buildings was compared to the test results. The model underpredicted the test capacity by 53%. © 2020 Elsevier Ltd</t>
  </si>
  <si>
    <t>Disproportionate collapse; Edge column removal scenario; Mass timber post-and-beam buildings; Progressive collapse</t>
  </si>
  <si>
    <t>Building codes; Concrete construction; Reinforced concrete; Testing; Wooden buildings; Alternative load paths; Beam-to-column connections; Collapse resistance capacities; Load transfer mechanism; Load-bearing elements; Progressive collapse; Structural response; Theoretical modeling; architectural design; bearing capacity; building code; collapse; column; experimental study; extreme event; failure analysis; multistorey building; reinforced concrete; structural response; timber; Timber</t>
  </si>
  <si>
    <t>C.H. Lyu; School of Engineering and Built Environment, Griffith University, Queensland, Australia; email: chunhao.lyu@griffithuni.edu.au</t>
  </si>
  <si>
    <t>2-s2.0-85097338500</t>
  </si>
  <si>
    <t>Kuratomi Y.; Inada T.; Sakai J.</t>
  </si>
  <si>
    <t>55372862800; 55788977900; 55372742300</t>
  </si>
  <si>
    <t>STUDY ON THE DEVELOPMENT OF THE WOODEN HYBRID STRUCTURAL SYSTEM WITH LAG-SCREW BOLTS</t>
  </si>
  <si>
    <t>10.14455/ISEC.2023.10(1).STR-47</t>
  </si>
  <si>
    <t>https://www.scopus.com/pages/publications/85171568961?origin=resultslist</t>
  </si>
  <si>
    <t>Faculty of Engineering, Fukuoka University, Fukuoka City, Japan; Yamasa Mokuzai, Kanoya City, Japan</t>
  </si>
  <si>
    <t>Kuratomi Y., Faculty of Engineering, Fukuoka University, Fukuoka City, Japan; Inada T., Yamasa Mokuzai, Kanoya City, Japan; Sakai J., Faculty of Engineering, Fukuoka University, Fukuoka City, Japan</t>
  </si>
  <si>
    <t>Recently, governments of developed countries, such as Japan and other European and North America countries, have encouraged using forest resources to reduce carbon dioxide (CO2) emissions. Cross-laminated timber (CLT) is a solid wood panel commonly used as a structural material to construct moderate-to-large-sized buildings because of its high strength and stiffness. Hence, we proposed replacing reinforced concrete slabs with CLT floor panels in moderate-to-large-sized buildings. The pushout shear test was conducted to investigate the shear performance of the proposed connection method between steel beams and CLT panels. The experimental variables denote the fiber direction of a CLT panel concerning test loading and lubricant oil used for fastening hexagon head bolts. A testing machine was used to apply shear load in a vertical direction using a pressure plate and rotational pins. Based on the results, the lubricated specimens exhibited greater initial stiffness than the unlubricated specimens. In addition, lubricant oil facilitated the practical application of tensile forces to hexagon head bolts. European Yield Theory was used to evaluate the yield shear strength of each connection method. © 2023 ISEC Press.</t>
  </si>
  <si>
    <t>Cross-laminated-timber; European yield; Loading test; Shear strength</t>
  </si>
  <si>
    <t>Karatas A.; Iranmanesh A.H.; Gurgun A.P.; Yazdani S.; Singh A.</t>
  </si>
  <si>
    <t>2-s2.0-85171568961</t>
  </si>
  <si>
    <t>Racic V.; Nefovska-Danilović M.; Glišović I.; Milojević M.; Simović N.; Popović M.</t>
  </si>
  <si>
    <t>26634357400; 57206904329; 55509053400; 55377058800; 57201002193; 60147980700</t>
  </si>
  <si>
    <t>Can FRP Reinforcement Reduce Vibrations of CLT Floors?</t>
  </si>
  <si>
    <t>675 LNCE</t>
  </si>
  <si>
    <t>10.1007/978-3-031-96106-9_3</t>
  </si>
  <si>
    <t>https://www.scopus.com/pages/publications/105019259367?origin=resultslist</t>
  </si>
  <si>
    <t>Faculty of Civil Engineering, University of Belgrade, Bulevar Kralja Aleksndra 73, Belgrade, 110000, Serbia</t>
  </si>
  <si>
    <t>Racic V., Faculty of Civil Engineering, University of Belgrade, Bulevar Kralja Aleksndra 73, Belgrade, 110000, Serbia; Nefovska-Danilović M., Faculty of Civil Engineering, University of Belgrade, Bulevar Kralja Aleksndra 73, Belgrade, 110000, Serbia; Glišović I., Faculty of Civil Engineering, University of Belgrade, Bulevar Kralja Aleksndra 73, Belgrade, 110000, Serbia; Milojević M., Faculty of Civil Engineering, University of Belgrade, Bulevar Kralja Aleksndra 73, Belgrade, 110000, Serbia; Simović N., Faculty of Civil Engineering, University of Belgrade, Bulevar Kralja Aleksndra 73, Belgrade, 110000, Serbia; Popović M., Faculty of Civil Engineering, University of Belgrade, Bulevar Kralja Aleksndra 73, Belgrade, 110000, Serbia</t>
  </si>
  <si>
    <t>Design of long-span building floors has been governed by vibration serviceability criteria, and cross-laminated timber (CLT) floors are no exception. High stiffness to mass ratio makes them highly susceptible to excessive vibrations induced by pedestrians walking, which is by no surprise the most frequent load case scenario in buildings occupied by people. Typically composed of multiple prefabricated CLT panels assembled on a building site, CLT floors have been an increasingly popular greener and build faster alternative to the traditional concrete and composite floors. This paper presents an experimental and preliminary numerical research designed to study potential benefits of reinforcing CLT panels with fiberglass reinforced polymer (FRP) bars on vibration performance of the floor assembly. © The Author(s), under exclusive license to Springer Nature Switzerland AG 2025.</t>
  </si>
  <si>
    <t>ground reaction forces; human-induced vibrations; human-structure interaction; vibration serviceability assessment; walking</t>
  </si>
  <si>
    <t>Glass fiber reinforced plastics; Reinforced concrete; Structural design; Vibrations (mechanical); Cross laminated; Ground reaction forces; Human-induced vibration; Human-structure interaction; Induced vibrations; Laminated timber; Serviceability assessment; Vibration serviceability; Vibration serviceability assessment; Walking; Floors</t>
  </si>
  <si>
    <t>V. Racic; Faculty of Civil Engineering, University of Belgrade, Belgrade, Bulevar Kralja Aleksndra 73, 110000, Serbia; email: vracic@grf.bg.ac.rs</t>
  </si>
  <si>
    <t>978-303196105-2</t>
  </si>
  <si>
    <t>2-s2.0-105019259367</t>
  </si>
  <si>
    <t>Kim C.-Y.; Kang M.-S.; Choi J.-S.; Shin J.-W.; Yom K.-S.; Choi S.-M.</t>
  </si>
  <si>
    <t>59984137400; 59984137500; 59985031500; 56384756000; 54418332600; 12794040600</t>
  </si>
  <si>
    <t>FLEXURAL BEHAVIOR OF PROPOSED STEEL-TIMBER-CONCRETE COMPOSITE FLOOR SYSTEMS FOR MID-TO-HIGH-RISE BUILDINGS</t>
  </si>
  <si>
    <t>10.52202/080513-0192</t>
  </si>
  <si>
    <t>https://www.scopus.com/pages/publications/105010244194?origin=resultslist</t>
  </si>
  <si>
    <t>Dept. of Architectural Engineering, University of Seoul, Seoul, South Korea; Actpartner Co., Ltd., South Korea</t>
  </si>
  <si>
    <t>Kim C.-Y., Dept. of Architectural Engineering, University of Seoul, Seoul, South Korea; Kang M.-S.; Choi J.-S., Dept. of Architectural Engineering, University of Seoul, Seoul, South Korea; Shin J.-W., Dept. of Architectural Engineering, University of Seoul, Seoul, South Korea; Yom K.-S., Actpartner Co., Ltd., South Korea; Choi S.-M., Dept. of Architectural Engineering, University of Seoul, Seoul, South Korea</t>
  </si>
  <si>
    <t>This study experimentally evaluates the flexural performance of an STC (Steel-Timber-Concrete) slab composed of steel (Z-section), concrete, and CLT, and aims to derive cross-sectional configurations and allowable spans applicable to mid-to-high-rise timber buildings. A total of six specimens were fabricated and tested under a two-point loading setup, comparing flexural stiffness and strength before and after concrete hardening. The results show improved flexural performance with increasing Z-section thickness and rebar diameter, and that STC slabs could achieve an allowable span of up to 6.25 m after concrete hardening. In particular, the STCJZ slab, with its thermal storage effect of concrete and joist reinforcement, showed favorable fire resistance characteristics. This study experimentally demonstrates the practical feasibility of STC slabs as a structural alternative for high-rise timber construction. © (2025) WORLD CONFERENCE ON TIMBER ENGINEERING 2025 (WCTE 2025) All rights reserved.</t>
  </si>
  <si>
    <t>Composite floors; Flexural behavior; Mid-to-high-rise timber buildings; Steel-timber-concrete</t>
  </si>
  <si>
    <t>Concrete slabs; Fire resistance; Floors; Hardening; High performance concrete; Timber; Wooden construction; Composite floor systems; Composite floors; Flexural behavior; Flexural performance; High rise; Mid-to-high-rise timber building; Steel-timber-concrete; Timber buildings; Timber-concrete; Timber-concrete composites; Tall buildings</t>
  </si>
  <si>
    <t>2-s2.0-105010244194</t>
  </si>
  <si>
    <t>Imamura F.B.T.; Chen Y.; Deng L.; Chui Y.H.</t>
  </si>
  <si>
    <t>57876518600; 36182333400; 36709424200; 7004982369</t>
  </si>
  <si>
    <t>Moisture and mould growth risk of cross-laminated timber basement walls: Laboratory and field investigation</t>
  </si>
  <si>
    <t>10.1016/j.conbuildmat.2024.136150</t>
  </si>
  <si>
    <t>https://www.scopus.com/pages/publications/85190848044?origin=resultslist</t>
  </si>
  <si>
    <t>Imamura F.B.T., Department of Civil and Environmental Engineering, University of Alberta, Edmonton, T6G 1H9, Canada; Chen Y., Department of Civil and Environmental Engineering, University of Alberta, Edmonton, T6G 1H9, Canada; Deng L., Department of Civil and Environmental Engineering, University of Alberta, Edmonton, T6G 1H9, Canada; Chui Y.H., Department of Civil and Environmental Engineering, University of Alberta, Edmonton, T6G 1H9, Canada</t>
  </si>
  <si>
    <t>Reinforced concrete is a commonly used material for constructing basements in low-rise buildings or residential houses in Canada, and as the use of cross-laminated timber (CLT) advances, the door to think of an alternative basement material to offset greenhouse gas emissions associated with reinforced concrete is open. However, the evaluation of CLT durability in below-grade environments, specifically concerning moisture and mould development, remains an unexplored field in research. Hence, this paper aims to analyze CLT's moisture response and mould growth risk in below-grade environments using field and laboratory experiments. A laboratory experiment was carried out to test a waterproofing membrane solution selected to compose the wall assembly in the field experiment. A large-scale experimental CLT basement was built at a cohesive soil site in Edmonton, Canada. The field experiment involved monitoring the relative humidity, temperature, and soil volumetric water content of the CLT panels, which measure 3 m by 6 m in plan and 2 m deep. Data was collected for an extended period from June 2022 to July 2023. The VVT model, developed by Hukka and Viitanen (1999) and updated by Viitanen et al., 2011 to estimate the mould growth level, was used to predict the risk of mould growth. The laboratory experiment showed that the waterproofing membrane is suitable for protection against moisture in a still-water setup. Field experiment results suggested that the primary moisture source was below the basement floor when the floor was finished inadequately. The moisture content of CLT walls was significantly increased by floor flooding and decreased by heating the basement interior. The acceptable mould index of three was surpassed during periods of abundant water below the basement floor due to flood events, showing that the CLT panels were at risk of mould growth development. © 2024 The Authors</t>
  </si>
  <si>
    <t>Basement; Cross-laminated timber (CLT); Moisture content; Mould growth</t>
  </si>
  <si>
    <t>Curing; Floods; Gas emissions; Greenhouse gases; Laboratories; Laminating; Moisture; Moisture determination; Molds; Reinforced concrete; Risk perception; Timber; Walls (structural partitions); %moisture; Basement; Basement floors; Cross laminated; Cross-laminated timber; Field experiment; Laboratory experiments; Laminated timber; Moisture growth; Mould growth; Floors</t>
  </si>
  <si>
    <t>F.B.T. Imamura; Department of Civil and Environmental Engineering, University of Alberta, Edmonton, T6G 1H9, Canada; email: fimamura@ualberta.ca</t>
  </si>
  <si>
    <t>2-s2.0-85190848044</t>
  </si>
  <si>
    <t>Hajjaj R.; Alhimeidi A.; Sabbagh M.; Alatallah A.; Ahmed D.; Asiz A.; Ayadat T.; Salman A.; Ouda O.K.M.</t>
  </si>
  <si>
    <t>57195419483; 57195424970; 57223328752; 57195418183; 57217208973; 6506926796; 20435579500; 57195418548; 55806123700</t>
  </si>
  <si>
    <t>Structural design and analysis of high-rise building using ultra lightweight floor system</t>
  </si>
  <si>
    <t>10.14455/ISEC.res.2017.132</t>
  </si>
  <si>
    <t>https://www.scopus.com/pages/publications/85130854158?origin=resultslist</t>
  </si>
  <si>
    <t>Dept of Civil Engineering, Prince Mohammad Bin Fahd University (PMU), Al Khobar, Saudi Arabia</t>
  </si>
  <si>
    <t>Hajjaj R., Dept of Civil Engineering, Prince Mohammad Bin Fahd University (PMU), Al Khobar, Saudi Arabia; Alhimeidi A., Dept of Civil Engineering, Prince Mohammad Bin Fahd University (PMU), Al Khobar, Saudi Arabia; Sabbagh M., Dept of Civil Engineering, Prince Mohammad Bin Fahd University (PMU), Al Khobar, Saudi Arabia; Alatallah A., Dept of Civil Engineering, Prince Mohammad Bin Fahd University (PMU), Al Khobar, Saudi Arabia; Ahmed D., Dept of Civil Engineering, Prince Mohammad Bin Fahd University (PMU), Al Khobar, Saudi Arabia; Asiz A., Dept of Civil Engineering, Prince Mohammad Bin Fahd University (PMU), Al Khobar, Saudi Arabia; Ayadat T., Dept of Civil Engineering, Prince Mohammad Bin Fahd University (PMU), Al Khobar, Saudi Arabia; Salman A., Dept of Civil Engineering, Prince Mohammad Bin Fahd University (PMU), Al Khobar, Saudi Arabia; Ouda O.K.M., Dept of Civil Engineering, Prince Mohammad Bin Fahd University (PMU), Al Khobar, Saudi Arabia</t>
  </si>
  <si>
    <t>The main objective of this paper is to study feasibility of using ultra-lightweight (ULW) slab as an alternative design solution for floor component used in high-rise buildings. The main method is numerical case study by comparing the structural performances of 60-storey building in which floor component designed using one type of ULW called cross laminated timber (CLT) relative to floor component designed using conventional reinforced concrete (RC) slab using ETABS. The structural performances were compared between the two types of floor system including: total drift, inter-story drift, and base reaction which results in smaller frame sections and less reactions for the foundation demands by using ultra-lightweight (ULW). Additional survey to assess the awareness level of the public and engineering professionals about general high-rise building demand and new alternative building materials such as timber and its potential application in Saudi Arabia was also conducted. © 2017 ISEC Press.</t>
  </si>
  <si>
    <t>Drifts; Lateral load; Structural performances; Survey of building demand and material alternative; Tall building; Ultra-lightweight slab</t>
  </si>
  <si>
    <t>Pellicer E.; Adam J.M.; Yepes V.; Singh A.; Yazdani S.</t>
  </si>
  <si>
    <t>2-s2.0-85130854158</t>
  </si>
  <si>
    <t>Slotboom C.; Dickof C.; Fast T.</t>
  </si>
  <si>
    <t>58266329000; 55547026300; 57365479000</t>
  </si>
  <si>
    <t>EXPERIMENTAL AND NUMERICAL ASSESSMENTS OF A LONG-SPAN MASS TIMBER FLOOR SYSTEMS SUBJECTED TO FOOT-FALL INDUCED VIBRATION</t>
  </si>
  <si>
    <t>10.52202/069179-0374</t>
  </si>
  <si>
    <t>https://www.scopus.com/pages/publications/85171787784?origin=resultslist</t>
  </si>
  <si>
    <t>Fast+Epp, United States</t>
  </si>
  <si>
    <t>Slotboom C., Fast+Epp, United States; Dickof C., Fast+Epp, United States; Fast T., Fast+Epp, United States</t>
  </si>
  <si>
    <t>The following paper presents a series of experimental and numerical vibration assessments completed on the long-span floor system of Fast+Epp's home office. Measurements were taken on the building throughout different stages of construction to understand the impact of non-structural elements on floor vibration. Factors considered are partitions, concrete toppings, and screws between the glulam beam and CLT topping. Finite element models are also created for the structure, and predictions from these numerical models are compared to experimental data. The model used simplified models, similar to those practicing designer would make, and several parameters in these are varied to understand their impact on vibration. It was found that non-structural elements had a significant effect on the vibration performance of the system, changing both the fundamental frequency and reducing the overall accelerations. © 13th World Conference on Timber Engineering, WCTE 2023. All rights reserved.</t>
  </si>
  <si>
    <t>Footfall loads; Long-span floor; Mass Timber; Vibration</t>
  </si>
  <si>
    <t>Floors; Floor systems; Footfall load; Induced vibrations; Long span; Long span floor systems; Long-span floor; Mass timber; Non-structural elements; Timber floors; Vibration; Timber</t>
  </si>
  <si>
    <t>2-s2.0-85171787784</t>
  </si>
  <si>
    <t>Ben Q.; Dai Y.; Chen S.; Shi B.; Yang H.</t>
  </si>
  <si>
    <t>59825344500; 57837994900; 57838545500; 56468590400; 57217185075</t>
  </si>
  <si>
    <t>Shear Performances of Shallow Notch-Screw Connections for Timber-Concrete Composite (TCC) Floors</t>
  </si>
  <si>
    <t>BioResources</t>
  </si>
  <si>
    <t>10.15376/biores.17.1.3278-3290</t>
  </si>
  <si>
    <t>https://www.scopus.com/pages/publications/85135735048?origin=resultslist</t>
  </si>
  <si>
    <t>JSTI Group, Nanjing, 210019, China; College of Civil Engineering, Nanjing Tech University, Nanjing, 211816, China</t>
  </si>
  <si>
    <t>Ben Q., JSTI Group, Nanjing, 210019, China; Dai Y., College of Civil Engineering, Nanjing Tech University, Nanjing, 211816, China; Chen S., College of Civil Engineering, Nanjing Tech University, Nanjing, 211816, China; Shi B., College of Civil Engineering, Nanjing Tech University, Nanjing, 211816, China; Yang H., College of Civil Engineering, Nanjing Tech University, Nanjing, 211816, China</t>
  </si>
  <si>
    <t>Shallow notch-screw connections, which showed potential superior slip moduli and load-carrying capacity compared with the traditional screwed connections and can be employed in the timber-concrete composite (TCC) floors were examined in this study. Eight groups of shallow notch-screw connections were designed to perform the push-out tests, in which the arrangement of screws, the heavy timber types, and the width of the shallow notch were considered. The depth of the notch was uniformly 15 mm. The vertical screws and the cross inclined screws were separately selected as the reinforcement for the shallow notch connections. The common heavy timber panels, including nail laminated timber (NLT), glulam, and cross laminated timber (CLT), were adopted. The width of the shallow notch tested included 100 and 200 mm. The experimental results showed that the shallow notch connections underwent ductile failure. The effects of testing factors on the shear strength, slip moduli, and ductility were discussed. The design proposals about the slip moduli of the shallow notches using each timber panel types were proposed, aiming to provide guidance for the application of the TCC floors with shallow notches. © 2022, North Carolina State University. All rights reserved.</t>
  </si>
  <si>
    <t>Composite floor; Push-out test; Shallow notch; Slip modulus; Timber-concrete</t>
  </si>
  <si>
    <t>Concretes; Floors; Laminating; Screws; Shear flow; Composite floors; Laminated timber; Push-out tests; Screw connections; Screwed connections; Shallow notch; Shear performance; Slip modulus; Timber-concrete; Timber-concrete composites; Timber</t>
  </si>
  <si>
    <t>2-s2.0-85135735048</t>
  </si>
  <si>
    <t>Malek S.; Cheraghi-Shirazi N.; Setiawan F.; Creagh A.; Khoshkbari P.</t>
  </si>
  <si>
    <t>57221105898; 56375874400; 59562482800; 58353358800; 58609496800</t>
  </si>
  <si>
    <t>Vibration Assessment and Numerical Modelling of Mass Timber Composite Floors: Insights From an Experimental-Numerical Campaign</t>
  </si>
  <si>
    <t>10.52202/080513-0314</t>
  </si>
  <si>
    <t>https://www.scopus.com/pages/publications/105010275815?origin=resultslist</t>
  </si>
  <si>
    <t>Departmnet of Civil Engineering, University of Victoria, Victoria, Canada; Degenkolb Engineers, Oakland, CA, United States; Degenkolb Engineers, Los Angeles, CA, United States; Google LLC, Mountain View, CA, United States</t>
  </si>
  <si>
    <t>Malek S., Departmnet of Civil Engineering, University of Victoria, Victoria, Canada; Cheraghi-Shirazi N., Departmnet of Civil Engineering, University of Victoria, Victoria, Canada; Setiawan F., Degenkolb Engineers, Oakland, CA, United States; Creagh A., Degenkolb Engineers, Los Angeles, CA, United States; Khoshkbari P., Google LLC, Mountain View, CA, United States</t>
  </si>
  <si>
    <t>Mass timber construction is increasingly favored by developers and architects due to sustainability concerns when compared to conventional concrete and steel systems. Several design guides worldwide assist practitioners in utilizing mass timber products in buildings effectively. However, the methodologies for assessing vibration in mass timber floors proposed by these guidelines have not been thoroughly validated in real-world scenarios. Existing methodologies often rely on laboratory tests, which may not be directly applicable to the vibration design of actual buildings. Recently, an experimental-numerical campaign has been conducted on real buildings to investigate these methodologies. The test data from a range of vibration tests (hammer, heel-drop, and human walking tests) in real mass timber buildings have been compared to modeling predictions and results are briefly described here. The influence of parameters and assumptions outlined in the U.S. mass timber design guide on the dynamic response of the tested floors was carefully investigated and a summary of key findings from parametric studies is also presented. The effects of timber-to-timber and timber-to-concrete connections, as well as different boundary conditions such as beam-to-beam, beam-to-column, and adjacent bays, along with considerations in flexural stiffness calculations, are quantified and discussed. © (2025) WORLD CONFERENCE ON TIMBER ENGINEERING 2025 (WCTE 2025) All rights reserved.</t>
  </si>
  <si>
    <t>Cross-Laminated Timber (CLT); Finite element analysis (FEA); Mass timber; Standards; Vibration</t>
  </si>
  <si>
    <t>Architectural design; Concretes; Numerical models; Product design; Structural dynamics; Timber; Wooden buildings; Wooden construction; Wooden floors; Composite floors; Cross laminated; Cross-laminated timber; Design guide; Finite element analyse; Finite element analyze; Laminated timber; Mass timber; Timber construction; Vibration; Vibration analysis</t>
  </si>
  <si>
    <t>2-s2.0-105010275815</t>
  </si>
  <si>
    <t>Alotaibi D.; Albogami R.; Althuwaiqeb S.; Alnassir F.; Alfaihani H.; Ahmed D.; Ayadat T.; Asiz A.; Mohammed N.; Almadi H.</t>
  </si>
  <si>
    <t>59559541700; 59748641500; 57655768900; 59748334400; 59747873600; 57217208973; 20435579500; 6506926796; 60036857800; 59748471500</t>
  </si>
  <si>
    <t>Structural design analysis of hybrid multi-rise buildings, with CLT and LGS light weight floor system, at Neom-The Line</t>
  </si>
  <si>
    <t>10.21741/9781644903414-12</t>
  </si>
  <si>
    <t>https://www.scopus.com/pages/publications/105003271469?origin=resultslist</t>
  </si>
  <si>
    <t>Alotaibi D., Department of Civil Engineering, Prince Mohammad Bin Fahd University, Al Khobar, Saudi Arabia; Albogami R., Department of Civil Engineering, Prince Mohammad Bin Fahd University, Al Khobar, Saudi Arabia; Althuwaiqeb S., Department of Civil Engineering, Prince Mohammad Bin Fahd University, Al Khobar, Saudi Arabia; Alnassir F., Department of Civil Engineering, Prince Mohammad Bin Fahd University, Al Khobar, Saudi Arabia; Alfaihani H., Department of Civil Engineering, Prince Mohammad Bin Fahd University, Al Khobar, Saudi Arabia; Ahmed D., Department of Civil Engineering, Prince Mohammad Bin Fahd University, Al Khobar, Saudi Arabia; Ayadat T., Department of Civil Engineering, Prince Mohammad Bin Fahd University, Al Khobar, Saudi Arabia; Asiz A., Department of Civil Engineering, Prince Mohammad Bin Fahd University, Al Khobar, Saudi Arabia; Mohammed N., Department of Civil Engineering, Prince Mohammad Bin Fahd University, Al Khobar, Saudi Arabia; Almadi H., Department of Civil Engineering, Prince Mohammad Bin Fahd University, Al Khobar, Saudi Arabia</t>
  </si>
  <si>
    <t>Aligned with Neom's vision, this study focuses on the structural design of advanced multi-rise buildings at The Line (Neom) and compares the integration of Light Gauge Steel (LGS) and Cross-Laminated Timber (CLT) floor systems within Reinforced Concrete (RC) structures to determine their structural efficiency and suitability. The research involves design and analysis of structural elements (slabs, beams, columns, shear walls) and study their performance verification using ETABS and SAP2000 software. The aim is to identify the optimal solution for structural performance and sustainability within the context of Saudi Vision 2030 to meet the structural demands while achieving sustainable development goals. © 2025, Association of American Publishers. All rights reserved.</t>
  </si>
  <si>
    <t>Cross-Laminated Timber (CLT); ETABS; Light Gauge Steel (LGS); Multi-Rise Buildings; Reinforced Concrete (RC); SAP2000; Structural Design; Structural Efficiency; Sustainability; The Line (Neom)</t>
  </si>
  <si>
    <t>2-s2.0-105003271469</t>
  </si>
  <si>
    <t>Cheraghi-shirazi N.; Creagh A.; Setiawan F.; Parra R.; Khoshkbari P.; Malek S.</t>
  </si>
  <si>
    <t>56375874400; 58353358800; 59562482800; 58017728100; 58609496800; 57221105898</t>
  </si>
  <si>
    <t>A numerical modelling framework for vibration assessment of timber composite floors in mass timber buildings</t>
  </si>
  <si>
    <t>10.1016/j.jobe.2025.112605</t>
  </si>
  <si>
    <t>https://www.scopus.com/pages/publications/105002876216?origin=resultslist</t>
  </si>
  <si>
    <t>Department of Civil Engineering, University of Victoria, Victoria, BC, Canada; Centre for Advanced Materials and Related Technology (CAMTEC), University of Victoria, Victoria, BC, Canada; Degenkolb Engineers, San Francisco, CA, United States; Google LLC, Mountain View, CA, United States</t>
  </si>
  <si>
    <t>Cheraghi-shirazi N., Department of Civil Engineering, University of Victoria, Victoria, BC, Canada, Centre for Advanced Materials and Related Technology (CAMTEC), University of Victoria, Victoria, BC, Canada; Creagh A., Degenkolb Engineers, San Francisco, CA, United States; Setiawan F., Degenkolb Engineers, San Francisco, CA, United States; Parra R., Degenkolb Engineers, San Francisco, CA, United States; Khoshkbari P., Google LLC, Mountain View, CA, United States; Malek S., Department of Civil Engineering, University of Victoria, Victoria, BC, Canada, Centre for Advanced Materials and Related Technology (CAMTEC), University of Victoria, Victoria, BC, Canada</t>
  </si>
  <si>
    <t>Timber composite floors are vulnerable to human-induced vibrations due to their low weight and long spans used in office buildings. Introducing concrete into timber panels is a common approach to enhance the vibration performance of long-span timber floors. While the effects of certain parameters on the vibration performance of timber composite floors have been extensively studied in laboratory settings, and some numerical models have been proposed, predictions are often sensitive to variations in input parameters. Many of these numerical models are “calibrated” using test data from specific experiments (e.g., connection or 4-point bending tests) conducted on specific laboratory floors and may not be applicable to real building floors. This paper presents a comprehensive physics-based finite element (FE) modelling framework aimed at accurately predicting the vibration characteristics (i.e. frequency and acceleration) of long-span Timber Concrete Composite (TCC) floors and understanding the vibration response of composite floors. The accuracy of the approach is examined by comparing modelling predictions against test data for a 9 m (∼30 ft) composite floor within a real office building. The application of analytical equations for predicting floor static stiffness, and frequency, and limitations of simple approaches suggested in some standards are discussed. The developed framework is shown to be a valuable tool for benchmarking the impact of various boundary conditions and input parameters recommended in design guides. Specifically, the effects of key parameters, including the dynamic modulus of concrete, shear stiffness of glulam beam-to-CLT and CLT-to-concrete connectors, and the stiffness of beam-to-beam connections are demonstrated and discussed. © 2025 The Authors</t>
  </si>
  <si>
    <t>Connections; Connector's shear stiffness; Euler-Bernoulli beam theory; Frequency; Gamma method; Mass timber; Numerical modelling; Timber composite floors; Time history acceleration; Vibration</t>
  </si>
  <si>
    <t>Concrete beams and girders; Digital elevation model; Mortar; Structural dynamics; Timber; Vibration analysis; Wooden buildings; Wooden floors; Composite floors; Connection; Connector shear stiffness; Euler Bernoulli beam theory; Frequency; Gamma method; Mass timber; Shear stiffness; Timber composite floor; Time history acceleration; Vibration; Bending tests</t>
  </si>
  <si>
    <t>S. Malek; Department of Civil Engineering, University of Victoria, Victoria, Canada; email: smalek@uvic.ca</t>
  </si>
  <si>
    <t>2-s2.0-105002876216</t>
  </si>
  <si>
    <t>Kurent B.; Friedman N.; Brank B.</t>
  </si>
  <si>
    <t>57221288942; 53983941200; 6603708179</t>
  </si>
  <si>
    <t>Modelling of Multi-Storey Cross-Laminated Timber Buildings for Vibration Serviceability</t>
  </si>
  <si>
    <t>10.3390/buildings14030689</t>
  </si>
  <si>
    <t>https://www.scopus.com/pages/publications/85196259481?origin=resultslist</t>
  </si>
  <si>
    <t>Faculty of Civil and Geodetic Engineering, University of Ljubljana, Ljubljana, 1000, Slovenia; AI Laboratory, HUN-REN Institute for Computer Science and Control (SZTAKI), Budapest, H-1111, Hungary</t>
  </si>
  <si>
    <t>Kurent B., Faculty of Civil and Geodetic Engineering, University of Ljubljana, Ljubljana, 1000, Slovenia; Friedman N., AI Laboratory, HUN-REN Institute for Computer Science and Control (SZTAKI), Budapest, H-1111, Hungary; Brank B., Faculty of Civil and Geodetic Engineering, University of Ljubljana, Ljubljana, 1000, Slovenia</t>
  </si>
  <si>
    <t>In this study, the vibration serviceability of multi-storey timber buildings is addressed. The core of this study pertains to the preparation of a comprehensive finite element model to predict modal properties for an accurate vibration serviceability checking. To that end, findings obtained from studying three multi-storey timber buildings are summarized and discussed. Two of the buildings (of seven and eight storeys) consist entirely of cross-laminated timber (CLT), while the third is a five-storey hybrid CLT-concrete building. Thanks to the detailed finite element models and modal testing results, one has the capability to conduct sensitivity analyses, classical and Bayesian model updating, and uncertainty quantifications. With these methodologies, influential modelling parameters as well as the sources of modelling error were identified. This allowed for conclusions to be drawn about the in-plane shear stiffness of the constructed walls (whose higher value causes the natural frequencies to increase by up to 25%), the soil deformability (which may cause the natural frequencies to drop by up to 20%), and the perpendicular-to-the-grain deformation of floor slabs (which may lead to an overestimation of a fundamental frequency by up to 8%). © 2024 by the authors.</t>
  </si>
  <si>
    <t>cross-laminated timber; finite element modelling; modal properties; modal testing; model updating; timber building; vibration serviceability</t>
  </si>
  <si>
    <t>Bayesian networks; Finite element method; Laminating; Modal analysis; Sensitivity analysis; Statistical tests; Timber; Uncertainty analysis; Wooden buildings; Cross laminated; Cross-laminated timber; Element models; Finite element modeling; Laminated timber; Modal properties; Modal testings; Model updating; Timber buildings; Vibration serviceability; Natural frequencies</t>
  </si>
  <si>
    <t>B. Brank; Faculty of Civil and Geodetic Engineering, University of Ljubljana, Ljubljana, 1000, Slovenia; email: bbrank@fgg.uni-lj.si</t>
  </si>
  <si>
    <t>2-s2.0-85196259481</t>
  </si>
  <si>
    <t>CLT concrete composite floors with steel kerf plate connectors</t>
  </si>
  <si>
    <t>10.1016/j.conbuildmat.2021.126092</t>
  </si>
  <si>
    <t>https://www.scopus.com/pages/publications/85121213296?origin=resultslist</t>
  </si>
  <si>
    <t>Shahnewaz M., Fast+Epp, Vancouver, Canada; Jackson R., Fast+Epp, Vancouver, Canada; Tannert T., School of Engineering, University of Northern British Columbia, Prince George, Canada</t>
  </si>
  <si>
    <t>This paper presents experimental investigations on timber-concrete-composite (TCC) floors with transversely installed steel kerf plates as shear connectors. The TCC system was comprised of 245 mm thick, 7-ply cross-laminated timber (CLT) panels with 150 mm concrete topping. Three embedment depths of the steel kerf plates in CLT (35 mm, 70 mm, and 90 mm) were evaluated at hand of 18 small-scale shear tests. It was shown to be beneficial to only engage the top layer of the CLT panel in order to avoid rolling shear failure. Subsequently, two full-scale TCC floor segments were tested under symmetric four-point bending. The tests confirmed that the TCC floors with steel kerf plates can be designed using the established gamma procedure, and that they exhibited adequate capacity and stiffness to provide an economical solution. The results from this research were utilized to make project-specific design decisions for “The Arbour”, a 10-storey mass timber building for George Brown College, located in Toronto, Canada. © 2021 Elsevier Ltd</t>
  </si>
  <si>
    <t>Connections; Cross-laminated timber; Shear capacity; Timber concrete composite</t>
  </si>
  <si>
    <t>Concretes; Floors; Laminated composites; Timber; Wooden buildings; Composite floors; Connection; Cross laminated; Cross-laminated timber; Embedment depth; Experimental investigations; Laminated timber; Shear capacity; Shear connector; Timber-concrete composites; Laminating</t>
  </si>
  <si>
    <t>M. Shahnewaz; Fast + Epp, Vancouver, 300 - 397 W 7th Avenue, V5Y 1M2, Canada; email: md.shahnewaz@alumni.ubc.ca</t>
  </si>
  <si>
    <t>2-s2.0-85121213296</t>
  </si>
  <si>
    <t>Thai M.-V.; Menard S.; Elachachi S.-M.; Galimard P.</t>
  </si>
  <si>
    <t>57296614300; 56653986600; 14055863500; 6506441067</t>
  </si>
  <si>
    <t>Mechanical performance of CLT-concrete notched connector by shear tests</t>
  </si>
  <si>
    <t>https://www.scopus.com/pages/publications/85120732156?origin=resultslist</t>
  </si>
  <si>
    <t>University of Quebec at Chicoutimi, QC, Canada; I2M - Insitute of Mechanical Enginneering, University of Bordeaux, France</t>
  </si>
  <si>
    <t>Thai M.-V., University of Quebec at Chicoutimi, QC, Canada; Menard S., University of Quebec at Chicoutimi, QC, Canada; Elachachi S.-M., I2M - Insitute of Mechanical Enginneering, University of Bordeaux, France; Galimard P., I2M - Insitute of Mechanical Enginneering, University of Bordeaux, France</t>
  </si>
  <si>
    <t>The mechanical performance of a timber-concrete notched connector was investigated through the influential analysis of four variables: length of the loaded edge of the timber, notch depth, screw length, and the thickness of the concrete layer. This type of connector is particularly suitable for the CLT-concrete floor structure because of its performance in terms of stiffness, strength, and easy installation on site. The performance of the notched connector included the load-bearing capacity, slip modulus, and failure behavior. Both two geometric variables influence the slip modulus, while the maximum load was heavily dependent on the depth of the notch. The length of the screw and thickness of the concrete layer had no significant effect on the mechanical performance of the connector. Different failure types were also studied. © WCTE 2021. All rights reserved.</t>
  </si>
  <si>
    <t>CLT-concrete composite; Experimental testing; Geometry variable; Notched connector; Timber-concrete floor systems</t>
  </si>
  <si>
    <t>Concrete construction; Concrete testing; Concretes; Floors; Timber; CLT-concrete composite; Concrete composites; Concrete layer; Experimental testing; Floor systems; Geometry variable; Mechanical performance; Notched connector; Timber-concrete floor system; Timber-concrete floors; Screws</t>
  </si>
  <si>
    <t>2-s2.0-85120732156</t>
  </si>
  <si>
    <t>Verhaegh R.; Vola M.; De Jong J.</t>
  </si>
  <si>
    <t>57204970686; 57204682013; 57204965105</t>
  </si>
  <si>
    <t>Case study: Haut - A 21-storey tall timber residential building</t>
  </si>
  <si>
    <t>https://www.scopus.com/pages/publications/85058141230?origin=resultslist</t>
  </si>
  <si>
    <t>Arup, Amsterdam, Netherlands</t>
  </si>
  <si>
    <t>Verhaegh R., Arup, Amsterdam, Netherlands; Vola M., Arup, Amsterdam, Netherlands; De Jong J., Arup, Amsterdam, Netherlands</t>
  </si>
  <si>
    <t xml:space="preserve">                             This paper reflects on the structural design of Haut; a 21-storey high-end residential development which is to be realised in Amsterdam, the Netherlands. When completed in 2020, Haut will be the first residential building in the Netherlands to achieve a 'BREEAM-outstanding' classification. The building will reach a height of 73 m, and contain some 11.500 m                             2                              of predominantly residential functions. It features a hybrid concrete-timber stability system and concrete-timber floor panels. This paper describes the concepts behind the structural design for Haut., and will touch upon the main challenges that were faced during the design process. This includes the stability system, robustness strategy, differential movements between concrete and timber structures and vibrations.                          © WCTE 2018 Committee.</t>
  </si>
  <si>
    <t>CLT; Concrete-timber hybrid structures; Integrated design; Mass timber; Tall timber buildings</t>
  </si>
  <si>
    <t>Concretes; Housing; Structural design; System stability; Wooden buildings; Hybrid structure; Integrated designs; Residential building; Residential development; Stability systems; Timber buildings; Timber stability; Timber structures; Timber</t>
  </si>
  <si>
    <t>2-s2.0-85058141230</t>
  </si>
  <si>
    <t>Vibration behaviour of low-frequency CLT floor systems: Influence of intermediate supports and panel-to-panel connections</t>
  </si>
  <si>
    <t>10.1016/j.engstruct.2026.122351</t>
  </si>
  <si>
    <t>https://www.scopus.com/pages/publications/105035256543?origin=resultslist</t>
  </si>
  <si>
    <t>Department of Civil Engineering, University of Ottawa, Ottawa, K1N 6N5, ON, Canada</t>
  </si>
  <si>
    <t>Lago F.S., Department of Civil Engineering, University of Ottawa, Ottawa, K1N 6N5, ON, Canada; Doudak G., Department of Civil Engineering, University of Ottawa, Ottawa, K1N 6N5, ON, Canada</t>
  </si>
  <si>
    <t>This study investigates the dynamic behaviour of cross-laminated timber (CLT) floor systems through combined experimental and finite element (FE) analysis, examining the effects of panel-to-panel connection stiffness and the presence of intermediate supports on vibration. Full-scale modal testing was conducted on single-, two-, and three-panel assemblies under simply supported and continuous configurations, while exploring both bearing and non-bearing conditions. The FE models with explicit connection stiffness replicated the modal frequencies and shapes accurately. The study found that connections between panels significantly altered higher modes, introducing new vibration modes and frequency clustering; phenomena not captured by monolithic models. Introduction of intermediate non-structural supports led to considerable increases in fundamental frequencies and effective stiffness, often exceeding existing code allowances, indicating current design provisions may be too conservative. Damping ratios decreased with increased system continuity but increased with more flexible connections due to energy dissipation mechanisms. The results emphasize that simplified approaches neglecting panel-to-panel and non-structural support effects may underestimate stiffness gains, modal clustering, and damping variability. © 2026 The Author(s). Published by Elsevier Ltd. This is an open access article under the CC BY-NC-ND license. http://creativecommons.org/licenses/by-nc-nd/4.0/</t>
  </si>
  <si>
    <t>Cross-laminated timber; Dynamic Parameters; Finite-elements; Multi-panel floors; Operational modal analysis; Panel-to-panel connections; Wall-to-floor connections</t>
  </si>
  <si>
    <t>Bearings (machine parts); Damping; Energy dissipation; Laminating; Modal analysis; Structural analysis; Timber; Vibration analysis; Cross laminated; Cross-laminated timber; Dynamic parameters; Finite-element; Laminated timber; Multi-panel floor; Operational modal analysis; Panel-to-panel connection; Timber floors; Wall-to-floor connection; Floors; Stiffness</t>
  </si>
  <si>
    <t>F.S. Lago; Department of Civil Engineering, University of Ottawa, Ottawa, K1N 6N5, Canada; email: fscussia@uottawa.ca</t>
  </si>
  <si>
    <t>2-s2.0-105035256543</t>
  </si>
  <si>
    <t>Burback B.; Pei S.</t>
  </si>
  <si>
    <t>57194574987; 16031485700</t>
  </si>
  <si>
    <t>Cross-Laminated Timber for Single-Family Residential Construction: Comparative Cost Study</t>
  </si>
  <si>
    <t>10.1061/(ASCE)AE.1943-5568.0000267</t>
  </si>
  <si>
    <t>https://www.scopus.com/pages/publications/85020882896?origin=resultslist</t>
  </si>
  <si>
    <t>Dept. of Civil and Environmental Engineering, Colorado School of Mines, Golden, 80401, CO, United States</t>
  </si>
  <si>
    <t>Burback B., Dept. of Civil and Environmental Engineering, Colorado School of Mines, Golden, 80401, CO, United States; Pei S., Dept. of Civil and Environmental Engineering, Colorado School of Mines, Golden, 80401, CO, United States</t>
  </si>
  <si>
    <t>Cross-laminated timber (CLT) has emerged in recent years to become a widely recognized mass timber product for large-scale wood construction projects. The advantage of large CLT buildings has been recognized by investors and the public, resulting in a number of tall wood buildings around the world. It is generally believed that newly constructed CLT buildings can be cost competitive against steel and concrete options in certain scenarios. However, the cost-effectiveness of CLT in single-family residential construction is questionable compared to traditional light-framed wood construction. In this study, a comparative construction-cost study was conducted for three different designs using the same single-family residential floor plan: traditional light-framed wood, all CLT, and optimized CLT options. The cost differences among these different options were quantified, and the potential of CLT single-family construction was evaluated in terms of construction cost. © 2017 American Society of Civil Engineers.</t>
  </si>
  <si>
    <t>Buildings; Construction; Costs; Forests; Wood; Cost effectiveness; Costs; Housing; Laminating; Timber; Wood; Wooden buildings; Comparative costs; Construction costs; Cost competitive; Cost differences; Cross laminated; Residential construction; Timber products; Wood construction; Wooden construction</t>
  </si>
  <si>
    <t>S. Pei; Dept. of Civil and Environmental Engineering, Colorado School of Mines, Golden, 80401, United States; email: spei@mines.edu</t>
  </si>
  <si>
    <t>2-s2.0-85020882896</t>
  </si>
  <si>
    <t>Van Thai M.; Ménard S.; Elachachi S.M.; Galimard P.</t>
  </si>
  <si>
    <t>57218437138; 56653986600; 14055863500; 6506441067</t>
  </si>
  <si>
    <t>Performance of notched connectors for CLT-concrete composite floors</t>
  </si>
  <si>
    <t>10.3390/BUILDINGS10070122</t>
  </si>
  <si>
    <t>https://www.scopus.com/pages/publications/85089191039?origin=resultslist</t>
  </si>
  <si>
    <t>Applied Sciences Department, University of Québec in Chicoutimi, Saguenay, G7H 2B1, QC, Canada; Civil and Environmental Engineering Department, University of Bordeaux, Bordeaux, 33000, France</t>
  </si>
  <si>
    <t>Van Thai M., Applied Sciences Department, University of Québec in Chicoutimi, Saguenay, G7H 2B1, QC, Canada, Civil and Environmental Engineering Department, University of Bordeaux, Bordeaux, 33000, France; Ménard S., Applied Sciences Department, University of Québec in Chicoutimi, Saguenay, G7H 2B1, QC, Canada; Elachachi S.M., Civil and Environmental Engineering Department, University of Bordeaux, Bordeaux, 33000, France; Galimard P., Civil and Environmental Engineering Department, University of Bordeaux, Bordeaux, 33000, France</t>
  </si>
  <si>
    <t>CLT-concrete composite floor systems are a solution for timber buildings with a long-span floor. It yields a reduction of carbon footprint and even eco-friendly structure at the end of its service life. This study will evaluate the structural performance of notched connectors in the CLT-concrete composite floor, comprised of the serviceability stiffness, maximum load, and behavior at failure. The parameters of the test plan are the loaded edge length, the notch depth, the concrete thickness, and the screw length. Other secondary variables are also assessed, such as different loading sequences, speed of test, and timber moisture content. Experimental results prove that the performance of the connector depends significantly but not linearly on the notch depth and the length of the loaded edge. The connector with a deeper notch and a shorter heel will be stiffer and more robust, but it also tends to have a brittle rupture. The test results also help validate a solution for deconstructable connector systems. A nonlinear finite element model of the connector is built and validated versus the experimental results. It yields reasonably good predictions in terms of resistance and can capture the load-slip relationship. © 2020 by the authors.</t>
  </si>
  <si>
    <t>CLT-concrete; Deconstructable composite floor; Finite element model; Notched connector; Screw; Shear test; Timber-concrete composite floor</t>
  </si>
  <si>
    <t>M. Van Thai; Applied Sciences Department, University of Québec in Chicoutimi, Saguenay, G7H 2B1, Canada; email: minh-van.thai1@uqac.ca</t>
  </si>
  <si>
    <t>2-s2.0-85089191039</t>
  </si>
  <si>
    <t>D’Arenzo G.; Rigo P.; Nicolussi V.; Pozza L.; Casagrande D.</t>
  </si>
  <si>
    <t>57204667955; 58590427900; 58608808100; 56556666400; 23391955000</t>
  </si>
  <si>
    <t>Characterisation of the rigid diaphragm conditions for cross laminated timber floors</t>
  </si>
  <si>
    <t>Bulletin of Earthquake Engineering</t>
  </si>
  <si>
    <t>10.1007/s10518-024-02025-5</t>
  </si>
  <si>
    <t>https://www.scopus.com/pages/publications/105001069484?origin=resultslist</t>
  </si>
  <si>
    <t>Department of Civil and Architectural Engineering, Aarhus University, Inge Lehmanns Gade, 10, Aarhus C, 8000, Denmark; Department of Civil, Chemical, Environmental and Materials Engineering, University of Bologna, Bologna, Italy; Institute of Bioeconomy, National Research Council of Italy, Via Francesco Biasi, 75, Trento, San Michele all’Adige, 38098, Italy; Department of Civil, Environmental and Mechanical Engineering, University of Trento, Via Mesiano 77, Trento, 38123, Italy</t>
  </si>
  <si>
    <t>D’Arenzo G., Department of Civil and Architectural Engineering, Aarhus University, Inge Lehmanns Gade, 10, Aarhus C, 8000, Denmark; Rigo P., Department of Civil, Chemical, Environmental and Materials Engineering, University of Bologna, Bologna, Italy, Institute of Bioeconomy, National Research Council of Italy, Via Francesco Biasi, 75, Trento, San Michele all’Adige, 38098, Italy; Nicolussi V., Department of Civil, Chemical, Environmental and Materials Engineering, University of Bologna, Bologna, Italy, Institute of Bioeconomy, National Research Council of Italy, Via Francesco Biasi, 75, Trento, San Michele all’Adige, 38098, Italy; Pozza L., Department of Civil, Chemical, Environmental and Materials Engineering, University of Bologna, Bologna, Italy; Casagrande D., Department of Civil, Environmental and Mechanical Engineering, University of Trento, Via Mesiano 77, Trento, 38123, Italy</t>
  </si>
  <si>
    <t>This paper presents a comprehensive numerical study aimed at defining the conditions for which Cross-Laminated Timber (CLT) floor diaphragms of platform-type CLT buildings can be assumed rigid in linear seismic analyses. Numerical analyses are conducted on a regular CLT archetype within a framework of parametric analyses, in which different geometrical and mechanical parameters including the stiffness of the floor panel-to-panel connections, the stiffness of the floor-to-wall connections, the floor span, the distance between two consecutive shear-walls, the lateral stiffness of the shear-walls, and the number of storeys are varied. The conditions to ensure a rigid diaphragm behaviour are derived by calculating the discrepancies in terms of floor displacements, distribution of lateral forces in the shear-walls, and fundamental vibration period of the structure, between numerical models where the floor is modelled with its actual deformability and as rigid. The discrepancies are compared with threshold values given in Eurocode 8 and used to derive the conditions for which CLT floor diaphragms can be assumed rigid. The study reveals that the behaviour of the floor tends toward the rigid diaphragm condition by increasing the stiffness of the floor panel-to-panel connections and the number of storeys, and by decreasing the stiffness of the floor-to-wall connections, the ratio between the distance between two consecutive shear-walls and the floor span, and the stiffness of the shear-walls. Specific threshold values ensuring a rigid diaphragm behaviour are determined for the properties of the system, delivering the geometrical and mechanical conditions for rigid CLT floor diaphragms. © The Author(s) 2025.</t>
  </si>
  <si>
    <t>CLT; Floors; Linear seismic analyses; Numerical analyses; Rigid diaphragm; Shear walls</t>
  </si>
  <si>
    <t>Concretes; Mortar; Rigid structures; Seismic response; Shear stress; Structural dynamics; Vibration analysis; Wooden floors; Condition; Cross laminated; Cross-laminated timber; Floor diaphragms; Floor panels; Laminated timber; Linear seismic analyze; Rigid diaphragm; Seismic analysis; Timber floors; Shear walls</t>
  </si>
  <si>
    <t>G. D’Arenzo; Department of Civil and Architectural Engineering, Aarhus University, Aarhus C, Inge Lehmanns Gade, 10, 8000, Denmark; email: giuseppe.darenzo@cae.au.dk</t>
  </si>
  <si>
    <t>Springer Science and Business Media B.V.</t>
  </si>
  <si>
    <t>1570761X</t>
  </si>
  <si>
    <t>Bull. Earthquake Engin.</t>
  </si>
  <si>
    <t>2-s2.0-105001069484</t>
  </si>
  <si>
    <t>Teixeira D.L.; der Merwe J.E.; Roth C.P.</t>
  </si>
  <si>
    <t>59676899500; 60211597500; 35209142000</t>
  </si>
  <si>
    <t>Performance of CLT-concrete composite slabs made with South African Timber</t>
  </si>
  <si>
    <t>10.1201/9781003677895-140</t>
  </si>
  <si>
    <t>https://www.scopus.com/pages/publications/105022957904?origin=resultslist</t>
  </si>
  <si>
    <t>Department of Civil Engineering, University of Pretoria, South Africa</t>
  </si>
  <si>
    <t>Teixeira D.L., Department of Civil Engineering, University of Pretoria, South Africa; der Merwe J.E., Department of Civil Engineering, University of Pretoria, South Africa; Roth C.P., Department of Civil Engineering, University of Pretoria, South Africa</t>
  </si>
  <si>
    <t>The use of timber-concrete composite (TCC) floors constructed with cross-laminated timber (CLT) is increasing worldwide. Such systems rely on the integrity of the horizontal shear con-nection along the interface between the two materials to ensure composite action. Although several stu-dies have investigated these structural composites, none report on the behaviour of such systems using faster-growing timber species that are typical in continental Africa. This study addresses this gap by considering South African Pine (softwood) and Eucalyptus (hardwood) CLT configurations. Results highlight the benefit of considering hardwood as part of the CLT configuration. With the high cost associated with engineered screws, which are typical for such floor structures, its adoption might be hindered locally. This paper reports experimental research results that consider a five-layer CLT-concrete composite (CCC) floors, focusing on the quasi-static flexural response of a notch connection with and without metallic fasteners. © 2025 selection and editorial matter, Alphose Zingoni; individual chapters, the contributors. All rights reserved.</t>
  </si>
  <si>
    <t>Bending stiffness; Cross-laminated timber; Horizontal shear; Softwood-Hardwood; Timber-concrete composites</t>
  </si>
  <si>
    <t>Concrete slabs; Fasteners; Forestry; Hardwoods; Interfaces (materials); Laminated composites; Laminating; Shear flow; Softwoods; Timber; Bending stiffness; Composite floors; Cross laminated; Cross-laminated timber; Horizontal shear; Laminated timber; Performance; Softwood-hardwood; Timber-concrete composite slabs; Timber-concrete composites; Floors</t>
  </si>
  <si>
    <t>2-s2.0-105022957904</t>
  </si>
  <si>
    <t>Zhang X.; Hu X.; Gong H.; Zhang J.; Lv Z.; Hong W.</t>
  </si>
  <si>
    <t>57212472486; 55496178300; 55889681600; 56076943000; 57212477595; 26643868200</t>
  </si>
  <si>
    <t>Experimental study on the impact sound insulation of cross laminated timber and timber-concrete composite floors</t>
  </si>
  <si>
    <t>Applied Acoustics</t>
  </si>
  <si>
    <t>10.1016/j.apacoust.2019.107173</t>
  </si>
  <si>
    <t>https://www.scopus.com/pages/publications/85076729670?origin=resultslist</t>
  </si>
  <si>
    <t>College of Civil Engineering, Nanjing Tech University, Nanjing, 211816, China</t>
  </si>
  <si>
    <t>Zhang X., College of Civil Engineering, Nanjing Tech University, Nanjing, 211816, China; Hu X., College of Civil Engineering, Nanjing Tech University, Nanjing, 211816, China; Gong H., College of Civil Engineering, Nanjing Tech University, Nanjing, 211816, China; Zhang J., College of Civil Engineering, Nanjing Tech University, Nanjing, 211816, China; Lv Z., College of Civil Engineering, Nanjing Tech University, Nanjing, 211816, China; Hong W., College of Civil Engineering, Nanjing Tech University, Nanjing, 211816, China</t>
  </si>
  <si>
    <t>With the increasing demands for indoor comfort, the sound insulation issues of buildings should not be ignored. The impact sound of floors is the main source of noise between rooms. In this study, impact sound insulation tests were performed on one cross laminated timber (CLT) floor and one timber-concrete composite (TCC) floor to investigate the impact sound insulation performance. Since the sound insulation performance of bare floors is poor, effective sound insulation improvement schemes were proposed, including three kinds of solutions of floating floor and two kinds of solutions of suspended ceiling for TCC floor and CLT floor. In addition, an additional optimization solution of floating floor was also presented for CLT floor. The impact sound insulation performance of two floors with different solutions in full frequency range was compared and analyzed. The test results showed that adding floating floor and suspended ceiling can improve the impact sound insulation performance of floors to a certain degree, and the latter is more effective. The experimental and analytical results could provide a reference for improving the sound insulation of residential floors. © 2019 Elsevier Ltd</t>
  </si>
  <si>
    <t>Cross laminated timber floor; Floating floor; Impact sound insulation; Suspended ceiling; Timber-concrete composite floor</t>
  </si>
  <si>
    <t>Acoustic waves; Ceilings; Concretes; Electric circuit breakers; Floors; Laminated composites; Laminating; Sound insulating materials; Timber; Cross laminated; Floating floor; Impact sound insulation; Suspended ceilings; Timber-concrete composites; Sound insulation</t>
  </si>
  <si>
    <t>X. Hu; College of Civil Engineering, Nanjing Tech University, Nanjing, 211816, China; email: huxm_njtech@163.com</t>
  </si>
  <si>
    <t>0003682X</t>
  </si>
  <si>
    <t>AACOB</t>
  </si>
  <si>
    <t>Appl Acoust</t>
  </si>
  <si>
    <t>2-s2.0-85076729670</t>
  </si>
  <si>
    <t>Nouri F.; Bradford M.; Valipour H.</t>
  </si>
  <si>
    <t>57205020992; 7102411221; 6508258428</t>
  </si>
  <si>
    <t>Steel-Timber Composite Beam-to-Column Connections with Shear Tab</t>
  </si>
  <si>
    <t>10.1061/(ASCE)ST.1943-541X.0002274</t>
  </si>
  <si>
    <t>https://www.scopus.com/pages/publications/85059529507?origin=resultslist</t>
  </si>
  <si>
    <t>Centre for Infrastructure Engineering and Safety, School of Civil and Environmental Engineering, Univ. of New South Wales, Sydney, 2052, NSW, Australia</t>
  </si>
  <si>
    <t>Nouri F., Centre for Infrastructure Engineering and Safety, School of Civil and Environmental Engineering, Univ. of New South Wales, Sydney, 2052, NSW, Australia; Bradford M., Centre for Infrastructure Engineering and Safety, School of Civil and Environmental Engineering, Univ. of New South Wales, Sydney, 2052, NSW, Australia; Valipour H., Centre for Infrastructure Engineering and Safety, School of Civil and Environmental Engineering, Univ. of New South Wales, Sydney, 2052, NSW, Australia</t>
  </si>
  <si>
    <t>This paper focuses on the structural behavior and negative bending moment capacity of steel-timber composite (STC) beam-to-column connections with shear tabs. It is hypothesized that timber slabs with relatively high tensile strength acting compositely with steel beams can allow for large negative bending moment resistance despite their being a simple (or pin) connection between the steel beam and column. Four full-scale STC beam-to-column cruciform subassemblies with shear tab connections were fabricated and tested under a monotonically increasing load that produced negative bending moments at the beam-to-column connections. In addition, a steel-concrete composite (SCC) beam-to-column connection with identical geometry to that of the STC joints was fabricated and tested to evaluate the structural performance (stiffness, strength, and ductility) of the STC compared with SCC connections. The main variables in the experimental program were the type of connection (i.e., continuous, spline, and bolted steel plate) between the cross-laminated timber slabs across the column and the depth of the shear tab. Lastly, a simple method inspired by the component-based approach is proposed for estimating the peak load carrying capacity of the STC beam-to-column connections with a shear tab. © 2018 American Society of Civil Engineers.</t>
  </si>
  <si>
    <t>Composite floors; Cross-laminated timber (CLT); Shear tab; Steel-timber composite</t>
  </si>
  <si>
    <t>Bending moments; Laminating; Steel beams and girders; Tensile strength; Timber; Beam-to-column connections; Component based approach; Composite floors; Cross laminated; High-tensile strength; Steel beam and columns; Steel-concrete composite; Structural performance; Laminated composites</t>
  </si>
  <si>
    <t>H. Valipour; Centre for Infrastructure Engineering and Safety, School of Civil and Environmental Engineering, Univ. of New South Wales, Sydney, 2052, Australia; email: h.valipour@unsw.edu.au</t>
  </si>
  <si>
    <t>2-s2.0-85059529507</t>
  </si>
  <si>
    <t>Maatoufi Y.E.; Nasla S.; Jamil Y.; Gueraoui K.; Cherraj M.</t>
  </si>
  <si>
    <t>57437539900; 57222071239; 57222072454; 55927932300; 35208175500</t>
  </si>
  <si>
    <t>COMPARATIVE APPROACH IN THE DIMENSIONING AND THE THEORETICAL AND NUMERICAL STUDY OF COMPOSITE BEAMS, STEEL-CONCRETE AND STEEL-WOOD (CLT FLOOR)</t>
  </si>
  <si>
    <t>JP Journal of Heat and Mass Transfer</t>
  </si>
  <si>
    <t>10.17654/0973576322039</t>
  </si>
  <si>
    <t>https://www.scopus.com/pages/publications/85135699701?origin=resultslist</t>
  </si>
  <si>
    <t>Team of Modelling and Simulating in Mechanics and Energetics, Energy Reswarch Center, Faculty of Sciences Mohamed V University, B.P.1014, Rabt, Morocco</t>
  </si>
  <si>
    <t>Maatoufi Y.E., Team of Modelling and Simulating in Mechanics and Energetics, Energy Reswarch Center, Faculty of Sciences Mohamed V University, B.P.1014, Rabt, Morocco; Nasla S., Team of Modelling and Simulating in Mechanics and Energetics, Energy Reswarch Center, Faculty of Sciences Mohamed V University, B.P.1014, Rabt, Morocco; Jamil Y., Team of Modelling and Simulating in Mechanics and Energetics, Energy Reswarch Center, Faculty of Sciences Mohamed V University, B.P.1014, Rabt, Morocco; Gueraoui K., Team of Modelling and Simulating in Mechanics and Energetics, Energy Reswarch Center, Faculty of Sciences Mohamed V University, B.P.1014, Rabt, Morocco; Cherraj M., Team of Modelling and Simulating in Mechanics and Energetics, Energy Reswarch Center, Faculty of Sciences Mohamed V University, B.P.1014, Rabt, Morocco</t>
  </si>
  <si>
    <t>This theoretical study aims to study to what extent composite beams combining a steel profile and a cross-laminated timber (CLT) floor are convenient. This construction technique is inspired by the “traditional” composite beams which use a steel section and a concrete slab which have already proven themselves in multi-storey buildings. If we manage to use this technique by replacing the concrete with a product derived from wood, we can then expect a better ecological balance, a reduction in the weight of the structure, more prefabrication and the possibility of dismantling/reusing the structure. The ultimate goal is to be able to compare a traditional mixed steel/concrete floor with a steel/CLT floor and see if this new way of building a floor can really succeed. Recent research has been conducted on possible connections between steel profiles and CLT panels to examine their potentials in composite construction. Based on the aforementioned statements, we therefore present the main conclusions that have been drawn. © 2022 Pushpa Publishing House, Prayagraj, India.</t>
  </si>
  <si>
    <t>CLT panels; Composite beam; Concrete; Connection; Floor; Foundation; Steel; Structure; Wood</t>
  </si>
  <si>
    <t>Pushpa Publishing House</t>
  </si>
  <si>
    <t>JP J. Heat Mass Transf.</t>
  </si>
  <si>
    <t>2-s2.0-85135699701</t>
  </si>
  <si>
    <t>Hindman D.P.; Bouldin J.C.</t>
  </si>
  <si>
    <t>9233984400; 55901141600</t>
  </si>
  <si>
    <t>Mechanical properties of southern pine cross-laminated timber</t>
  </si>
  <si>
    <t>Journal of Materials in Civil Engineering</t>
  </si>
  <si>
    <t>10.1061/(ASCE)MT.1943-5533.0001203</t>
  </si>
  <si>
    <t>https://www.scopus.com/pages/publications/84939221622?origin=resultslist</t>
  </si>
  <si>
    <t>Virginia Tech Dept. of Sustainable Biomaterials, 1650 Research Center Dr., Blacksburg, 24061, VA, United States</t>
  </si>
  <si>
    <t>Hindman D.P., Virginia Tech Dept. of Sustainable Biomaterials, 1650 Research Center Dr., Blacksburg, 24061, VA, United States; Bouldin J.C., Virginia Tech Dept. of Sustainable Biomaterials, 1650 Research Center Dr., Blacksburg, 24061, VA, United States</t>
  </si>
  <si>
    <t>Cross-laminated timber (CLT) is a novel wood building material suitable for floor, roof, and wall assemblies in low- and mid-rise construction as an alternative to concrete and steel. CLTs are considered to provide good seismic resistance, fast erection times, carbon sequestration, and a significant reduction in greenhouse gas emissions over other construction materials. Southern pine is an abundant forest resource; yet it has not been commercially used for CLT manufacturing. The purpose of this paper was to measure the bending and shear properties of CLT material fabricated using southern pine lumber compared to product standards. Bending strength, bending stiffness, shear strength, resistance to shear by compression loading strength, and resistance to delamination were measured according to product standards, and test results were compared with values given in the standards. Bending tests were conducted on jointed beams due to test length requirements. Bending strength, bending stiffness, and wood failure in resistance to shear by compression loading tests exceeded the published values for the published values, while resistance to delamination did not meet the established criteria. The resistance to delamination results may have been affected by the uncontrolled moisture content of the lumber during fabrication of the CLTs. The application of glued laminated lumber standards to CLT products requires clarification in the orientation of loading directions for the resistance to shear by a compression loading test and the measurement of all four sides of the resistance to delamination specimens. Increased scrutiny of moisture content quality control is highly encouraged for the production of CLTs. © 2014 American Society of Civil Engineers.</t>
  </si>
  <si>
    <t>Cross-laminated timber (CLT); Mechanical property; Resistance to delamination; Resistance to shear by compression loading; Rolling shear; Southern pine</t>
  </si>
  <si>
    <t>Bend Strength; Compression; Concrete; Delamination; Forests; Laminates; Moisture Content; Quality Control; Southern Pines; Steel; Pinus echinata; Bending tests; Building materials; Compressive strength; Earthquake engineering; Forestry; Gas emissions; Greenhouse gases; Laminating; Lumber; Mechanical properties; Moisture control; Moisture determination; Roofs; Stiffness; Timber; Wooden buildings; Carbon sequestration; Compression loading; Cross laminated; Laminated lumbers; Loading direction; Product standards; Seismic resistance; Southern pines; bending; construction material; loading test; mechanical property; moisture content; shear strength; timber; Bending strength</t>
  </si>
  <si>
    <t>D.P. Hindman; Virginia Tech Dept. of Sustainable Biomaterials, Blacksburg, 1650 Research Center Dr., 24061, United States; email: dhindman@vt.edu</t>
  </si>
  <si>
    <t>J. Mater. Civ. Eng.</t>
  </si>
  <si>
    <t>2-s2.0-84939221622</t>
  </si>
  <si>
    <t>Kotlarewski N.; Davis D.; Ettelaei A.; Wallis L.</t>
  </si>
  <si>
    <t>56422277400; 59984520200; 57204856518; 57195692834</t>
  </si>
  <si>
    <t>Monitoring timber moisture content in timber-concrete hybrid construction: St Lukes Health Insurance mid-rise office building</t>
  </si>
  <si>
    <t>10.52202/080513-0225</t>
  </si>
  <si>
    <t>https://www.scopus.com/pages/publications/105010257578?origin=resultslist</t>
  </si>
  <si>
    <t>School of Architecture and Design, University of Tasmania, Launceston, Australia; BG&amp;E, Melbourne, Australia</t>
  </si>
  <si>
    <t>Kotlarewski N., School of Architecture and Design, University of Tasmania, Launceston, Australia; Davis D., BG&amp;E, Melbourne, Australia; Ettelaei A., School of Architecture and Design, University of Tasmania, Launceston, Australia; Wallis L., School of Architecture and Design, University of Tasmania, Launceston, Australia</t>
  </si>
  <si>
    <t>The St Lukes Health Insurance building in Launceston, Tasmania is one of Australia's latest mass timber buildings to be constructed. This seven-storey, 7000 m2 building will be the largest office dwelling in Launceston, Tasmania. Constructed with European spruce post and beams, radiata pine CLT and local Tasmanian Eucalyptus nitens CLT, the speed of construction and natural beauty of this project is unprecedented. The research presented in this article is about the monitoring of the change in moisture content (MC) in the concrete capped CLT composite solution used on the level five ceiling to level six floor. This hybrid solution provided a platform for a garden terrace located on level six. The change in moisture content (MC) of the radiata pine CLT structure post concrete capping, was measured to the point of structural cure (28 days) and beyond to ensure the timber structure returned to an acceptable MC. Several months of data collection highlighted the initial peak in MC as a result of the concrete capping and the gradual decline in timber MC over 2023/24 period. This article acts as an exemplar study that future scholars and practitioners can adopt to monitor change in mass timber MC during construction and post hybridisation solutions. © (2025) WORLD CONFERENCE ON TIMBER ENGINEERING 2025 (WCTE 2025) All rights reserved.</t>
  </si>
  <si>
    <t>CLT/concrete hybrid; Moisture content</t>
  </si>
  <si>
    <t>Concretes; Floors; Forestry; Moisture; Moisture determination; Structural health monitoring; Timber; Wooden buildings; %moisture; Australia; CLT/concrete hybrid; Eucalyptus nitens; Hybrid construction; Natural beauty; Radiata pine; Speed of constructions; Timber buildings; Timber-concrete; Office buildings</t>
  </si>
  <si>
    <t>2-s2.0-105010257578</t>
  </si>
  <si>
    <t>Lee H.-J.; Ha Y.-S.; Lee S.-J.</t>
  </si>
  <si>
    <t>58666639800; 58667105900; 57207065224</t>
  </si>
  <si>
    <t>Evaluation of floor impact sound and airborne sound insulation performance of cross laminated timber slabs and their toppings; [구조용 직교 집성판 슬래브와 상부 토핑 조건에 따른 바닥충격음 및 공기전달음 평가]</t>
  </si>
  <si>
    <t>Journal of the Acoustical Society of Korea</t>
  </si>
  <si>
    <t>10.7776/ASK.2023.42.6.572</t>
  </si>
  <si>
    <t>https://www.scopus.com/pages/publications/85180575082?origin=resultslist</t>
  </si>
  <si>
    <t>National Institute of Forest Science, 57 Hoegi-ro, Dongdaemun-gu, Seoul, 02455, South Korea</t>
  </si>
  <si>
    <t>Lee H.-J., National Institute of Forest Science, 57 Hoegi-ro, Dongdaemun-gu, Seoul, 02455, South Korea; Ha Y.-S., National Institute of Forest Science, 57 Hoegi-ro, Dongdaemun-gu, Seoul, 02455, South Korea; Lee S.-J., National Institute of Forest Science, 57 Hoegi-ro, Dongdaemun-gu, Seoul, 02455, South Korea</t>
  </si>
  <si>
    <t>Demand for wood in construction is increasing worldwide. In Korea, technical reviews of high-rise Cross Laminated Timber (CLT) buildings are under way. In this paper, Floor Impact Sound Insulation Performance (FISIP) and Transmission Loss (TL) of 150 mm thick CLT floor panels made of two domestic species, Larix kaempferi and Pinus densiflora, are investigated. The CLT slabs were tested in reverberation chambers connected vertically. When comparing Single Number Quantity (SNQ) of FISIP of the bare panels, the Larix CLT is 3 dB lower in heavy-weight and 1 dB in light-weight than the Pinus CLT. However, there was no difference when concrete toppings were added to improve the performance. As the concrete toppings became thicker, the heavy-weight was reduced by 9 dB ~ 20 dB, and the light-weight by 20 dB ~ 30 dB. And the analysis of these results with area density has confirmed that the area densities are highly correlated (R2 = 0.94 ~ 0.99) to the FISIP of the CLT. The types of CLT didn't affect the TL. Comparison of theoretical TL values with measured TL values has shown that the frequency characteristics are similar but 8 dB ~ 12 dB lower in measured values. The relationship between the TL and frequency characteristics of the tested CLT slabs was derived by using the correction value. ©2023 The Acoustical Society of Korea. This is an Open Access article distributed under the terms of the Creative Commons Attribution Non-Commercial License which permits unrestricted non-commercial use, distribution, and reproduction in any medium, provided the original work is properly cited.</t>
  </si>
  <si>
    <t>Area density; Cross laminated timber; Floor impact sound; Transmission loss; Wooden house</t>
  </si>
  <si>
    <t>S.-J. Lee; National Institute of Forest Science, Seoul, 57 Hoegi-ro, Dongdaemun-gu, 02455, South Korea; email: lsjoon@korea.kr</t>
  </si>
  <si>
    <t>Acoustical Society of Korea</t>
  </si>
  <si>
    <t>Korean</t>
  </si>
  <si>
    <t>J. Acoust. Soc. Korea</t>
  </si>
  <si>
    <t>2-s2.0-85180575082</t>
  </si>
  <si>
    <t>Wang M.; Chen L.; Xu Q.; Wang Z.; Leng Y.; Song X.</t>
  </si>
  <si>
    <t>56378850200; 55196064100; 36865268500; 57856552000; 56486968200; 23098150100</t>
  </si>
  <si>
    <t>Study on tensile performance of connections of CLT-concrete composite floor after fire exposure; [正交胶合木-混凝土组合楼板连接节点 受火后受拉性能研究]</t>
  </si>
  <si>
    <t>Jianzhu Jiegou Xuebao/Journal of Building Structures</t>
  </si>
  <si>
    <t>10.14006/j.jzjgxb.2024.0197</t>
  </si>
  <si>
    <t>https://www.scopus.com/pages/publications/105013259699?origin=resultslist</t>
  </si>
  <si>
    <t>Shanghai Key Laboratory of Engineering Structure Safety, Shanghai Research Institute of Building Sciences Co.，Ltd, Shanghai, 200032, China; School of Naval Architecture, Ocean &amp; Civil Engineering, Shanghai Jiao Tong University, Shanghai, 200240, China</t>
  </si>
  <si>
    <t>Wang M., Shanghai Key Laboratory of Engineering Structure Safety, Shanghai Research Institute of Building Sciences Co.，Ltd, Shanghai, 200032, China; Chen L., Shanghai Key Laboratory of Engineering Structure Safety, Shanghai Research Institute of Building Sciences Co.，Ltd, Shanghai, 200032, China; Xu Q., Shanghai Key Laboratory of Engineering Structure Safety, Shanghai Research Institute of Building Sciences Co.，Ltd, Shanghai, 200032, China; Wang Z., School of Naval Architecture, Ocean &amp; Civil Engineering, Shanghai Jiao Tong University, Shanghai, 200240, China; Leng Y., Shanghai Key Laboratory of Engineering Structure Safety, Shanghai Research Institute of Building Sciences Co.，Ltd, Shanghai, 200032, China; Song X., School of Naval Architecture, Ocean &amp; Civil Engineering, Shanghai Jiao Tong University, Shanghai, 200240, China</t>
  </si>
  <si>
    <t>To investigate the tensile performance of connections in cross laminated timber（CLT）-concrete composite floor after fire exposure，twelve groups of connections（totally 36 replicates）of CLT-concrete composite floor were designed and tested at normal temperature and after fire exposure. Test variables included connection type，self-tapping screw configuration，geometry，fire exposure time，etc. Test results indicate that connection type plays an important role in the failure modes，concrete tensile failure occurs on the bonded specimens，withdrawal failure of the self-tapping screws occurs at the self-tapping screw connections. The nonlinearity of the curves of the bonded specimens is low，while such nonlinearity of the self-tapping screw specimens is relatively higher. The tensile ultimate capacity of the specimens with self-tapping screws drilled into CLT along the 90° direction exhibits the most significant degradation. After being exposed to fire for 90 minutes，the maximum drop of the tensile bearing capacity of the connection can be up to 74. 1%. The charring rate of the CLT after fire exposure for 30 min is notably higher than the nominal linear charring rate of timber prescribed by GB 50005—2017‘Standard for design of timber structures’，while the charring rates of the CLT after fire exposure for 60 min and 90 min are close to the prescribed nominal linear charring rate. Meanwhile，FEM analysis of tensile performance of connections in CLT-concrete composite floor after fire exposure was conducted. The FEM model can reflect the failure modes of the self-tapping screw specimens，and the averaged modelling error of the tensile ultimate capacity of specimens is 5. 8%，which can meet the engineering accuracy. © 2025 Science Press. All rights reserved.</t>
  </si>
  <si>
    <t>after fire; CLT-concrete composite floor; connection type; static test; tensile performance</t>
  </si>
  <si>
    <t>Concrete testing; Concretes; Failure modes; Fires; Laminated composites; Outages; Self drilling screws; Tapping (threads); Tensile strength; Timber; After fires; Charring rates; CLT-concrete composite floor; Composite floors; Concrete composites; Connection type; Fire exposures; Self-tapping screws; Static tests; Tensile performance; Floors</t>
  </si>
  <si>
    <t>Q. Xu; Shanghai Key Laboratory of Engineering Structure Safety, Shanghai Research Institute of Building Sciences Co.，Ltd, Shanghai, 200032, China; email: xuqingfeng73@163.com</t>
  </si>
  <si>
    <t>Science Press</t>
  </si>
  <si>
    <t>JJXUD</t>
  </si>
  <si>
    <t>Chinese</t>
  </si>
  <si>
    <t>Jianzhu Jiegou Xuebao</t>
  </si>
  <si>
    <t>2-s2.0-105013259699</t>
  </si>
  <si>
    <t>Vardaxis N.-G.; Bard Hagberg D.; Dahlström J.</t>
  </si>
  <si>
    <t>57193120757; 55329172500; 57867075100</t>
  </si>
  <si>
    <t>Evaluating Laboratory Measurements for Sound Insulation of Cross-Laminated Timber (CLT) Floors: Configurations in Lightweight Buildings</t>
  </si>
  <si>
    <t>Applied Sciences (Switzerland)</t>
  </si>
  <si>
    <t>10.3390/app12157642</t>
  </si>
  <si>
    <t>https://www.scopus.com/pages/publications/85136915754?origin=resultslist</t>
  </si>
  <si>
    <t>Department of Construction Sciences, LTH, Lund University, Lund, 22100, Sweden</t>
  </si>
  <si>
    <t>Vardaxis N.-G., Department of Construction Sciences, LTH, Lund University, Lund, 22100, Sweden; Bard Hagberg D., Department of Construction Sciences, LTH, Lund University, Lund, 22100, Sweden; Dahlström J., Department of Construction Sciences, LTH, Lund University, Lund, 22100, Sweden</t>
  </si>
  <si>
    <t>Cross-laminated timber (CLT) floors with supplementary layers or floating floors comprise a common solution in new multistory timber structures. However, bare CLT components provide poor sound insulation, especially in low frequencies during structure-borne sound propagation. Thus, floor configurations in wooden buildings deploy more layers for improved acoustic behavior. Twelve contemporary CLT floors were analyzed after laboratory measurements of airborne sound reduction and impact sound transmission utilizing the following indicators: (Formula presented.), (Formula presented.), (Formula presented.), (Formula presented.), (Formula presented.), and (Formula presented.) (per ISO 10140, ISO 717). An increase in sound insulation was achieved thanks to added total mass and thickness, testing layers of the following: elastic mat for vibration isolation, wool insulation, gypsum boards, plywood, concrete screed, and wooden parquet floor. The results indicate that multilayered CLT floors can provide improvements of up to 22 dB for airborne sound and 32 dB for impact sound indicators compared with the bare CLT slab. Floating floor configurations with dry floor solutions (concrete screed) and wooden parquet floors stand out as the optimal cases. The parquet floor provides a 1–2 dB improvement only for impact sound indicators in floating floor setups (or higher in three cases). © 2022 by the authors.</t>
  </si>
  <si>
    <t>airborne sound; cross-laminated timber; impact noise; sound insulation; timber</t>
  </si>
  <si>
    <t>N.-G. Vardaxis; Department of Construction Sciences, LTH, Lund University, Lund, 22100, Sweden; email: nikolas.vardaxis@construction.lth.se</t>
  </si>
  <si>
    <t>Appl. Sci.</t>
  </si>
  <si>
    <t>2-s2.0-85136915754</t>
  </si>
  <si>
    <t>Chen Y.; Dackermann U.; Valipour H.</t>
  </si>
  <si>
    <t>59984806500; 29667491700; 6508258428</t>
  </si>
  <si>
    <t>DYNAMIC PERFORMANCE ASSESSMENT OF FULL-SCALE CLT AND CLT-CONCRETE COMPOSITE FLOORS</t>
  </si>
  <si>
    <t>10.52202/080513-0399</t>
  </si>
  <si>
    <t>https://www.scopus.com/pages/publications/105010248453?origin=resultslist</t>
  </si>
  <si>
    <t>Centre for Infrastructure Engineering and Safety (CIES), School of Civil and Environmental Engineering, The University of New South Wales (UNSW), Sydney, Australia</t>
  </si>
  <si>
    <t>Chen Y., Centre for Infrastructure Engineering and Safety (CIES), School of Civil and Environmental Engineering, The University of New South Wales (UNSW), Sydney, Australia; Dackermann U., Centre for Infrastructure Engineering and Safety (CIES), School of Civil and Environmental Engineering, The University of New South Wales (UNSW), Sydney, Australia; Valipour H., Centre for Infrastructure Engineering and Safety (CIES), School of Civil and Environmental Engineering, The University of New South Wales (UNSW), Sydney, Australia</t>
  </si>
  <si>
    <t>Cross-laminated timber (CLT) is increasingly used in multi-storey construction, but its low mass can lead to vibration serviceability concerns in long-span floors. CLT-concrete composite floor systems offer a potential solution, yet the effects on dynamic performance require further investigation. This study investigates the dynamic behaviour of full-scale CLT and CLT-concrete composite floors using experimental modal analysis (EMA). Two 8-meter-long floor systems, fabricated from 3-ply and 5-ply CLT panels, were tested under simply supported conditions. Modal properties, i.e. natural frequencies, mode shapes and damping ratios, of the first four flexural modes were extracted using hammer impact. The results showed that the additional concrete layer generally increased damping ratios, with some damping values more than doubling in the higher modes. The 3-ply floor exhibited increases in natural frequencies across all modes, while the frequencies of the 5-ply floor showed reductions, attributed to the combined effects of added mass and stiffness changes. The findings support the use of CLT-concrete composites for enhanced vibration serviceability. However, observed frequency reductions in the 5-ply configuration suggest caution when assuming universal improvements. © (2025) WORLD CONFERENCE ON TIMBER ENGINEERING 2025 (WCTE 2025) All rights reserved.</t>
  </si>
  <si>
    <t>CLT-concrete composite floor; Cross-laminated timber (CLT); experimental modal analysis; serviceability design; vibration performance</t>
  </si>
  <si>
    <t>Concretes; Damping; Floors; Laminated composites; Laminating; Timber; Vibration analysis; Composite floors; Cross laminated; Cross-laminated timber; Cross-laminated timber-concrete composite floor; Experimental modal analysis; Laminated timber; Performance; Serviceability designs; Timber-concrete composites; Vibration performance; Modal analysis; Natural frequencies</t>
  </si>
  <si>
    <t>2-s2.0-105010248453</t>
  </si>
  <si>
    <t>Balmori J.-A.; Herráez M.; Gutiérrez A.; Casado M.; Machimbarrena M.</t>
  </si>
  <si>
    <t>57195732158; 35616767200; 59496926000; 36189846000; 14030485400</t>
  </si>
  <si>
    <t>Study of the improvement of impact noise insulation of mixed construction solutions CLT / concrete + end-of-life tyres in small-sized test specimens; [Estudio de la mejora de aislamiento a ruido de impacto de soluciones constructivas mixtas CLT / hormigón + neumático fuera de uso en probetas de tamaño reducido]</t>
  </si>
  <si>
    <t>Maderas: Ciencia y Tecnologia</t>
  </si>
  <si>
    <t>10.22320/s0718221x/2025.10</t>
  </si>
  <si>
    <t>https://www.scopus.com/pages/publications/85213886397?origin=resultslist</t>
  </si>
  <si>
    <t>Universidad de Valladolid, Escuela Técnica Superior de Arquitectura, GIR Estructuras y Tecnología de la madera, Valladolid, Spain; Universidad de Valladolid, Escuela de Ingenierías Industriales, Valladolid, Spain; Universidad de Valladolid, Escuela Técnica Superior de Ingenierías Agrarias, GIR Estructuras y Tecnología de la madera, Palencia, Spain; Universidad de Valladolid, Escuela Técnica Superior de Arquitectura, GIR Arquitectura y Energía, Valladolid, Spain</t>
  </si>
  <si>
    <t>Balmori J.-A., Universidad de Valladolid, Escuela Técnica Superior de Arquitectura, GIR Estructuras y Tecnología de la madera, Valladolid, Spain; Herráez M., Universidad de Valladolid, Escuela de Ingenierías Industriales, Valladolid, Spain; Gutiérrez A., Universidad de Valladolid, Escuela de Ingenierías Industriales, Valladolid, Spain; Casado M., Universidad de Valladolid, Escuela Técnica Superior de Ingenierías Agrarias, GIR Estructuras y Tecnología de la madera, Palencia, Spain; Machimbarrena M., Universidad de Valladolid, Escuela Técnica Superior de Arquitectura, GIR Arquitectura y Energía, Valladolid, Spain</t>
  </si>
  <si>
    <t>Cross-laminated timber is an industrialised wood product that has increased exponentially in its use in the construction industry due to its structural efficiency, lightness, sustainable character and economic competitiveness. Thus, in recent years, this product is being used for the construction of collective buildings (high-rise buildings) throughout Europe, developing a new efficient and high quality structural and construction system. However, the use of these lightweight construction systems using cross-laminated timber, compared to traditional heavyweight systems, do not have a good impact sound insulation performance in the floors of collective buildings. To achieve similar insulation to traditional systems, new elastomeric materials, most of them expensive, need to be introduced in wooden structures design, in collaboration with higher density materials (mortar/concrete) or multilayer materials (specific acoustic insulator materials). This study investigates the introduction of elastic materials made from end-of-life tyres (ELT, hereinafter NFU) with elastic properties similar to current elastomers as an alternative to improve the acoustic performance of these lightweight constructions. To this end, laboratory tests are carried out on the reduction of impact noise transmission on small specimens, with different thicknesses of NFU blanket, on a mixed panel base of cross-laminated timber (CLT) and concrete. The results show impact sound insulation improvements (&gt;8 dB) in all cases studied (4 mm, 10 mm and 20 mm NFU blankets) above 160 Hz. Insulation improvements above 250 Hz are also achieved by partially (15%) replacing aggregate with NFU shot in the concrete slab dosage. The introduction of these materials (end-of-life tyres) in the construction industry as acoustic insulators enables the controlled reuse of a material that currently generates serious environmental problems due to its uncontrolled storage and low recycling volume. Besides, it compensates the acoustic limitations of wood-based products, such as cross-laminated timber, and increases the sustainability advantages of these timber construction systems. © 2025, null. All rights reserved.</t>
  </si>
  <si>
    <t>cross-laminated timber (CLT); end-of-life tyres; Sound insulation; sustainability; timber construction</t>
  </si>
  <si>
    <t>J.-A. Balmori; Universidad de Valladolid, Escuela Técnica Superior de Arquitectura, GIR Estructuras y Tecnología de la madera, Valladolid, Spain; email: joseantonio.balmori@uva.es</t>
  </si>
  <si>
    <t>Universidad del Bio-Bio</t>
  </si>
  <si>
    <t>Spanish</t>
  </si>
  <si>
    <t>Maderas Cienc. Tecnol.</t>
  </si>
  <si>
    <t>2-s2.0-85213886397</t>
  </si>
  <si>
    <t>Experimental Investigations of Full-Scale Cross-Laminated Timber Concrete Composite Floors</t>
  </si>
  <si>
    <t>10.1007/978-981-19-0511-7_34</t>
  </si>
  <si>
    <t>https://www.scopus.com/pages/publications/85133196778?origin=resultslist</t>
  </si>
  <si>
    <t>Fast + Epp, Vancouver, Canada; University of Northern British Columbia, British Columbia, Canada</t>
  </si>
  <si>
    <t>Shahnewaz M., Fast + Epp, Vancouver, Canada; Jackson R., Fast + Epp, Vancouver, Canada; Tannert T., University of Northern British Columbia, British Columbia, Canada</t>
  </si>
  <si>
    <t>Experimental investigations on full-scale Timber Concrete Composite (TCC) floor systems with various composite connectors are presented in this paper. The stiffness, strength, and failure modes of were evaluated. The 9.2 m long and 2.4 m wide TCC floor segments were comprised of 245 mm thick, 7-ply Cross-laminated Timber (CLT) panels with 150 mm concrete topping connected with three types of shear connectors: (i) self-tapping screws, (ii) steel kerf plates, and (iii) glued-in Holz-Beton-Verbund (HBV) plates. Six TCC floor segments were tested to failure under symmetric four-point bending and three TCC floor segments were tested under torsional bending by applying eccentric loading near the edge. The floor deformations at nine locations and connector slips at CLT-concrete interfaces at eight locations along the length of the floor were measured. The full-scale tests showed that the steel kerf plates—for the selected connector configurations- exhibited the highest capacity and stiffness. © 2023, Canadian Society for Civil Engineering.</t>
  </si>
  <si>
    <t>Concretes; Laminated composites; Laminating; Stiffness; Timber; Composite floor systems; Composite floors; Cross laminated; Experimental investigations; Four-point-bending; Laminated timber; Self-tapping screws; Shear connector; Symmetrics; Timber-concrete composites; Floors</t>
  </si>
  <si>
    <t>Walbridge S.; Nik-Bakht M.; Ng K.T.; Shome M.; Alam M.S.; El Damatty A.; Lovegrove G.</t>
  </si>
  <si>
    <t>978-981190510-0</t>
  </si>
  <si>
    <t>2-s2.0-85133196778</t>
  </si>
  <si>
    <t>Epp G.A.</t>
  </si>
  <si>
    <t>Timber awakening in America</t>
  </si>
  <si>
    <t>https://www.scopus.com/pages/publications/85010934215?origin=resultslist</t>
  </si>
  <si>
    <t>StructureCraft Builders, United States</t>
  </si>
  <si>
    <t>Epp G.A., StructureCraft Builders, United States</t>
  </si>
  <si>
    <t>Being endowed with a wealth of timber, America has a long history of its use in construction. By the end of the nineteenth century, cities were building multi-storey commercial buildings using heavy timber, and, because of fire concerns, were building large floor plates out of what we would now call mass timber. With advances in structural steel and then reinforced concrete, such use died out. However, the recent development in Europe of prefabricated mass wood panels, along with wood's natural aesthetics and sustainability features, has led to renewed interest in North America. With the 2008-2014 recession behind us, American developers and architects are now pursuing mass timber with vigour.</t>
  </si>
  <si>
    <t>CLT; Commercial buildings; Heavy timber; Mass timber; Mass wood; NLT; Panels; Prefabrication</t>
  </si>
  <si>
    <t>Building materials; Buildings; Office buildings; Reinforced concrete; Commercial building; Floor plates; Panels; Prefabrication; Structural steels; Wood panels; Timber</t>
  </si>
  <si>
    <t>G.A. Epp; StructureCraft Builders, United States; email: gepp@structurecraft.com</t>
  </si>
  <si>
    <t>2-s2.0-85010934215</t>
  </si>
  <si>
    <t>Marriage G.</t>
  </si>
  <si>
    <t>Structure: Timber</t>
  </si>
  <si>
    <t>Tall: the design and construction of high-rise architecture</t>
  </si>
  <si>
    <t>10.4324/9780429435720-5</t>
  </si>
  <si>
    <t>https://www.scopus.com/pages/publications/85118387856?origin=resultslist</t>
  </si>
  <si>
    <t>Victoria University of Wellington, New Zealand</t>
  </si>
  <si>
    <t>Marriage G., Victoria University of Wellington, New Zealand</t>
  </si>
  <si>
    <t>Timber comes from the harvested wooden logs of tree trunks. Traditionally a lot of slow-growing hardwood trees were used for building, due to the longevity of the timber and the densely packed cells in the timber. The timber industry routinely processes many fast-growing evergreen softwood conifers such as Pinus radiata or Picea glauca. Timber columns need to have immense strength and stability primarily in one direction-vertically-and so Laminated Veneer Lumber (LVL) and Glulam are the only options, as their timber grain is all oriented the same way: vertically up the column. Timber beams in tall buildings are going to be either LVL or Glulam, again, because all the timber cells are going in one direction-horizontally. In multi-storey timber buildings, while a Cross Laminated Timber (CLT) floor over LVL beams will provide a perfectly adequate structural solution, in most cases a small concrete topping layer is added to the upper surface of the CLT, around 60mm thick. © 2020 selection and editorial matter, Guy Marriage; individual chapters, the contributors.</t>
  </si>
  <si>
    <t>Taylor and Francis</t>
  </si>
  <si>
    <t>978-042978885-7</t>
  </si>
  <si>
    <t>2-s2.0-85118387856</t>
  </si>
  <si>
    <t>Ganjali H.; Pace A.; Tannert T.</t>
  </si>
  <si>
    <t>57918861600; 59731303600; 22939744900</t>
  </si>
  <si>
    <t>Structural performance of adhesively bonded and hybrid screw-adhesive CLT panel-to-panel floor joints</t>
  </si>
  <si>
    <t>10.1016/j.conbuildmat.2025.141139</t>
  </si>
  <si>
    <t>https://www.scopus.com/pages/publications/105002316702?origin=resultslist</t>
  </si>
  <si>
    <t>School of Engineering, University of Northern British Columbia, Prince George, Canada</t>
  </si>
  <si>
    <t>Ganjali H., School of Engineering, University of Northern British Columbia, Prince George, Canada; Pace A., School of Engineering, University of Northern British Columbia, Prince George, Canada; Tannert T., School of Engineering, University of Northern British Columbia, Prince George, Canada</t>
  </si>
  <si>
    <t>Cross-laminated timber (CLT) panels are increasingly used in floor construction with the individual panels connected with self-tapping screws (STS) through surface spline or butt joints. These joints provide limited rotational stiffness in the out-of-plane direction. An alternative is the proprietary TS3™ technology which uses adhesive bonding to create near-rigid joints, which allow to better utilize the two-way resistance of CLT panels. However, TS3 joints fail in a brittle manner. The objective of the study presented herein was to evaluate the performance of STS and TS3 joints and to explore whether a hybrid solution is a viable alternative. To achieve this objective, screwed, TS3, and hybrid TS3-screw joints in the major and minor strength directions of CLT panels were investigated using out-of-plane three-point and four-point bending and in-plane shear tests. These tests demonstrated that the TS3 joints in the minor strength axis achieved similar effective bending stiffness and strengths like CLT panels, STS joints exhibited ductile behaviour, and although the STS in the hybrid solution could not prevent the brittle failure of the adhesive bond, they provided a secondary resistance mechanism after TS3 failure. © 2025 The Authors</t>
  </si>
  <si>
    <t>Cross-laminated timber; Mass timber floors; Self-tapping screws; TS3 technology</t>
  </si>
  <si>
    <t>Adhesive joints; Bending strength; Bending tests; Brittle fracture; Concretes; Fracture mechanics; Gluing; Honeycomb structures; Laminating; Mortar; Rigid structures; Self drilling screws; Wooden floors; Adhesively bonded; Cross laminated; Cross-laminated timber; Hybrid solution; Laminated timber; Mass timber floor; Self-tapping screws; Structural performance; Timber floors; TS3 technology; Timber</t>
  </si>
  <si>
    <t>H. Ganjali; School of Engineering, University of Northern British Columbia, Prince George, Canada; email: ganjali@unbc.ca</t>
  </si>
  <si>
    <t>2-s2.0-105002316702</t>
  </si>
  <si>
    <t>Ung K.A.; Bohman A.; Andersson L.; Persson P.; Johansson S.; Andersen L.V.</t>
  </si>
  <si>
    <t>60211623300; 60211607600; 57210518137; 7201580582; 60211659200; 57912121200</t>
  </si>
  <si>
    <t>Vibration reduction in cross-laminated timber panels by using individual concrete lamellae</t>
  </si>
  <si>
    <t>10.1201/9781003677895-12</t>
  </si>
  <si>
    <t>https://www.scopus.com/pages/publications/105022955548?origin=resultslist</t>
  </si>
  <si>
    <t>Department of Construction Sciences, Lund University, Lund, Sweden; Sweco AB, Malmö, Sweden; Department of Civil and Architectural Engineering, Aarhus University, Aarhus, Denmark</t>
  </si>
  <si>
    <t>Ung K.A., Department of Construction Sciences, Lund University, Lund, Sweden; Bohman A., Department of Construction Sciences, Lund University, Lund, Sweden; Andersson L., Department of Construction Sciences, Lund University, Lund, Sweden; Persson P., Department of Construction Sciences, Lund University, Lund, Sweden; Johansson S., Sweco AB, Malmö, Sweden; Andersen L.V., Department of Civil and Architectural Engineering, Aarhus University, Aarhus, Denmark</t>
  </si>
  <si>
    <t>The use and significance of timber structures are on the rise, especially thanks to crosslaminated timber (CLT). This engineered wood product is manufactured by stacking multiple layers of wood lamellae, each oriented perpendicularly to the one below it, and then bonding them with adhesives to form a floor or wall panel. Timber, as a building material, presents potential environmental benefits over traditional materials like concrete. However, timber constructions often exhibit greater sensitivity to dynamic loads, which underscores the importance of enhancing the design of these structural elements to mitigate vibrations and reduce low-frequency structure-bone sound. This study explores the vibrational performance of panels where lamellae of conventional spruce are partially replaced by concrete. The panel vibrations were calculated by using the finite element method. The material parameters for spruce were obtained by calibrating the finite element model to measurement data from experimental modal analysis. It was seen that appreciable reduction in the level of vibration can be achieved by replacing individual spruce lamellae with concrete. By replacing only a few percent of the lamellae, more than a halving of the vibration level of the frequency response function could be seen for a free-free panel, considering all resonance frequencies below 500 Hz. © 2025 selection and editorial matter, Alphose Zingoni; individual chapters, the contributors. All rights reserved.</t>
  </si>
  <si>
    <t>Concretes; Finite element method; Frequency response; Modal analysis; Structural dynamics; Timber; Wood products; Wooden buildings; Wooden construction; Buildings materials; Cross laminated; Engineered wood products; Floor panels; Laminated timber; Multiple layers; Stackings; Timber structures; Vibration reductions; Wall panels; Dynamic loads</t>
  </si>
  <si>
    <t>2-s2.0-105022955548</t>
  </si>
  <si>
    <t>Baas E.J.; Riggio M.; Barbosa A.R.</t>
  </si>
  <si>
    <t>57219699885; 24345235700; 55203435000</t>
  </si>
  <si>
    <t>Structural health monitoring data collected during construction of a mass-timber building with a data platform for analysis</t>
  </si>
  <si>
    <t>10.1016/j.dib.2021.106845</t>
  </si>
  <si>
    <t>https://www.scopus.com/pages/publications/85101306051?origin=resultslist</t>
  </si>
  <si>
    <t>Department of Wood Science and Engineering, Oregon State University, Corvallis, OR, United States; School of Civil and Construction Engineering, Oregon State University, Corvallis, OR, United States</t>
  </si>
  <si>
    <t>Baas E.J., Department of Wood Science and Engineering, Oregon State University, Corvallis, OR, United States, School of Civil and Construction Engineering, Oregon State University, Corvallis, OR, United States; Riggio M., Department of Wood Science and Engineering, Oregon State University, Corvallis, OR, United States; Barbosa A.R., School of Civil and Construction Engineering, Oregon State University, Corvallis, OR, United States</t>
  </si>
  <si>
    <t>The George W. Peavy Forest Science Complex, or “Peavy Hall,” is a mass-timber university building that is the subject of a structural health monitoring (SHM) program to create a comprehensive building performance dataset. The building substructure consists of cross-laminated timber (CLT)-concrete composite floors, a mass plywood panel (MPP) roof system, and the world's first application of CLT post-tensioned (PT) self-centering shear walls. This document reports on static and hygrothermal data collected during the final ten months of building construction that were used to validate a proposed methodological approach to SHM for mass-timber buildings under construction, described in A Methodological Approach for Structural Health Monitoring of Mass-Timber Buildings Under Construction [1]. These data, available in the repository at https://osf.io/jdz6y/, include wood moisture content of CLT, MPP, and glulam structural components, horizontal and vertical displacements of axially loaded CLT panels, tension loss of PT steel rods within CLT self-centering walls, and indoor and outdoor environmental conditions such as temperature, relative humidity, rain quantities, wind speeds, as well as wind directions. Additionally, data figures and analysis coding files are included in the repository to further define processes and allow for potential use of the analysis tools for similar projects. © 2021</t>
  </si>
  <si>
    <t>Big data; Construction monitoring; Cross-laminated timber; Mass plywood panel; Mass-timber; Self-centering rocking wall; Structural health monitoring; Timber monitoring</t>
  </si>
  <si>
    <t>M. Riggio; Department of Wood Science and Engineering, Oregon State University, Corvallis, United States; email: mariapaola.riggio@oregonstate.edu</t>
  </si>
  <si>
    <t>Data paper</t>
  </si>
  <si>
    <t>2-s2.0-85101306051</t>
  </si>
  <si>
    <t>Wang L.; Shi F.; Zhao M.; Wang B.J.; Li H.; Zou X.; Du H.</t>
  </si>
  <si>
    <t>35797856200; 57381541900; 57950135100; 7405920747; 57211504409; 55971454900; 57195421909</t>
  </si>
  <si>
    <t>Axial compressive behavior of FRP-confined laminated timber columns</t>
  </si>
  <si>
    <t>Archives of Civil and Mechanical Engineering</t>
  </si>
  <si>
    <t>10.1007/s43452-023-00827-z</t>
  </si>
  <si>
    <t>https://www.scopus.com/pages/publications/85180731634?origin=resultslist</t>
  </si>
  <si>
    <t>College of Civil Engineering, Nanjing Forestry University, Nanjing, 210037, China; College of Material Science and Engineering, Southwest Forestry University, Kunming, 650224, China; Ningbo Sino-Canada Low-Carbon Technology Research Institute, Ninghai, 315600, China</t>
  </si>
  <si>
    <t>Wang L., College of Civil Engineering, Nanjing Forestry University, Nanjing, 210037, China; Shi F., College of Civil Engineering, Nanjing Forestry University, Nanjing, 210037, China; Zhao M., College of Civil Engineering, Nanjing Forestry University, Nanjing, 210037, China; Wang B.J., College of Material Science and Engineering, Southwest Forestry University, Kunming, 650224, China, Ningbo Sino-Canada Low-Carbon Technology Research Institute, Ninghai, 315600, China; Li H., College of Civil Engineering, Nanjing Forestry University, Nanjing, 210037, China; Zou X., College of Civil Engineering, Nanjing Forestry University, Nanjing, 210037, China; Du H., College of Civil Engineering, Nanjing Forestry University, Nanjing, 210037, China</t>
  </si>
  <si>
    <t>Glued-laminated timber (GLT) and cross-laminated timber (CLT) have shown great potential in the field of sustainable structures (i.e., beams, slabs and floors). However, GLT and CLT columns are mostly considered as medium–low grade construction materials with a worse structural integral than timber columns. It is crucial to improve the performance of existing timber members to make the structures more acceptable for engineering applications. This study investigated the axial compressive behavior of GLT and CLT columns confined with fiber-reinforced polymer (FRP) sheets. To compare the mechanical properties of this composite structure, twenty groups of laminated Canadian hemlock column specimens were prepared using different FRP types and layer numbers, and two height dimensions were adopted for those columns to evaluate the scale effect. The failure modes of laminated timber columns were significantly influenced by the confinement of FRP, including timber crushing failures, FRP cracking failures and longitudinal buckling failures. According to the load–displacement curves, the load carrying capacity of FRP-confined laminated timber columns were improved by 6.35–36.19% compared with the unconfined specimens. Moreover, the FRP layers could prolong the plastic post-peak failure process. Inspired by confined concrete structures, three analytical predictive equations were derived for ultimate compressive strength. © 2023, Wroclaw University of Science and Technology.</t>
  </si>
  <si>
    <t>Axial compression; Confinement; Cross-laminated timber (CLT); Fiber-reinforced polymer (FRP); Glued-laminated timber (GLT)</t>
  </si>
  <si>
    <t>Compressive strength; Ductile fracture; Fiber reinforced plastics; Gluing; Laminated composites; Laminating; Confinement; Cross laminated; Cross-laminated timber; Fiber-reinforced polymer; Fiber-reinforced polymers; Fibre reinforced polymers; Glued-laminated timber; Laminated timber; Laminated timber columns; Timber</t>
  </si>
  <si>
    <t>L. Wang; College of Civil Engineering, Nanjing Forestry University, Nanjing, 210037, China; email: jhwlb@njfu.edu.cn</t>
  </si>
  <si>
    <t>Arch. Civ. Mech. Eng.</t>
  </si>
  <si>
    <t>2-s2.0-85180731634</t>
  </si>
  <si>
    <t>Development of Creep Deformations during Service Life: A Comparison of CLT and TCC Floor Constructions</t>
  </si>
  <si>
    <t>10.3390/buildings12020239</t>
  </si>
  <si>
    <t>https://www.scopus.com/pages/publications/85125051256?origin=resultslist</t>
  </si>
  <si>
    <t>Department of Building Technology, Linnæus University, Växjö, 351 95, Sweden</t>
  </si>
  <si>
    <t>Binder E., Department of Building Technology, Linnæus University, Växjö, 351 95, Sweden; Derkowski W., Department of Building Technology, Linnæus University, Växjö, 351 95, Sweden; Bader T.K., Department of Building Technology, Linnæus University, Växjö, 351 95, Sweden</t>
  </si>
  <si>
    <t>Cross-laminated timber (CLT) slabs in residential buildings need additional weight, e.g., in the form of screeds or gravel layers, to fulfill the criterion for the highest impact-sound class. The additional mass is, however, not exploited for the load bearing behavior, but adds additional weight and leads to an increased height of the floor construction. In this study, such a CLT floor construction with a construction height of 380 mm is compared with a composite slab consisting of a CLT plate with a concrete layer on top with a floor construction height of 330 mm. The timber concrete composite (TCC) slab has a different creep behavior than the CLT slab. Thus, the development of the time-dependent deflections over the service life are of interest. A straightforward hybrid approach is developed, which exploits advanced multiscale-based material models for the individual composite layers and a standardized structural analysis method for the structural slab to model its linear creep behavior. The introduced approach allows to investigate load redistribution between the layers of the composite structure and the evolution of the deflection of the slab during the service life. The investigated slab types show a similar deflection after 50 years, while the development of the deflections over time are different. The CLT slab has a smaller overall stiffness at the beginning but a smaller decrease in stiffness over time than the investigated TCC slab. © 2022 by the authors. Licensee MDPI, Basel, Switzerland.</t>
  </si>
  <si>
    <t>Cross-laminated timber; Gamma-method; Linear viscoelasticity; Serviceability limit state; Timber concrete composite</t>
  </si>
  <si>
    <t>E. Binder; Department of Building Technology, Linnæus University, Växjö, 351 95, Sweden; email: eva.binder@lnu.se</t>
  </si>
  <si>
    <t>2-s2.0-85125051256</t>
  </si>
  <si>
    <t>Hiramitsu A.; Tomita R.; Hirakawa S.; Sato M.</t>
  </si>
  <si>
    <t>36499616500; 37113189700; 56637881700; 57221514613</t>
  </si>
  <si>
    <t>Floor impact sound insulation of the six-story wood-frame model building</t>
  </si>
  <si>
    <t>10.18154/RWTH-CONV-239930</t>
  </si>
  <si>
    <t>https://www.scopus.com/pages/publications/85099330324?origin=resultslist</t>
  </si>
  <si>
    <t>National Institute for Land and Infrastructure Management, Japan; Nihon University, Japan; Building Research Institute, Japan; Japan 2x4 Home Builders Association, Japan</t>
  </si>
  <si>
    <t>Hiramitsu A., National Institute for Land and Infrastructure Management, Japan; Tomita R., Nihon University, Japan; Hirakawa S., Building Research Institute, Japan; Sato M., Japan 2x4 Home Builders Association, Japan</t>
  </si>
  <si>
    <t>In Japan, the Act for Promotion of Use of Wood in Public Buildings was enforced in 2010. As a result, the number of constructions using the timber structure became more popular for the buildings. However, the performance of the floor impact sound insulation in the timber construction buildings is often concerned as worse than the concrete constructions. In this paper, an experiments were carried out on a newly built six-story wood-frame building to investigate the performance of the floor impact sound insulation on five different floors; CLT panel floor, stressed skin panel floor, LVL floor, I-joist floor and chord truss floor. The result showed that the stressed skins panel floor has the highest performance of heavy-weight floor impact sound insulation. The paper also reports the sound insulation of separation wall and the vibration performance in the timber construction building, and proposes an improvement plan for the better floor impact and airborne sound insulation performance in the timber construction buildings. © 2019 Proceedings of the International Congress on Acoustics. All rights reserved.</t>
  </si>
  <si>
    <t>Cross Laminated Timber; Floor impact sound insulation; Wood-frame construction</t>
  </si>
  <si>
    <t>Sound insulation; Wooden buildings; Wooden construction; Wooden floors; Construction building; Cross laminated; Cross laminated timber; Floor impact sound insulation; Floor-impact sound; Impact sound insulation; Laminated timber; Performance; Timber construction; Wood frame construction; Timber</t>
  </si>
  <si>
    <t>2-s2.0-85099330324</t>
  </si>
  <si>
    <t>Galati N.; Alkhrdaji T.</t>
  </si>
  <si>
    <t>8979729300; 55924469600</t>
  </si>
  <si>
    <t>Load test evaluation of FRP-strengthened structures</t>
  </si>
  <si>
    <t>Proceedings of the 7th International Conference on FRP Composites in Civil Engineering, CICE 2014</t>
  </si>
  <si>
    <t>https://www.scopus.com/pages/publications/85067746683?origin=resultslist</t>
  </si>
  <si>
    <t>Structural Technologies, Maryland, United States</t>
  </si>
  <si>
    <t>Galati N., Structural Technologies, Maryland, United States; Alkhrdaji T., Structural Technologies, Maryland, United States</t>
  </si>
  <si>
    <t>Fiber Reinforced Polymers (FRP) has recently become a mainstream technology for repair and strengthening of structures. However, for many years, the use of this FRP was relatively limited due the limited experience building officials and owners with of this technology. During these years, full scale load testing was utilized in numerous occasions to demonstrate the effectiveness of this technology and to bridge the gap between laboratory testing and full scale field installation. In-situ load testing using the Cyclic Load Test (CLT) method involves using hydraulic jacks to perform several cycles of loading and unloading that are used to obtain information on the strength and performance of a structure. Structural adequacy is then verified by examining the response of the structure to the applied loads. Two case studies are presented in this paper that focuses on structural assessment of FRP strengthened members through load testing. In the first case study, load tests were used to confirm the performance of structural pan joist slab strengthened with externally bonded FRP in combination with a bonded concrete overlay. Load testing was also used to verify the performance floor joists strengthened for shear using FRP applied only to the sides of the joists. In the second case study, load tests were used to confirm the performance of composite structural floor system consisting of precast and casi-in-place structural elements. For all described cases, the full scale test confirmed the effectiveness of the externally bonded CFRP reinforcement and resulted in cost-effective strengthening solutions.</t>
  </si>
  <si>
    <t>Bridge decks; Cost effectiveness; Fiber reinforced plastics; Floors; Hydraulic tools; Reinforcement; Repair; Testing; Unloading; Bonded concrete overlay; Fiber reinforced polymers; Full-scale load testing; Loading and unloading; Repair and strengthening; Strength and performance; Structural assessments; Structural elements; Load testing</t>
  </si>
  <si>
    <t>El-Hacha R.; University of Calgary, Department of Civil Engineering, 2500 University Dr. NW, Calgary, AB</t>
  </si>
  <si>
    <t>International Institute for FRP in Construction (IIFC)</t>
  </si>
  <si>
    <t>978-177136308-2</t>
  </si>
  <si>
    <t>Proc. Int. Conf. FRP Composit. Civil Eng., CICE</t>
  </si>
  <si>
    <t>2-s2.0-85067746683</t>
  </si>
  <si>
    <t>Rando M.; Mo G.; Overton K.; Ibáñez F.; Sánchez-Solís M.</t>
  </si>
  <si>
    <t>35756261500; 57208599221; 57208597338; 57208600818; 57210633497</t>
  </si>
  <si>
    <t>Finansparken Bjergsted: An innovative timber-framed office building</t>
  </si>
  <si>
    <t>IABSE Symposium, Guimaraes 2019: Towards a Resilient Built Environment Risk and Asset Management - Report</t>
  </si>
  <si>
    <t>https://www.scopus.com/pages/publications/85065229938?origin=resultslist</t>
  </si>
  <si>
    <t>Degree of Freedom, Oslo, Norway; Degree of Freedom, Valencia, Spain</t>
  </si>
  <si>
    <t>Rando M., Degree of Freedom, Oslo, Norway; Mo G., Degree of Freedom, Oslo, Norway; Overton K., Degree of Freedom, Valencia, Spain; Ibáñez F., Degree of Freedom, Valencia, Spain; Sánchez-Solís M., Degree of Freedom, Valencia, Spain</t>
  </si>
  <si>
    <t>Finansparken Bjergsted is an office building currently under construction in Stavanger, Norway, for SR-Bank. The structural system above ground level uses timber as the principal load bearing elements (a natural, renewable and readily available local material). Floors are cross-laminated timber (CLT) panels supported by glued laminated timber (GL) beams and columns. For strength and complex geometrical requirements, laminated veneer lumber (LVL) made of beech is also used. The three basement levels and the four communications and services cores are of reinforced concrete. Mass timber structural elements are engineered for strength and are prefabricated with strict tolerances for a rapid construction process using mainly direct contact timber connections, without metal fasteners. The beams are shaped and fabricated with openings to suit both the architectural aesthetics and services requirements by means of a fully integrated BIM system. © 2019 IABSE. All rights reserved.</t>
  </si>
  <si>
    <t>BIM; CLT panels; Glulam; LVL beech timber; Timber connections</t>
  </si>
  <si>
    <t>Architectural design; Asset management; Construction; Environmental management; Laminating; Office buildings; Reinforced concrete; CLT panels; Glued-laminated timber; Glulam; Laminated veneer lumber; Load-bearing elements; Rapid construction; Structural elements; Timber connections; Timber</t>
  </si>
  <si>
    <t>M. Sánchez-Solís; DEGREE OF FREEDOM, Valencia, Spain; email: m.sanchez@dofengineers.com</t>
  </si>
  <si>
    <t>978-385748163-5</t>
  </si>
  <si>
    <t>IABSE Symp., Guimaraes: Towards Resilient Built Environ. Risk Asset Manag. - Rep.</t>
  </si>
  <si>
    <t>2-s2.0-85065229938</t>
  </si>
  <si>
    <t>Kuklík P.; Velebil L.; Nechanický P.</t>
  </si>
  <si>
    <t>55546529400; 56556865400; 57209444031</t>
  </si>
  <si>
    <t>Mechanically jointed CLT panels for wall, floor and timber-concrete composite structures</t>
  </si>
  <si>
    <t>WCTE 2014 - World Conference on Timber Engineering, Proceedings</t>
  </si>
  <si>
    <t>https://www.scopus.com/pages/publications/85067743606?origin=resultslist</t>
  </si>
  <si>
    <t>Czech Technical University in Prague, University Centre for Energy Efficient Buildings, Třinecká 1024, Buštìhrad, 273 43, Czech Republic</t>
  </si>
  <si>
    <t>Kuklík P., Czech Technical University in Prague, University Centre for Energy Efficient Buildings, Třinecká 1024, Buštìhrad, 273 43, Czech Republic; Velebil L., Czech Technical University in Prague, University Centre for Energy Efficient Buildings, Třinecká 1024, Buštìhrad, 273 43, Czech Republic; Nechanický P., Czech Technical University in Prague, University Centre for Energy Efficient Buildings, Třinecká 1024, Buštìhrad, 273 43, Czech Republic</t>
  </si>
  <si>
    <t>Cross laminated timber (CLT) has become very popular for all types of structures all around the world in last years. CLT consists of uneven number of plank layers oriented in 90° angle to each other and bonded together. Various types of adhesives and technologies are used for bonding and manufacturing of final product. In some cases, gluing is not ideal manufacturing method and there is a demand of other manufacturing processes. Mechanical jointing is logical result of current research at the Czech Technical University. Research is focused on developing and verifying mechanical behaviour of mechanically jointed CLT solid wood panels. Sets of experiments focused on mechanical behaviour of these mechanically jointed CLT panels were performed. This paper summarizes results of wall, floor and timber-concrete composite elements, which have been tested.</t>
  </si>
  <si>
    <t>Cross laminated timber; Mechanical behaviour; Mechanical joints; Structure</t>
  </si>
  <si>
    <t>Composite structures; Concretes; Floors; Laminating; Manufacture; Structure (composition); Cross laminated; Manufacturing methods; Manufacturing process; Mechanical behaviour; Mechanical joints; Technical universities; Timber-concrete composite structures; Timber-concrete composites; Timber</t>
  </si>
  <si>
    <t>Salenikovich A.</t>
  </si>
  <si>
    <t>WCTE - World Conf. Timber Eng., Proc.</t>
  </si>
  <si>
    <t>2-s2.0-85067743606</t>
  </si>
  <si>
    <t>Pal S.K.; Takano A.; Alanne K.; Palonen M.; Siren K.</t>
  </si>
  <si>
    <t>56555753000; 55387746400; 6506699348; 55503962300; 6603705390</t>
  </si>
  <si>
    <t>A multi-objective life cycle approach for optimal building design: A case study in Finnish context</t>
  </si>
  <si>
    <t>10.1016/j.jclepro.2016.12.018</t>
  </si>
  <si>
    <t>https://www.scopus.com/pages/publications/85008721481?origin=resultslist</t>
  </si>
  <si>
    <t>Department of Mechanical Engineering, Aalto University, P.O. Box 14100, Aalto, FI-00076, Finland; Department of Architecture and Architectural Engineering, Kagoshima University, Japan</t>
  </si>
  <si>
    <t>Pal S.K., Department of Mechanical Engineering, Aalto University, P.O. Box 14100, Aalto, FI-00076, Finland; Takano A., Department of Architecture and Architectural Engineering, Kagoshima University, Japan; Alanne K., Department of Mechanical Engineering, Aalto University, P.O. Box 14100, Aalto, FI-00076, Finland; Palonen M., Department of Mechanical Engineering, Aalto University, P.O. Box 14100, Aalto, FI-00076, Finland; Siren K., Department of Mechanical Engineering, Aalto University, P.O. Box 14100, Aalto, FI-00076, Finland</t>
  </si>
  <si>
    <t>This study demonstrates the possibility to use energy-cost optimal building designs based on life cycle approach. There is a lack of studies that cover the comprehensive assessment of both embodied energy (EE) and operational energy (OE) in a single optimization problem. The primary goal of the current study is to compare the optimized results of using OE+EE together and OE only. The optimization is performed on a case study building (townhouse) in Finland with three structural alternatives (i.e., reinforced concrete (RC); cross-laminated timber (CLT) and Steel). Different options for insulation thickness of external wall, roof, floor and window types were considered as decision variables as the scope of the present study is on building envelope. The objectives of the optimization are to minimize life cycle energy (LCE) and life cycle costs (LCC). The LCE difference between the most and least energy efficient solution on the pareto front is greater in case of the OE optimization, compared to OE+EE optimization. For all studied structures, the EE of the optimal solutions from OE+EE optimization ranges 16%–23% of LCE. Many of the non-dominated optimal solutions obtained from the OE+EE optimization shows a higher U-value for the building envelope components compared to the optimal solutions from the OE optimization. A relationship between both OE and EE with the overall thermal resistance of the building envelope is discussed to obtain a deeper understanding of such differences in U-value for the optimal solutions obtained from the OE+EE and OE optimization. © 2016 Elsevier Ltd</t>
  </si>
  <si>
    <t>Building envelope; Embodied energy; Life cycle cost; Life cycle optimization; Operational energy</t>
  </si>
  <si>
    <t>Architectural design; Buildings; Costs; Energy efficiency; Heat resistance; Optimal systems; Optimization; Reinforced concrete; Solar buildings; Building envelopes; Comprehensive assessment; Embodied energy; Life cycle costs (LCC); Lifecycle costs; Operational energy; Optimization problems; Overall thermal resistance; Life cycle</t>
  </si>
  <si>
    <t>S.K. Pal; Department of Mechanical Engineering, Aalto University, Aalto, P.O. Box 14100, FI-00076, Finland; email: sudip.pal@aalto.fi</t>
  </si>
  <si>
    <t>2-s2.0-85008721481</t>
  </si>
  <si>
    <t>Po-Yao W.; Chuan-wen C.; Meng-an H.; Yaw-Shyan T.</t>
  </si>
  <si>
    <t>57200637433; 52563488400; 57200637882; 13606019400</t>
  </si>
  <si>
    <t>Field study on the sound insulation performance of a CLT residential building in a subtropical climate</t>
  </si>
  <si>
    <t>INTER-NOISE 2017 - 46th International Congress and Exposition on Noise Control Engineering: Taming Noise and Moving Quiet</t>
  </si>
  <si>
    <t>2017-January</t>
  </si>
  <si>
    <t>https://www.scopus.com/pages/publications/85042014057?origin=resultslist</t>
  </si>
  <si>
    <t>Department of Architecture, National Cheng Kung University, Tainan, Taiwan</t>
  </si>
  <si>
    <t>Po-Yao W., Department of Architecture, National Cheng Kung University, Tainan, Taiwan; Chuan-wen C., Department of Architecture, National Cheng Kung University, Tainan, Taiwan; Meng-an H., Department of Architecture, National Cheng Kung University, Tainan, Taiwan; Yaw-Shyan T., Department of Architecture, National Cheng Kung University, Tainan, Taiwan</t>
  </si>
  <si>
    <t>Cross-laminated Timber (CLT), promoted in Asian countries recently, has many advantages, including thermal insulation, fireproof, and anti-seismic characteristics. However, the wood’s density is much lighter than Reinforced Concrete (RC), which may result in CLT’s inferior sound insulation performance. Compared to considerable research in western countries that discussed the sound insulation performance of CLT, related research in the acoustic field of CLT in a subtropical climate is lacking. Therefore, this study’s objective is to understand CLT’s sound insulation performance in a subtropical climate by using field measurements and comparing them with different structural materials like RC in the same climate. In this research, the sound insulation of the external wall and partition walls, as well as the impact sound of the floor in a five-story, CLT residential building in Taichung was measured in the field using ISO 140-5, ISO 140-4, and ISO 140-7 standards. Furthermore, we compared the measured results with those of a previous study that had field measured a RC building in order to understand the relative sound insulation performance of CLT in a subtropical climate. The results showed that, compared to the external wall, the insulation performance of CLT at all frequency bands is lower than that of RC, The smaller difference varies between 500-1000 Hz. When compared to the partition wall, the insulation performance of CLT is also inferior to that of RC, the difference in the low to medium frequency band is obvious relative. Comparing the floor, the sound insulation value of CLT is lower than that of RC under 800 Hz, but the value of CLT is clearly higher than that of RC at values over 800 Hz. Therefore, in the low frequency band, the sound insulation of CLT performs poorly, while the results are completely opposite at high frequency band. © 2017 Institute of Noise Control Engineering. All Rights Reserved.</t>
  </si>
  <si>
    <t>Cross-laminated Timber; Field measurement; Floor impact sound; Sound Insulation</t>
  </si>
  <si>
    <t>Acoustic fields; Acoustic noise; Acoustic variables control; Acoustic waves; Buildings; Electric circuit breakers; Fireproofing; Floors; Frequency bands; Housing; Insulation; Laminating; Reinforced concrete; Thermal insulation; Timber; Tropics; Walls (structural partitions); Cross laminated; Field measurement; Floor-impact sound; High frequency bands; Insulation performance; Residential building; Sound insulation performance; Subtropical climates; Sound insulation</t>
  </si>
  <si>
    <t>Institute of Noise Control Engineering</t>
  </si>
  <si>
    <t>INTER-NOISE - Int. Congr. Expo. Noise Control Eng.: Taming Noise Mov. Quiet</t>
  </si>
  <si>
    <t>2-s2.0-85042014057</t>
  </si>
  <si>
    <t>Judd J.; Fonseca F.; LeBaron J.; Closen M.</t>
  </si>
  <si>
    <t>7005812523; 7004435321; 57365275300; 36344550200</t>
  </si>
  <si>
    <t>Shear slip behavior of composite cross laminated timber concrete panels with self-tapping screw anchors</t>
  </si>
  <si>
    <t>https://www.scopus.com/pages/publications/85120751665?origin=resultslist</t>
  </si>
  <si>
    <t>Brigham Young University, United States; MTC Solutions, Canada</t>
  </si>
  <si>
    <t>Judd J., Brigham Young University, United States; Fonseca F., Brigham Young University, United States; LeBaron J., Brigham Young University, United States; Closen M., MTC Solutions, Canada</t>
  </si>
  <si>
    <t>Shear tests were conducted to determine the slip behavior of composite cross laminated timber (CLT) concrete floors with self-tapping screw anchors. The study examined four screw configurations (inclined, crossed, nested, and normal to the CLT panel surface), three wood materials (Douglas fir, Hem fir, and spruce pine fir), and two panel orientations (strong-axis and weak-axis). The tests were conducted on coupon specimens of composite CLT-concrete panels. The specimens were subjected to a half cyclic loading protocol in which an initial load was applied and then released to eliminate the effect of connection seating. The load was then applied until the specimens failed. The results showed that the inclined configuration provided the largest shear strength compared to the normal, crossed, and nested screw configurations; nevertheless, all configurations provided a ductile failure mechanism. On average, an increased specific gravity of the wood material led to increased initial stiffness and strength, while the weak-axis orientation led to decreased strength and stiffness. © WCTE 2021. All rights reserved.</t>
  </si>
  <si>
    <t>Composite construction; Cross laminated timber; Mechanical fasteners</t>
  </si>
  <si>
    <t>Anchors; Bolts; Concrete buildings; Failure (mechanical); Laminated composites; Laminating; Precast concrete; Screws; Stiffness; Timber; Composite construction; Cross laminated; Cross laminated timber; Laminated timber; Mechanical fastener; Screw anchor; Screw configurations; Self-tapping screws; Slip behavior; Wood materials; Concrete slabs</t>
  </si>
  <si>
    <t>2-s2.0-85120751665</t>
  </si>
  <si>
    <t>Hashemi A.; Zarnani P.; Quenneville P.</t>
  </si>
  <si>
    <t>57189629304; 54893967800; 6602903084</t>
  </si>
  <si>
    <t>Earthquake resistant timber panelised structures with resilient connections</t>
  </si>
  <si>
    <t>10.1016/j.istruc.2020.08.071</t>
  </si>
  <si>
    <t>https://www.scopus.com/pages/publications/85090350955?origin=resultslist</t>
  </si>
  <si>
    <t>Department of Civil and Environmental Engineering, Faculty of Engineering, University of Auckland, Private bag 92019, Auckland, 1142, New Zealand; Department of Built Environment Engineering, School of Engineering, Computer and Mathematical Sciences, Auckland University of Technology, Private Bag 92006, Auckland, 1142, New Zealand</t>
  </si>
  <si>
    <t>Hashemi A., Department of Civil and Environmental Engineering, Faculty of Engineering, University of Auckland, Private bag 92019, Auckland, 1142, New Zealand; Zarnani P., Department of Built Environment Engineering, School of Engineering, Computer and Mathematical Sciences, Auckland University of Technology, Private Bag 92006, Auckland, 1142, New Zealand; Quenneville P., Department of Civil and Environmental Engineering, Faculty of Engineering, University of Auckland, Private bag 92019, Auckland, 1142, New Zealand</t>
  </si>
  <si>
    <t>Timber panelised structures with platform style of construction are favoured by engineers and researchers due to their positive characteristics such as straightforward installation process, relatively high strength to mass ratio and architecturally favoured properties. In the platform style of construction, floors are stacked on top of each other so that each level is constructed on load-bearing walls, creating a platform for the next floor. Recent researches on timber platform buildings made with conventional connectors demonstrated that the connections might experience extensive damages under design level earthquakes. This paper presents a low damage concept for mass timber platform systems using resilient connections as replacements of conventional connectors. A numerical model for the presented system is developed for a Cross Laminated Timber (CLT) platform building. The methodology used was to investigate the seismic performance of the proposed concept through a case study structure modelled in SAP2000. Quasi-static pushover and nonlinear dynamic time-history analyses are performed on the structure. The results showed that the system maintained its performance through several cycles of deformation. Moreover, the system is capable of absorbing a notable amount of energy while exhibiting a recentring capacity. The results of this study demonstrated that the presented concept could be considered for further developments for the application in CLT panelised buildings in seismic prone regions. © 2020 Institution of Structural Engineers</t>
  </si>
  <si>
    <t>Damping; Low damage; Panelised; Platform; Timber</t>
  </si>
  <si>
    <t>A. Hashemi; Department of Civil and Environmental Engineering, Faculty of Engineering, University of Auckland, Auckland, Private bag 92019, 1142, New Zealand; email: ahas439@aucklanduni.ac.nz</t>
  </si>
  <si>
    <t>2-s2.0-85090350955</t>
  </si>
  <si>
    <t>Aloisio A.; Boggian F.; Tomasi R.</t>
  </si>
  <si>
    <t>57205733998; 57210106957; 55597772700</t>
  </si>
  <si>
    <t>Design of a novel seismic retrofitting system for RC structures based on asymmetric friction connections and CLT panels</t>
  </si>
  <si>
    <t>10.1016/j.engstruct.2021.113807</t>
  </si>
  <si>
    <t>https://www.scopus.com/pages/publications/85123055684?origin=resultslist</t>
  </si>
  <si>
    <t>Department of Civil, Construction-Architectural and Environmental Engineering, Università degli Studi dell'Aquila, L'Aquila, Italy; Department of Civil, Environmental and Mechanical Engineering, Università degli Studi di Trento, Trento, Italy; Faculty of Science and Technology, Norwegian University of Life Sciences, Å s, Norway</t>
  </si>
  <si>
    <t>Aloisio A., Department of Civil, Construction-Architectural and Environmental Engineering, Università degli Studi dell'Aquila, L'Aquila, Italy, Faculty of Science and Technology, Norwegian University of Life Sciences, Å s, Norway; Boggian F., Department of Civil, Environmental and Mechanical Engineering, Università degli Studi di Trento, Trento, Italy, Faculty of Science and Technology, Norwegian University of Life Sciences, Å s, Norway; Tomasi R., Faculty of Science and Technology, Norwegian University of Life Sciences, Å s, Norway</t>
  </si>
  <si>
    <t>Friction-based dampers are a valid solution for non-invasive seismic retrofitting interventions of existing structures, particularly reinforced-concrete (RC) structures. The design of friction-based dampers is challenging: underestimating the slip force prevents the full use of the potential of the device, which attains the maximum admissible displacement earlier than expected. By contrast, overestimating the slip force may cause delayed triggering of the device when the structure has suffered extensive damage. Therefore, designing the appropriate slip force is an optimization problem. The optimal slip force guarantees the highest inter-story drift reduction. The authors formulated the optimization problem for designing a specific class of friction-based dampers, the asymmetric friction connection (AFC), devised as part of the ongoing multidisciplinary Horizon 2020 research project e-SAFE (Energy and Seismic AFfordable rEnovation solutions). The seismic retrofitting technology involves the external application of modular prefabricated cross-laminated timber (CLT) panels on existing external walls. Friction dampers connect the CLT panels to the beams of two consecutive floors. The friction depends on the mutual sliding of two metal plates, pressed against each other by preloaded bolts. This study determines the optimal slip force, which guarantees the best seismic performance of an RC structural archetype. The authors investigate the nonlinear dynamic response of a coupled mechanical system (RC frame-friction damper) under a set of strong-motion earthquakes, using non-differential hysteresis models calibrated on the experimental cyclic responses. The solution of the optimization leads to the proposal of a preliminary simplified design procedure, useful for practitioners. © 2022 The Author(s)</t>
  </si>
  <si>
    <t>Friction-based device; Reinforced-concrete structures; Seismic protection; Structural design; Timber engineering</t>
  </si>
  <si>
    <t>Hysteresis; Machine design; Optimization; Reinforced concrete; Retrofitting; Seismic design; Seismology; Timber; Cross laminated; Friction damper; Friction-based device; Laminated timber; Optimization problems; Reinforced concrete structures; Seismic protection; Seismic retrofitting; Slip forces; Timber engineering; asymmetry; concrete structure; earthquake engineering; friction; reinforced concrete; reinforcement; seismic design; seismic retrofit; structural analysis; timber; Friction</t>
  </si>
  <si>
    <t>A. Aloisio; Department of Civil, Construction-Architectural and Environmental Engineering, Università degli Studi dell'Aquila, L'Aquila, Italy; email: angelo.aloisio1@univaq.it</t>
  </si>
  <si>
    <t>2-s2.0-85123055684</t>
  </si>
  <si>
    <t>Taylor A.; Gu H.; Nepal P.; Bergman R.</t>
  </si>
  <si>
    <t>57206767436; 57189578406; 51565433300; 24597744100</t>
  </si>
  <si>
    <t>Carbon Credits for Mass Timber Construction</t>
  </si>
  <si>
    <t>BioProducts Business</t>
  </si>
  <si>
    <t>10.22382/bpb-2023-001</t>
  </si>
  <si>
    <t>https://www.scopus.com/pages/publications/85159035135?origin=resultslist</t>
  </si>
  <si>
    <t>University of Tennessee, Knoxville, TN, United States; USDA Forest Service Forest Products Laboratory, Madison, WI, United States</t>
  </si>
  <si>
    <t>Taylor A., University of Tennessee, Knoxville, TN, United States; Gu H., USDA Forest Service Forest Products Laboratory, Madison, WI, United States; Nepal P., USDA Forest Service Forest Products Laboratory, Madison, WI, United States; Bergman R., USDA Forest Service Forest Products Laboratory, Madison, WI, United States</t>
  </si>
  <si>
    <t>Due to concern over climate change, there is an increasing desire to limit new carbon dioxide emissions and to reduce atmospheric carbon dioxide levels. Specific efforts include taxing carbon emissions, capping carbon emissions and selling emissions allowances, and rewarding activities that avoid new carbon emissions or that capture and store carbon from the atmosphere. Cross-laminated timber (CLT) is a relatively new product that enables mass timber construction to replace traditional construction materials in mid-to-high-rise buildings. Wood materials offer substantial “carbon benefits” by storing carbon in the product and by avoiding the large amounts of new carbon emissions associated with the use of fossil carbon-intensive material options (e.g., concrete and steel). In this analysis, we propose that the carbon benefits of mass timber construction could be valued as a carbon offset, much in the same way that the carbon savings of building a wind farm or solar power plant are currently being marketed for avoiding fossil-fuel electricity generation, or how additional forest growth is being sold as carbon storage. Using a range of carbon prices, we calculate the potential carbon offset values of some mass timber construction projects located in the United States. The estimated total carbon benefit, including avoided emissions and carbon storage in wood materials from those mass timber construction projects, averaged 0.38 tCO2 e/m2 of floor space, representing carbon values for projects ranging into the millions of dollars. Future trends in carbon prices will greatly affect the practical implications of any carbon offset program for mass timber construction. © 2023, Society of Wood Science and Technology. All rights reserved.</t>
  </si>
  <si>
    <t>avoided emissions; carbon credit; carbon offset; carbon sequestration; carbon storage; cross-laminated timber; mass timber building</t>
  </si>
  <si>
    <t>A. Taylor; University of Tennessee, Knoxville, United States; email: AdamTaylor@utk.edu</t>
  </si>
  <si>
    <t>Bioprod. Bus.</t>
  </si>
  <si>
    <t>2-s2.0-85159035135</t>
  </si>
  <si>
    <t>A NOVEL INTER-STORY ISOLATION SYSTEM FOR CROSS-LAMINATED TIMBER (CLT) PLATFORM CONSTRUCTION</t>
  </si>
  <si>
    <t>https://www.scopus.com/pages/publications/105027845829?origin=resultslist</t>
  </si>
  <si>
    <t>University of Auckland, Auckland, New Zealand</t>
  </si>
  <si>
    <t>Lal R., University of Auckland, Auckland, New Zealand; Hashemi A., University of Auckland, Auckland, New Zealand; Quenneville P., University of Auckland, Auckland, New Zealand</t>
  </si>
  <si>
    <t>Platform-style construction is a well-known and established construction type for engineers and developers in multi-story mass timber buildings. This is because it offers numerous advantages, such as speed of construction, excellent strength-to-mass ratio, and enhanced aesthetic features. In a platform-style construction, stories are formed by stacking the floors on top of the load-bearing wall, creating a platform for the next level. Recent research findings have shown that cross-laminated (CLT) platform buildings constructed with conventional connections, such as wall-to-floor hold-down brackets and shear connectors with nails and screws, can experience significant damage under design-level earthquakes. Thus, conventional connections in the current platform-style construction are vulnerable to aftershocks and do not satisfy the damage avoidance criteria of seismic design. This paper presents a novel low-damage concept for mass timber platform systems using resilient connections to replace conventional connections. A numerical model with an innovative inter-story isolation system is developed in ETABS, and the seismic performance of the isolated structure was evaluated using static pushover and non-linear dynamic time history analyses. The preliminary results showed that inter-story isolation systems significantly reduced the seismic demands on the mass timber modules, thus leading to an improved seismic response. Moreover, the system displayed good energy dissipation capability while exhibiting self-centering behaviour. © 2024, International Association for Earthquake Engineering. All rights reserved.</t>
  </si>
  <si>
    <t>Cross laminated timber; inter-story isolation; load bearing wall; low damage; numerical model; platform construction</t>
  </si>
  <si>
    <t>Bearings (structural); Connectors (structural); Earthquake effects; Mortar; Seismic design; Seismic response; Structural dynamics; Walls (structural partitions); Wooden buildings; Wooden construction; Conventional connections; Cross laminated; Cross laminated timber; Inter-story isolation; Isolation systems; Laminated timber; Load bearing walls; Low damages; Platform construction; Story isolations; Floors</t>
  </si>
  <si>
    <t>2-s2.0-105027845829</t>
  </si>
  <si>
    <t>Lim J.; Kim S.-Y.; Oh K.</t>
  </si>
  <si>
    <t>60081346500; 56918781800; 55891142500</t>
  </si>
  <si>
    <t>Flexural Performance Evaluation of Cross Laminated Timber (CLT) and Timber-Concrete Composite (TCC) Floors</t>
  </si>
  <si>
    <t>Journal of the Architectural Institute of Korea</t>
  </si>
  <si>
    <t>10.5659/JAIK.2025.41.7.193</t>
  </si>
  <si>
    <t>https://www.scopus.com/pages/publications/105014809721?origin=resultslist</t>
  </si>
  <si>
    <t>Dept. of Architectural Engineering, Changwon National University, South Korea; Dept. of Building Research, Korea Institute of Civil Engineering &amp; Building Construction, South Korea</t>
  </si>
  <si>
    <t>Lim J., Dept. of Architectural Engineering, Changwon National University, South Korea; Kim S.-Y., Dept. of Architectural Engineering, Changwon National University, South Korea; Oh K., Dept. of Building Research, Korea Institute of Civil Engineering &amp; Building Construction, South Korea</t>
  </si>
  <si>
    <t>Cross-Laminated Timber (CLT) is a representative timber product that can be applied to the construction industry, replacing concrete and steel while mitigating environmental impacts. Along with CLT, the Timber-Concrete Composite (TCC) system is a structural system designed to utilize timber structures more efficiently. The purpose of this study is to evaluate the flexural performance of CLT and TCC floor panels to assess their suitability. For this purpose, three specimens were fabricated with the number of laminated layers and the presence of composite action as variables. A four-point bending test was conducted according to domestic standards, and load, displacement, and strain values were obtained at each loading stage. The test results showed that the flexural strength (MOR) and modulus of elasticity (MOE) of the CLT specimens met the acceptance criteria. However, to achieve better performance, sufficient flexural strength of the bottom layers needs to be ensured. On the other hand, the TCC specimens did not exhibit sufficient flexural performance due to inadequate composite action compared to full composite behavior. To secure the flexural performance of TCC floor panels, a detailed design for the placement of shear connectors is considered necessary. © 2025 Architectural Institute of Korea.</t>
  </si>
  <si>
    <t>CLT-Concrete Composite(TCC); Composite Efficiency; Cross Laminated Timber (CLT); Effective Bending Stiffness; Flexural Performance</t>
  </si>
  <si>
    <t>S.-Y. Kim; Dept. of Architectural Engineering, Changwon National University, South Korea; email: sungyong.kim@changwon.ac.kr</t>
  </si>
  <si>
    <t>Architectural Institute of Korea</t>
  </si>
  <si>
    <t>J. Architectural Institute Korea</t>
  </si>
  <si>
    <t>2-s2.0-105014809721</t>
  </si>
  <si>
    <t>Pang S.-J.; Lee B.; Jeong G.Y.</t>
  </si>
  <si>
    <t>42361604600; 57198778728; 55373078400</t>
  </si>
  <si>
    <t>Insulation saving effect for Korean apartment house using cross-laminated timber (CLT)</t>
  </si>
  <si>
    <t>Journal of the Korean Wood Science and Technology</t>
  </si>
  <si>
    <t>10.5658/WOOD.2017.45.6.846</t>
  </si>
  <si>
    <t>https://www.scopus.com/pages/publications/85037035502?origin=resultslist</t>
  </si>
  <si>
    <t>Department of Wood Science and Engineering, Chonnam National University, 77 Yongbong-ro, Buk-Gu, Gwangju, 61186, South Korea; School of Architecture, Chonnam National University, 77 Yongbong-ro, Buk-Gu, Gwangju, 61186, South Korea</t>
  </si>
  <si>
    <t>Pang S.-J., Department of Wood Science and Engineering, Chonnam National University, 77 Yongbong-ro, Buk-Gu, Gwangju, 61186, South Korea; Lee B., School of Architecture, Chonnam National University, 77 Yongbong-ro, Buk-Gu, Gwangju, 61186, South Korea; Jeong G.Y., Department of Wood Science and Engineering, Chonnam National University, 77 Yongbong-ro, Buk-Gu, Gwangju, 61186, South Korea</t>
  </si>
  <si>
    <t>The aim of this study was to develop the details of cross-laminated timber (CLT) envelops for satisfying the design standard for energy saving (DSEA) and passive standard in South Korea. When the same thickness of 180 mm concrete or CLT was used and the same materials for other layers were used for the roof, wall, and interlayer floor, the required insulation thickness for the different building envelopes in central, southern, and Jeju island was evaluated. As a result, compared to the concrete envelop, about 43 mm of insulation thickness was reduced for wall and roof with the CLT envelope. When the CLT envelopes were modified to protect the CLT from moisture based on FPInnovations (2011), the insulation thickness was further reduced by 12 mm. When the modified CLT building envelops satisfied with a passive standard are used for 10-story building, the required insulation was decreased by 40.89 m3 for a floor (105.27 m2 × 2.3 m in height) compared to concrete building. As the number of floors increases, about 3.58 m3 of insulation per floor was additionally saved.</t>
  </si>
  <si>
    <t>Building envelope; Cross-laminated timber; Insulation; Korean-style apartment house</t>
  </si>
  <si>
    <t>Energy Conservation; Houses; Insulation; Laminated Wood; Apartment houses; Buildings; Concretes; Energy conservation; Floors; Laminating; Roofs; Solar buildings; Timber; Walls (structural partitions); Building envelopes; Cross laminated; Design standard; Insulation thickness; Jeju island; South Korea; Insulation</t>
  </si>
  <si>
    <t>G.Y. Jeong; Department of Wood Science and Engineering, Chonnam National University, Buk-Gu, Gwangju, 77 Yongbong-ro, 61186, South Korea; email: gjeong1@jnu.ac.kr</t>
  </si>
  <si>
    <t>Korean Society of Wood Science Technology</t>
  </si>
  <si>
    <t>J. Korean Wood Sci. Technol.</t>
  </si>
  <si>
    <t>2-s2.0-85037035502</t>
  </si>
  <si>
    <t>Iqbal A.; Todorov B.; Billah A.H.M.M.</t>
  </si>
  <si>
    <t>57193126870; 57210465995; 58821837400</t>
  </si>
  <si>
    <t>COMBINATION OF STEEL PLATE SHEAR WALLS AND TIMBER MOMENT FRAMES FOR IMPROVED SEISMIC PERFORMANCE</t>
  </si>
  <si>
    <t>2c-0223</t>
  </si>
  <si>
    <t>https://www.scopus.com/pages/publications/105027924010?origin=resultslist</t>
  </si>
  <si>
    <t>University of Northern British Columbia, Canada; Lakehead University, Canada</t>
  </si>
  <si>
    <t>Iqbal A., University of Northern British Columbia, Canada; Todorov B., Lakehead University, Canada; Billah A.H.M.M., Lakehead University, Canada</t>
  </si>
  <si>
    <t>Recent interests in adopting sustainable materials and developments in construction technology have created a trend of aiming for greater heights with timber buildings. With the increased height these buildings are subjected to higher level of lateral load demand. A common and efficient way to increase capacity is to use shearwalls, which can resist significant part of the load on the structures. Prefabricated mass timber panels such as those made of Cross-Laminated Timber (CLT) can be used to form the shearwalls. But due to relatively low stiffness value of timber it is often difficult to keep the maximum drifts within acceptable limit prescribed by building codes. It becomes necessary to either increase wall sizes to beyond available panel dimensions or use multiple or groups of walls spread over different locations over the floor plan. Both of the options are problematic from the economic and functional point of view. One possible alternative is to adopt a Hybrid system, using Steel Plate Shear Walls (SPSW) with timber moment frames. The SPSW has much higher stiffness and combined with timber frames it can reduce overall building drifts significantly. Frames with prefabricated timber members have considerable lateral load capacity. For structures located in seismic regions the system possesses excellent energy dissipation ability with combination of ductile SPSW and yielding elements within the frames. This paper investigates combination of SPSW with timber frames for seismic applications. Numerical model of the system has been developed to examine the interaction between the frames and shear walls under extreme lateral load conditions. Arrangements of different geometries of frames and shear walls are evaluated to determine their compatibility and efficiency in sharing lateral loads. Recommendations are presented for optimum solutions as well as practical limits of applications. © 2024, International Association for Earthquake Engineering. All rights reserved.</t>
  </si>
  <si>
    <t>Interstorey drift; Seismic Performance; Steel plate shear wall; Timber moment frame</t>
  </si>
  <si>
    <t>Tall buildings; Walls (structural partitions); Construction technologies; Interstorey drift; Lateral loads; Moment frames; Seismic Performance; Steel plate shear wall; Steel plates; Sustainable materials; Timber frames; Timber moment frame; Earthquake effects</t>
  </si>
  <si>
    <t>2-s2.0-105027924010</t>
  </si>
  <si>
    <t>Jeong G.Y.; Pham V.S.; Tran D.</t>
  </si>
  <si>
    <t>55373078400; 57951272700; 57212556980</t>
  </si>
  <si>
    <t>Prediction of shear properties in cross laminated timber–concrete composites with notch connections</t>
  </si>
  <si>
    <t>10.1016/j.istruc.2025.108949</t>
  </si>
  <si>
    <t>https://www.scopus.com/pages/publications/105002926207?origin=resultslist</t>
  </si>
  <si>
    <t>Department of Wood Science and Engineering, Chonnam National University, 77 Yongbongro Bukgu, Gwangju, 500-757, South Korea; Faculty of Civil Engineering Vietnam Aviation Academy 104 Nguyen Van Troi, Ward 8,Phu Nhuan District, Ho Chi Minh City, Viet Nam</t>
  </si>
  <si>
    <t>Jeong G.Y., Department of Wood Science and Engineering, Chonnam National University, 77 Yongbongro Bukgu, Gwangju, 500-757, South Korea; Pham V.S., Department of Wood Science and Engineering, Chonnam National University, 77 Yongbongro Bukgu, Gwangju, 500-757, South Korea; Tran D., Faculty of Civil Engineering Vietnam Aviation Academy 104 Nguyen Van Troi, Ward 8,Phu Nhuan District, Ho Chi Minh City, Viet Nam</t>
  </si>
  <si>
    <t>This study develops an equation to predict the shear capacity of cross-laminated timber (CLT)–concrete composites (CCC) with notch connections. The equation accounts for key variables, including wood species, notch depth, and load-to-grain direction. To assess the impact of these factors, push-out tests were conducted to evaluate the slip modulus and shear capacity of CCC. The results showed that the larch CLT notch connector exhibited a 14.70 % higher slip modulus and a 21.78 % higher shear capacity than the pine CLT. While the slip modulus remained relatively unchanged with increasing notch depth, the shear capacity increased by 9.39 %, 37.97 %, and 67.20 % for notch depths of 30, 40, and 50 mm, respectively, compared to the 20-mm notch depth. Additionally, CLTs with notch depths of 20 and 40 mm demonstrated higher slip moduli and shear capacities when loaded in the 0° load-to-grain direction compared to the 90°direction. A new prediction equation for shear properties in CCC with notch connections is proposed, incorporating the effects of wood density, notch depth, and CLT panel thickness. The difference between experimental and predicted values for slip modulus and shear capacity ranged from 0.04 % to 12.00 % and 2.25–20.00 %, respectively. © 2025 Institution of Structural Engineers</t>
  </si>
  <si>
    <t>CLT floor; Load-to-grain direction; Notch connection; Shear capacity; Slip modulus; Wood species</t>
  </si>
  <si>
    <t>Concrete mixtures; Concrete products; Shear flow; Shear strength; Timber; Wooden floors; Cross laminated; Cross-laminated timber floor; Laminated timber; Load-to-grain direction; Notch connection; Notch depth; Shear capacity; Slip modulus; Timber floors; Wood species; Laminated composites</t>
  </si>
  <si>
    <t>G.Y. Jeong; Department of Wood Science and Engineering, Chonnam National University, Gwangju, 77 Yongbongro Bukgu, 500-757, South Korea; email: gjeong1@jnu.ac.kr</t>
  </si>
  <si>
    <t>2-s2.0-105002926207</t>
  </si>
  <si>
    <t>Juan José Ugarte Á.; Armanet G.; Juan José Ugarte G.; Sierra A.; Romero J.; Cárcamo S.; González M.J.; Marcone F.</t>
  </si>
  <si>
    <t>59984275600; 58608655100; 59984275700; 55909766100; 59984275800; 57204963011; 59984055900; 59984723800</t>
  </si>
  <si>
    <t>TYPOLOGICAL OPTIMIZATION FOR REAL ESTATE DEVELOPMENTS: 8-9 STORY MASS-TIMBER BUILDINGS FOR SEISMIC ZONES</t>
  </si>
  <si>
    <t>10.52202/080513-0122</t>
  </si>
  <si>
    <t>https://www.scopus.com/pages/publications/105010245362?origin=resultslist</t>
  </si>
  <si>
    <t>Pontificia Universidad Católica de Chile, Santiago, Chile; Centro Nacional de Excelencia para la Industria de la Madera (CENAMAD), ANID BASAL FB210015, Pontificia Universidad Católica de Chile, Santiago, Chile; Tallwood, Santiago, Chile; Arauco, Santiago, Chile</t>
  </si>
  <si>
    <t>Juan José Ugarte Á., Pontificia Universidad Católica de Chile, Santiago, Chile; Armanet G., Centro Nacional de Excelencia para la Industria de la Madera (CENAMAD), ANID BASAL FB210015, Pontificia Universidad Católica de Chile, Santiago, Chile; Juan José Ugarte G., Centro Nacional de Excelencia para la Industria de la Madera (CENAMAD), ANID BASAL FB210015, Pontificia Universidad Católica de Chile, Santiago, Chile; Sierra A., Centro Nacional de Excelencia para la Industria de la Madera (CENAMAD), ANID BASAL FB210015, Pontificia Universidad Católica de Chile, Santiago, Chile; Romero J., Tallwood, Santiago, Chile; Cárcamo S., Centro Nacional de Excelencia para la Industria de la Madera (CENAMAD), ANID BASAL FB210015, Pontificia Universidad Católica de Chile, Santiago, Chile; González M.J., Pontificia Universidad Católica de Chile, Santiago, Chile; Marcone F., Arauco, Santiago, Chile</t>
  </si>
  <si>
    <t>In recent decades, different types of mass timber construction have been developed. These can be grouped according to materials -all timber, timber-concrete, timber-steel, timber-concrete-steel- and types -panels, posts-beams, and 3D modules-. Afteraprocess based on research and specific projects developed by the authors of this work, through the design with the post-and-beam typology, CLT slabs, and reinforced concrete cores andamethodology that included interviews with different real estate developers, this work resulted inabuilding of between 8 and 9 floors that is efficient from the point of view of the industry, that responds to seismic, cost and architectural program requirements. © (2025) WORLD CONFERENCE ON TIMBER ENGINEERING 2025 (WCTE 2025) All rights reserved.</t>
  </si>
  <si>
    <t>Real Estate Developments; Structural Typologies; Timber Buildings</t>
  </si>
  <si>
    <t>Concrete slabs; Engineering research; Seismic design; Seismology; Timber; Wooden construction; Architectural projects; Optimisations; Real estate development; Real-estates; Reinforced concrete core; Seismic zones; Structural typologies; Timber buildings; Timber construction; Timber-concrete; Wooden buildings</t>
  </si>
  <si>
    <t>2-s2.0-105010245362</t>
  </si>
  <si>
    <t>Śliwa-Wieczorek K.; Derkowski W.; Binder E.; Kwiecień A.; Zając B.; Halilovic E.; Lotinac S.</t>
  </si>
  <si>
    <t>57218876733; 55027160700; 57195612255; 36721540600; 37051641600; 58454351600; 58452240200</t>
  </si>
  <si>
    <t>Shear Stiffness and Capacity of PolyUrethane Flexible Joint in Timber-Concrete Composites</t>
  </si>
  <si>
    <t>349 LNCE</t>
  </si>
  <si>
    <t>10.1007/978-3-031-32519-9_46</t>
  </si>
  <si>
    <t>https://www.scopus.com/pages/publications/85163944306?origin=resultslist</t>
  </si>
  <si>
    <t>Cracow University of Technology, Cracow, Poland; Linnæus University, Växjö, Sweden</t>
  </si>
  <si>
    <t>Śliwa-Wieczorek K., Cracow University of Technology, Cracow, Poland; Derkowski W., Cracow University of Technology, Cracow, Poland, Linnæus University, Växjö, Sweden; Binder E., Linnæus University, Växjö, Sweden; Kwiecień A., Cracow University of Technology, Cracow, Poland; Zając B., Cracow University of Technology, Cracow, Poland; Halilovic E., Linnæus University, Växjö, Sweden; Lotinac S., Linnæus University, Växjö, Sweden</t>
  </si>
  <si>
    <t>Structural floor systems made of Timber-Concrete Composites (TCC) slabs are becoming more and more popular in office and residential buildings as well as in systems used for the renovation of old ceilings. Timber elements can be constructed as beams or solid slabs (massive CLT). Regardless of the main structural layout, individual components require using interlayer connections, which provide composite action in cross-sections. The most used connection types for TCC are mechanical fasteners, grooved or notched connections, and bonded shear joints. Bonded connections with rigid thin-layer adhesives provide high load capacity, but they are characterized by brittle failure due to their low ductility and introduced stress concentrations. An innovative flexible adhesive joint that ensures the transfer of high loads and high deformations simultaneously is presented in the paper. This connecting structural element, named PolyUrethane Flexible Joint (PUFJ) was examined experimentally in double shear lap tests of connections formed between two external CLT slabs of dimension 120 × 350 × 400 mm3 and a central concrete slab of dimension 100 × 250 × 400 mm3. Shear connections between the composite elements were made of a two-component polyurethane PS type adhesive layer of thickness 3 mm. The tested specimens were prepared in two variants of the application: wet application in the form of liquid adhesive and dry application in the form of prefabricated polyurethane layer glued to the elements by thin polyurethane adhesive. The effect of the adhesive application method on the stiffness and capacity of the TCC joint was investigated. In the paper, the analysis of the experimental tests’ results is presented. © 2023, The Author(s), under exclusive license to Springer Nature Switzerland AG.</t>
  </si>
  <si>
    <t>Double Shear Lap Test; Flexible Adhesive Joint; Interface Shear; Polyurethane; Timber – Concrete – Composites</t>
  </si>
  <si>
    <t>Adhesives; Brittle fracture; Concrete slabs; Polyurethanes; Stiffness; Timber; Double shear lap test; Double-shear; Flexible adhesive joint; Flexible joints; Floor systems; Interface shear; Shear capacity; Shear stiffness; Timber-concrete composite slabs; Timber-concrete composites; Adhesive joints</t>
  </si>
  <si>
    <t>K. Śliwa-Wieczorek; Cracow University of Technology, Cracow, Poland; email: klaudia.sliwa-wieczorek@pk.edu.pl</t>
  </si>
  <si>
    <t>Ilki A.; Çavunt D.; Çavunt Y.S.</t>
  </si>
  <si>
    <t>978-303132518-2</t>
  </si>
  <si>
    <t>2-s2.0-85163944306</t>
  </si>
  <si>
    <t>Hiramitsu A.; Hirakawa S.; Tsuchimoto T.; Yamauchi T.</t>
  </si>
  <si>
    <t>36499616500; 56637881700; 36465778300; 57205288158</t>
  </si>
  <si>
    <t>Effect of different types of ceilings on floor impact sound insulation performance in CLT model building</t>
  </si>
  <si>
    <t>10.3397/IN-2021-2693</t>
  </si>
  <si>
    <t>https://www.scopus.com/pages/publications/85117405216?origin=resultslist</t>
  </si>
  <si>
    <t>National Institute for Land and Infrastructure Management, 1, Tachihara, Ibaraki, Tsukuba-City, 305-0802, Japan; University of Tsukuba, 1-1-1, Tennodai, Ibaraki, Tsukuba-City, 305-8574, Japan; Building Research Institute, 1, Tachihara, Ibaraki, Tsukuba-City, 305-0802, Japan; Toda Corporation, 315, Kaname, Ibaraki, Tsukuba-City, 300-2622, Japan</t>
  </si>
  <si>
    <t>Hiramitsu A., National Institute for Land and Infrastructure Management, 1, Tachihara, Ibaraki, Tsukuba-City, 305-0802, Japan; Hirakawa S., University of Tsukuba, 1-1-1, Tennodai, Ibaraki, Tsukuba-City, 305-8574, Japan; Tsuchimoto T., Building Research Institute, 1, Tachihara, Ibaraki, Tsukuba-City, 305-0802, Japan; Yamauchi T., Toda Corporation, 315, Kaname, Ibaraki, Tsukuba-City, 300-2622, Japan</t>
  </si>
  <si>
    <t>The floor impact noise generated in a building often causes problems among residents. The floor impact sound insulation performance of timber construction buildings is lower than that of concrete construction buildings. However, due to the large supply of wood and the stress-relieving effects of wood, the use of wood is being promoted around the world. In Japan, the Act for Promotion of Use of Wood in Public Buildings was enforced to promote the use of CLT (Cross Laminated Timber) for the effective use of wood. We have been experimentally investigating the effect of floor finish structure in CLT model building. In this paper, we report the measurement results of the change in floor impact sound insulation performance when the suspended ceiling structure was changed. As results, it was confirmed that the effect of the sound-absorbing material in the ceiling cavity and the effect of the double-layer ceiling board were effective. In addition, it was clarified that the dry-type double floor structure with rubber vibration isolator on its legs is an effective floor finish structure for improvement of heavy-weight and light-weight floor impact sound insulation performances. © INTER-NOISE 2021 .All right reserved.</t>
  </si>
  <si>
    <t>Acoustic noise; Acoustic wave absorption; Ceilings; Floors; Rubber; Sound insulation; Timber; Construction building; Cross laminated; Floor finish; Floor-impact sound; Impact noise; Impact sound insulation; Laminated timber; Public buildings; Sound insulation performance; Timber construction; Sound insulating materials</t>
  </si>
  <si>
    <t>2-s2.0-85117405216</t>
  </si>
  <si>
    <t>Marjanovic M.S.; Jugovic V.Lj.; Nefovska-Danilovic M.T.</t>
  </si>
  <si>
    <t>55944688600; 57221662113; 57206904329</t>
  </si>
  <si>
    <t>Development of frequency curves for cross-laminated timber (CLT) floors using dynamic stiffness method</t>
  </si>
  <si>
    <t>Proceedings of the International Conference on Structural Dynamic , EURODYN</t>
  </si>
  <si>
    <t>https://www.scopus.com/pages/publications/85099725608?origin=resultslist</t>
  </si>
  <si>
    <t>Faculty of Civil Engineering, University of Belgrade, Bulevar kralja Aleksandra 73, Belgrade, 11000, Serbia</t>
  </si>
  <si>
    <t>Marjanovic M.S., Faculty of Civil Engineering, University of Belgrade, Bulevar kralja Aleksandra 73, Belgrade, 11000, Serbia; Jugovic V.Lj., Faculty of Civil Engineering, University of Belgrade, Bulevar kralja Aleksandra 73, Belgrade, 11000, Serbia; Nefovska-Danilovic M.T., Faculty of Civil Engineering, University of Belgrade, Bulevar kralja Aleksandra 73, Belgrade, 11000, Serbia</t>
  </si>
  <si>
    <t>Cross-laminated timber (CLT) panels have an increasing market share and extensive application in civil engineering practice, as full size walls or floor structures. CLT provides a compelling alternative to the concrete and steel (as conventional building materials), providing a low carbon footprint and comfortable living conditions. However, the orthotropic elastic material behavior of wood and the crosswise lay-up yield a relatively complex kinematics of CLT, characterized by high shear deformation across the thickness. This complicates the appropriate and accurate kinematic description of CLT and further prolongs the design phase of the real engineering structure. Due to the relatively low weight, CLT floors are particularly prone to human-induced vibrations, causing vibration serviceability issues such as annoyance to human occupants and dysfunction of vibration sensitive equipment. Therefore, for the accurate response prediction of CLT under dynamic loading, its fundamental dynamic properties should be derived first. In the paper, dynamic stiffness-based FREEVIB software, previously developed by the authors, has been used for modeling and prediction of the free vibration characteristics of CLT floor structures. Frequency curves taking into account: (i) span-to-thickness (a/h) ratio, (ii) plate aspect (a/b) ratio and (iii) different combinations of end constraints, have been developed using FREEVIB and systematized to be easy for use in engineering practice, especially in the conceptual design phase of CLT-based buildings. The results have been compared against the current CLT design recommendations. © 2020 European Association for Structural Dynamics. All rights reserved.</t>
  </si>
  <si>
    <t>Cross-laminated timber; Dynamic stiffness method; Floor; Natural frequency</t>
  </si>
  <si>
    <t>Aspect ratio; Carbon footprint; Competition; Conceptual design; Dynamic loads; Kinematics; Laminating; Low carbon steel; Stiffness; Structural dynamics; Timber; Conceptual design phase; Design recommendations; Dynamic stiffness method; Engineering practices; Free vibration characteristic; Modeling and predictions; Vibration serviceability; Vibration-sensitive equipment; Floors</t>
  </si>
  <si>
    <t>Papadrakakis M.; Fragiadakis M.; Papadimitriou C.</t>
  </si>
  <si>
    <t>European Association for Structural Dynamics</t>
  </si>
  <si>
    <t>978-618850720-3</t>
  </si>
  <si>
    <t>Proc. Int. Conf. Struct. Dyn., EURODYN</t>
  </si>
  <si>
    <t>2-s2.0-85099725608</t>
  </si>
  <si>
    <t>Morales-Beltran M.; Şişman Ö.A.; Engür P.; Şeker O.; Aykar G.N.</t>
  </si>
  <si>
    <t>55652982900; 57215297450; 57817615900; 55660402300; 58248543600</t>
  </si>
  <si>
    <t>Shifting from demolition to disassembly: A hybrid timber-steel multistory residential building for circular design</t>
  </si>
  <si>
    <t>AIP Conference Proceedings</t>
  </si>
  <si>
    <t>10.1063/5.0170365</t>
  </si>
  <si>
    <t>https://www.scopus.com/pages/publications/85177859894?origin=resultslist</t>
  </si>
  <si>
    <t>Yasar University, Faculty of Architecture, Universite Caddesi No.37-39, Bornova, Izmir, 35100, Turkey; Gebze Technical University, Department of Civil Engineering, Kocaeli, Turkey</t>
  </si>
  <si>
    <t>Morales-Beltran M., Yasar University, Faculty of Architecture, Universite Caddesi No.37-39, Bornova, Izmir, 35100, Turkey; Şişman Ö.A., Gebze Technical University, Department of Civil Engineering, Kocaeli, Turkey; Engür P., Yasar University, Faculty of Architecture, Universite Caddesi No.37-39, Bornova, Izmir, 35100, Turkey; Şeker O., Gebze Technical University, Department of Civil Engineering, Kocaeli, Turkey; Aykar G.N., Yasar University, Faculty of Architecture, Universite Caddesi No.37-39, Bornova, Izmir, 35100, Turkey</t>
  </si>
  <si>
    <t>The construction sector plays a significant role in the high energy consumption, waste generation and carbon emissions. To reduce these emissions, we must begin by changing the way we design, plan, and build our environment. This research study revolves around the idea of applying circular design principles to the built environment, whereby buildings are conceived as recyclable and reusable banks of materials. We focused on applications within the Turkish context, because building sector is responsible for more than 35% of the country's total final energy consumption. The selected building is an 9-story RC building located in Izmir, redesigned with CLT floors and GLT columns and beams offering the possibility of a design strongly resembling the original architecture. The lateral-force resisting system is based on specially concentrically braced frames, and the architectural implications of choosing this system are discussed. Fire design was considered to provide practical guidelines for the design of timber buildings in Turkey. Evaluation parameters include easiness of construction, price, potential for disassembly, mass, and carbon footprint. Each apartment was designed different size for different users' demand and adaptable for different future scenarios, in line with the idea of flexible spaces. From the lessons learned from the design process, the relevance of considering the carbon footprint in combination with the design decisions seems to be the key to introduce circular projects in places like Turkey. This is because not all decisions are based on achieving the lower embodied carbon factor, but on those that increase the potential for disassembly, throughout the life-span of the building. © 2023 AIP Publishing LLC.</t>
  </si>
  <si>
    <t>M. Morales-Beltran; Yasar University, Faculty of Architecture, Izmir, Universite Caddesi No.37-39, Bornova, 35100, Turkey; email: mauricio.morales-beltran@yasar.edu.tr</t>
  </si>
  <si>
    <t>Marschalko M.; Yilmaz I.; Drusa M.</t>
  </si>
  <si>
    <t>American Institute of Physics Inc.</t>
  </si>
  <si>
    <t>0094243X</t>
  </si>
  <si>
    <t>AIP Conf. Proc.</t>
  </si>
  <si>
    <t>2-s2.0-85177859894</t>
  </si>
  <si>
    <t>Zhang C.; Pan Y.</t>
  </si>
  <si>
    <t>59984123900; 56937401900</t>
  </si>
  <si>
    <t>NUMERICAL MODELLING OF ROCKING CLT SHEARWALL CONSIDERING THE WALL-TO-FLOOR INTERACTIONS</t>
  </si>
  <si>
    <t>10.52202/080513-0401</t>
  </si>
  <si>
    <t>https://www.scopus.com/pages/publications/105010246186?origin=resultslist</t>
  </si>
  <si>
    <t>Sustainable Timber and Structural Safety Lab, Department of Civil and Environmental Engineering, The Hong Kong University of Science and Technology, Hong Kong; Sustainable Timber and Structural Safety Lab, Department of Civil and Environmental Engineering, The Hong Kong University of Science and Technology, Hong Kong</t>
  </si>
  <si>
    <t>Zhang C., Sustainable Timber and Structural Safety Lab, Department of Civil and Environmental Engineering, The Hong Kong University of Science and Technology, Hong Kong; Pan Y., Sustainable Timber and Structural Safety Lab, Department of Civil and Environmental Engineering, The Hong Kong University of Science and Technology, Hong Kong</t>
  </si>
  <si>
    <t>The rocking behavior of cross-laminated timber (CLT) shearwalls is the primary kinematic motion that enhances energy dissipation in platform-type CLT building systems. During rocking, the vertical wall system inevitably interacts with horizontal floor system. At large lateral displacement, localized damage due to crushed fibers can occur to the rocking toe of wall and the face of floor This interaction affects the forces transferred to the connectors and subsequently influences the kinematic motion of the shearwall. However, many studies on the CLT shearwalls overlook the wall-to-floor interactions, either by treating shearwall as independent component of the seismic force resisting system or by employing a rigid diaphragm assumption. To achieve a realistic simulation of the rocking CLT shearwall, this paper first develops a beam-spring model that incorporates the nonlinear characteristics of connectors. The single- and coupled-panel wall models are validated against experimental results. To examine effects of different numerical representations of the wall-to-floor interactions, the beam-spring shearwall is integrated into a 3D model of a two-story conceptually designed coupled CLT shearwall system. Modal analysis has confirmed a reduced fundamental period of the shearwall system when adopting the rigid diaphragm. Furthermore, nonlinear dynamic analysis reveals significant differences in global lateral displacement and resistance, which can be attributed to the varying deformation demands, energy dissipation, and failure hierarchy of connectors. © (2025) WORLD CONFERENCE ON TIMBER ENGINEERING 2025 (WCTE 2025) All rights reserved.</t>
  </si>
  <si>
    <t>nonlinear analyses; OpenSees modelling; rocking CLT shearwall; Wall-to-floor interactions</t>
  </si>
  <si>
    <t>Diaphragms; Dynamics; Energy dissipation; Floors; Geophysics; Kinematics; Modal analysis; Shear flow; Shear walls; Structural dynamics; Timber; Cross laminated; Energy; Laminated timber; Lateral displacements; Opensee modeling; Opensees; Rocking cross-laminated timber shearwall; Shear-wall systems; Timber buildings; Wall-to-floor interaction; Nonlinear analysis</t>
  </si>
  <si>
    <t>2-s2.0-105010246186</t>
  </si>
  <si>
    <t>Seismic strengthening of existing RC buildings with external cross-laminated timber (CLT) walls hosting an integrated energetic and architectural renovation</t>
  </si>
  <si>
    <t>10.1007/s10518-022-01407-x</t>
  </si>
  <si>
    <t>https://www.scopus.com/pages/publications/85131528670?origin=resultslist</t>
  </si>
  <si>
    <t>Chair of Timber Structures and Building Construction, Technical University of Munich, Arcistraße 21, Munich, 80333, Germany; Department of Architecture, University of Bologna, Bologna, Italy</t>
  </si>
  <si>
    <t>Badini L., Chair of Timber Structures and Building Construction, Technical University of Munich, Arcistraße 21, Munich, 80333, Germany, Department of Architecture, University of Bologna, Bologna, Italy; Ott S., Chair of Timber Structures and Building Construction, Technical University of Munich, Arcistraße 21, Munich, 80333, Germany; Aondio P., Chair of Timber Structures and Building Construction, Technical University of Munich, Arcistraße 21, Munich, 80333, Germany; Winter S., Chair of Timber Structures and Building Construction, Technical University of Munich, Arcistraße 21, Munich, 80333, Germany</t>
  </si>
  <si>
    <t>In this study a timber-based integrated solution is presented to solve at once common issues affecting typical reinforced concrete (RC) existing buildings, such as seismic and energy performances, providing an eco-friendly alternative to steel external bracing systems. Cross-laminated timber (CLT) walls are provided perpendicularly to the external façades as strengthening elements while interposed CLT slabs are foreseen at each floor level to host new architectural units together with a new envelope. While the connections to the foundations and to the existing RC frames are provided respectively with steel brackets and axial-connectors distributed along the height of the building, a post-tensioned connection, between CLT panels (PT-CLT connection), is implemented in the system to guarantee resistance to horizontal actions acting parallel to existing façades with consequent structural independence and architectural freedom. On this regards a first look at the findings of an experimental campaign carried on the Technical University of Munich are presented. A numerical model is developed with finite element software characterizing each type of connector for linear and non-linear analyses. Modal analyses with response spectrum are performed to verify structural elements and connectors, while pushover analyses with target displacement checks are performed to assess the obtained seismic improvement. Finally, the preassembled architectural components that allow to renovate the envelope and the provided assembly procedure are revealed. © 2022, The Author(s).</t>
  </si>
  <si>
    <t>Cross-laminated timber; Energy retrofit; Existing building; Numerical analyses; Seismic retrofit; Target displacement</t>
  </si>
  <si>
    <t>Bavaria; Germany; Munich; Laminating; Modal analysis; Reinforced concrete; Seismology; Strengthening (metal); Timber; Walls (structural partitions); Cross laminated; Cross-laminated timber; Energy retrofit; Existing building; Existing reinforced concrete; Laminated timber; Reinforced concrete buildings; Seismic retrofits; Seismic strengthening; Target displacement; building; displacement; integrated approach; numerical model; reinforced concrete; seismic retrofit; software; Retrofitting</t>
  </si>
  <si>
    <t>P. Aondio; Chair of Timber Structures and Building Construction, Technical University of Munich, Munich, Arcistraße 21, 80333, Germany; email: aondio@tum.de</t>
  </si>
  <si>
    <t>2-s2.0-85131528670</t>
  </si>
  <si>
    <t>An innovative connection system for platform-type mass timber buildings</t>
  </si>
  <si>
    <t>Resilient Cities and Structures</t>
  </si>
  <si>
    <t>10.1016/j.rcns.2025.03.004</t>
  </si>
  <si>
    <t>https://www.scopus.com/pages/publications/105002363468?origin=resultslist</t>
  </si>
  <si>
    <t>Department of Civil and Environmental Engineering, Univ. of Auckland, Private Bag 92019, Auckland, 1142, New Zealand</t>
  </si>
  <si>
    <t>Lal R., Department of Civil and Environmental Engineering, Univ. of Auckland, Private Bag 92019, Auckland, 1142, New Zealand; Hashemi A., Department of Civil and Environmental Engineering, Univ. of Auckland, Private Bag 92019, Auckland, 1142, New Zealand; Quenneville P., Department of Civil and Environmental Engineering, Univ. of Auckland, Private Bag 92019, Auckland, 1142, New Zealand</t>
  </si>
  <si>
    <t>Platform-style construction is a widely recognized and well-established approach among engineers and developers for multi-story mass timber buildings. This construction method offers many advantages, such as rapid assembly, an excellent strength-to-weight ratio, and appealing aesthetic features. In a platform-type construction, each story is constructed by placing the floor panels on top of the load-bearing wall, creating a platform for the level above. Although this method offers numerous advantages, recent research findings have revealed that cross-laminated (CLT) platform buildings with conventional connections, such as wall-to-floor hold-down brackets and shear connectors with nails and screws, are prone to experience a high degree of damage under design-level earthquakes. Consequently, conventional connections in platform-type construction are vulnerable to more damage under aftershocks and do not meet the damage avoidance requirements of seismic design. This paper introduces an innovative floor-to-wall connection for a platform-type low-rise mass timber building that mitigates the limitations of conventional connections. The effectiveness of the proposed connection has been investigated, and the seismic performance of the system, which incorporates the proposed connection, has been outlined in this paper. A numerical model with an innovative inter-story isolation system is developed in ETABS, and the seismic performance of the isolated structure was evaluated using Response Spectrum Analysis (RSA) and Nonlinear Time History Analysis (NLTHA). This study revealed that inter-story isolation systems significantly reduced the seismic demands on the mass timber components, demonstrating the system's ability to dissipate seismic energy. Additionally, the system displayed effective energy dissipation while exhibiting self-centering behaviour. © 2025 The Authors</t>
  </si>
  <si>
    <t>Cross-laminated timber; Inter-story isolation; Low damage; Numerical model; Platform construction</t>
  </si>
  <si>
    <t>Connectors (structural); Convergence of numerical methods; Earthquakes; Seismic design; Structural analysis; Tall buildings; Walls (structural partitions); Wooden buildings; Conventional connections; Cross laminated; Cross-laminated timber; Inter-story isolation; Laminated timber; Low damages; Platform construction; Seismic Performance; Story isolations; Timber buildings; Floors</t>
  </si>
  <si>
    <t>Elsevier B.V.</t>
  </si>
  <si>
    <t>Resil. Cit.  Struct.</t>
  </si>
  <si>
    <t>2-s2.0-105002363468</t>
  </si>
  <si>
    <t>Zhang B.; Song X.; Luo L.; Chen Y.</t>
  </si>
  <si>
    <t>57207579600; 34979262600; 26661340500; 60123557900</t>
  </si>
  <si>
    <t>Experimental and numerical studies on seismic performance of multi-story glulam frame-CLT core wall structure with buckling-restrained braces</t>
  </si>
  <si>
    <t>10.1016/j.jobe.2025.114362</t>
  </si>
  <si>
    <t>https://www.scopus.com/pages/publications/105018673042?origin=resultslist</t>
  </si>
  <si>
    <t>Department of Structural Engineering, College of Civil Engineering, Tongji University, Shanghai, 200092, China; Key Laboratory of Performance Evolution and Control for Engineering Structures (Tongji University), Ministry of Education, Shanghai, Shanghai, 200092, China</t>
  </si>
  <si>
    <t>Zhang B., Department of Structural Engineering, College of Civil Engineering, Tongji University, Shanghai, 200092, China, Key Laboratory of Performance Evolution and Control for Engineering Structures (Tongji University), Ministry of Education, Shanghai, Shanghai, 200092, China; Song X., Department of Structural Engineering, College of Civil Engineering, Tongji University, Shanghai, 200092, China, Key Laboratory of Performance Evolution and Control for Engineering Structures (Tongji University), Ministry of Education, Shanghai, Shanghai, 200092, China; Luo L., Department of Structural Engineering, College of Civil Engineering, Tongji University, Shanghai, 200092, China; Chen Y., Department of Structural Engineering, College of Civil Engineering, Tongji University, Shanghai, 200092, China</t>
  </si>
  <si>
    <t>This paper presents the experimental testing and numerical modelling of the seismic performance of a novel multi-story glulam frame-cross laminated timber (CLT) core wall structure with the buckling-restrained braces (BRBs). A 1/2 scaled five-story glulam frame-CLT core wall structure with the BRBs was designed and fabricated. The shaking table tests were conducted on the new hybrid structural model under six different seismic hazard levels. The failure modes, seismic responses, collaborative working mechanism, working condition and contribution of the BRBs, and inter-story shear force of the structural model were analyzed. The test results showed that the primary failure modes of the structural model exhibited the cracking of the CLT core wall, the uplift and expansion at the vertical joints, buckling and fracture of anti-pull components, and the partial pull-out of the self-tapping screws of the BRBs, while no visible damage occurred to the glulam frame. The damping ratio of the structural model can reach up to 12.5 %, indicating good energy dissipation capacity. The acceleration amplification factor of each floor ranged from 1.0 to 5.0, and the acceleration amplification factor of the first floor was significantly higher than that of upper floors. The BRBs significantly contributed to the lateral stiffness of the existing glulam frame-CLT core wall structures under major earthquakes. The new hybrid structure performed well after severe earthquake excitation with PGA of 1.24 g, with the maximum inter-story drift ratio not exceeding the code-specified limit of 1/50 rad for the elasto-plastic inter-story drift ratio, meeting the seismic fortification goal of preventing the collapse in major earthquake. In addition, a non-linear numerical model of the new hybrid structure was established and verified. Parametric analyses were carried out. The influence of the number of structural floors and the cross-sectional sizes of the braces on the maximum displacement and inter-story drift ratio of the top story was revealed. It is found that the predictions of the numerical model were in good agreement with the shaking table test results, satisfying the requirements of engineering accuracy. This research can offer valuable insights for the design and engineering applications of multi-story and high-rise modern timber structures. © 2025 Elsevier Ltd</t>
  </si>
  <si>
    <t>Buckling-restrained brace; CLT core wall; Glulam frame; Multi-story timber structure; Numerical simulation; Seismic performance; Shaking table test</t>
  </si>
  <si>
    <t>Acceleration; Buckling; Buckling behavior; Earthquake effects; Earthquake engineering; Energy dissipation; Floors; Outages; Seismic response; Seismic waves; Structural analysis; Timber; Walls (structural partitions); Buckling restrained braces; Core wall; Cross laminated; Cross laminated timber core wall; Glulam frame; Laminated timber; Multi-story timber structure; Seismic Performance; Shaking table tests; Timber structures; Numerical models</t>
  </si>
  <si>
    <t>B. Zhang; Department of Structural Engineering, College of Civil Engineering, Tongji University, Shanghai, 200092, China; email: baozhuang_zhang@163.com</t>
  </si>
  <si>
    <t>2-s2.0-105018673042</t>
  </si>
  <si>
    <t>Weaver M.K.; Newberry C.M.; Podesto L.; O'Laughlin C.</t>
  </si>
  <si>
    <t>57197641137; 55316846900; 39362035500; 48662725600</t>
  </si>
  <si>
    <t>Blast Testing of Loaded Cross-Laminated Timber Structures</t>
  </si>
  <si>
    <t>Structures Congress 2018: Blast, Impact Loading, and Response; and Research and Education - Selected Papers from the Structures Congress 2018</t>
  </si>
  <si>
    <t>2018-April</t>
  </si>
  <si>
    <t>10.1061/9780784481349.039</t>
  </si>
  <si>
    <t>https://www.scopus.com/pages/publications/85049303126?origin=resultslist</t>
  </si>
  <si>
    <t>Karagozian and Case Inc., 700 N. Brand Blvd., Glendale, 91203, CA, United States; Syscom Inc., 104 Research Rd., Panama City, 32403, FL, United States; WoodWorks-Wood Products Council, 1101 K St. NW Suite 700, Washington, 20005, DC, United States; Jacobs Technology, 104 Research Rd., Panama City, 32403, FL, United States</t>
  </si>
  <si>
    <t>Weaver M.K., Karagozian and Case Inc., 700 N. Brand Blvd., Glendale, 91203, CA, United States; Newberry C.M., Syscom Inc., 104 Research Rd., Panama City, 32403, FL, United States; Podesto L., WoodWorks-Wood Products Council, 1101 K St. NW Suite 700, Washington, 20005, DC, United States; O'Laughlin C., Jacobs Technology, 104 Research Rd., Panama City, 32403, FL, United States</t>
  </si>
  <si>
    <t>Results from a series of blast tests performed in October 2016 on three two-story, single-bay cross-laminated timber (CLT) structures demonstrated the ability of CLT construction to resist airblast loads in a predictable fashion. These tests were performed on structures without superimposed load to limit inertial resistance. Subsequently, a follow-on series of tests was performed to investigate the response of axially-loaded CLT construction. Panels damaged during the preceding test were removed and replaced. Axial load was applied using precast concrete blocks to simulate the loaded condition of a five-story building at the first-floor front panel of the structures. These test structures were exposed to two shots: the first was designed to keep the structures within their respective elastic ranges while the second was designed to push the structures beyond their elastic limits. Reflected pressure and peak deflections were recorded at the front panels of the test structures to document the two-way panel load distribution behavior under a dynamic load event and the clearing of the shock wave. Prior to conducting the blast tests, a small number of tests were performed on a load tree test apparatus to aid in test planning by investigating the post-peak response of individual CLT panels of various lengths to quasi-static out-of-plane and axial loads applied simultaneously. This paper provides an overview of the results obtained from both the quasi-static and blast tests of axially-loaded CLT. Additionally, the paper compares CLT structure, component, and connection response across the suite of data. Conclusions are offered to assist engineers in the design of load bearing CLT construction exposed to airblast loads. © 2018 American Society of Civil Engineers.</t>
  </si>
  <si>
    <t>Axial loads; Dynamic loads; Laminating; Precast concrete; Shock waves; Timber; Cross laminated; Elastic limit; Elastic ranges; Load distributions; Reflected pressure; Superimposed loads; Test planning; Test structure; Structural design</t>
  </si>
  <si>
    <t>978-078448134-9</t>
  </si>
  <si>
    <t>Struct. Congr.: Blast, Impact Load., Response; Res. Educ. - Sel. Pap. Struct. Congr.</t>
  </si>
  <si>
    <t>2-s2.0-85049303126</t>
  </si>
  <si>
    <t>Qu X.; He M.; Wang X.; Sun Y.</t>
  </si>
  <si>
    <t>59983407700; 14058009000; 57195348030; 56174962000</t>
  </si>
  <si>
    <t>INFLUENCE OF FLOOR EFFECTS ON THE SEISMIC PERFORMANCE OF CROSS-LAMINATED TIMBER STRUCTURES</t>
  </si>
  <si>
    <t>10.52202/080513-0481</t>
  </si>
  <si>
    <t>https://www.scopus.com/pages/publications/105010241745?origin=resultslist</t>
  </si>
  <si>
    <t>Department of Structural Engineering, Tongji University, Shanghai, China; Tongji University, Architectural Design and Research Institute (Group) Co., Ltd., Shanghai, China</t>
  </si>
  <si>
    <t>Qu X., Department of Structural Engineering, Tongji University, Shanghai, China; He M., Department of Structural Engineering, Tongji University, Shanghai, China; Wang X., Department of Structural Engineering, Tongji University, Shanghai, China; Sun Y., Tongji University, Architectural Design and Research Institute (Group) Co., Ltd., Shanghai, China</t>
  </si>
  <si>
    <t>Despite the in-plane and out-plane performance of nail-laminated timber-concrete composite (NLTCC) floors having been widely investigated, detailed influence mechanisms of floors on seismic performance of structures is still lacking. In this paper, the influence of NLTCC floors on the seismic behaviour of cross-laminated timber (CLT) structures was investigated. Nonlinear finite element models for CLT structures were developed. A series of parametric analyses was conducted, considering stiffness of wall-to-floor connections and in-plane stiffness of NLTCC floors. The seismic performance, such as inter-story drift ratios (ISDR), roof drift ratios (RDR) and in-plane shear drift (ISD), were obtained from nonlinear dynamic time history analyses. The influence of stiffness of wall-to-floor connections and in-plane stiffness of NLTCC floors on structural seismic performance was quantified. The results showed that ISDR and RDR exhibited similar trends. Increasing floor stiffness reduced the maximum RDR by 8.75% and 19.59% for structures with identical wall-to-floor connection stiffness. The maximum ISD in CLT structures was negatively correlated with floor stiffness and wall-to-floor connection stiffness. © (2025) WORLD CONFERENCE ON TIMBER ENGINEERING 2025 (WCTE 2025) All rights reserved.</t>
  </si>
  <si>
    <t>cross-laminated timber shear wall; nail-laminated timber-concrete composite floor; seismic performance; Wall-to-floor connection</t>
  </si>
  <si>
    <t>Dynamics; Laminated composites; Laminating; Roofs; Seismic design; Seismology; Shear flow; Stiffness; Timber; Wooden floors; Composite floors; Cross laminated; Cross-laminated timber shear wall; Laminated timber; Nail-laminated timber-concrete composite floor; Seismic Performance; Timber shear walls; Timber-concrete composites; Wall-to-floor connection; Seismic waves</t>
  </si>
  <si>
    <t>2-s2.0-105010241745</t>
  </si>
  <si>
    <t>Erdle A.; Weckendorf J.; Asiz A.; Smith I.</t>
  </si>
  <si>
    <t>55546382700; 55351217500; 6506926796; 7404426235</t>
  </si>
  <si>
    <t>Effectiveness of distributed mass damper systems for lightweight superstructures</t>
  </si>
  <si>
    <t>A4014005</t>
  </si>
  <si>
    <t>10.1061/(ASCE)CF.1943-5509.0000555</t>
  </si>
  <si>
    <t>https://www.scopus.com/pages/publications/84910639576?origin=resultslist</t>
  </si>
  <si>
    <t>BMR Structural Engineering, 5413 Doyle St., Halifax, B3J 1H9, NS, Canada; Univ. of New Brunswick, P.O. Box 4400, Fredericton, E3B 5A3, NB, Canada; Prince Mohammad Bin Fahd Univ., P.O. Box 1664, Al Khobar, 31952, Saudi Arabia</t>
  </si>
  <si>
    <t>Erdle A., BMR Structural Engineering, 5413 Doyle St., Halifax, B3J 1H9, NS, Canada; Weckendorf J., Univ. of New Brunswick, P.O. Box 4400, Fredericton, E3B 5A3, NB, Canada; Asiz A., Prince Mohammad Bin Fahd Univ., P.O. Box 1664, Al Khobar, 31952, Saudi Arabia; Smith I., BMR Structural Engineering, 5413 Doyle St., Halifax, B3J 1H9, NS, Canada</t>
  </si>
  <si>
    <t>Distributed mass damper (DMD) systems are discussed as a method of suppressing lateral motions of superstructures during wind storms and earthquakes. Potentially, DMD systems are a technology that is economical enough for widespread application to buildings or other structures. Focus is placed on lightweight superstructures as a reflection of the trend toward the use of ultra-lightweight floor slabs in high-rise buildings. Results of model-scale experiments are presented that show that tuned mass damper (TMD) systems that add between 1.3 and 2% to the total superstructure gravitational mass are effective methods of increasing damping in superstructures and reducing peak lateral accelerations during forced vibration events. In those experiments, tuned sloshing dampers (TSDs) were employed in conjunction with floor and roof plates that simulated ultra-lightweight slabs constructed from cross-laminated timber (CLT), which is a new material option in North America. The use of TSDs was a surrogate for TMDs in general, but such devices are expected to be economic and can easily be tuned to match free vibration frequencies of superstructures. A concept for incorporating DMD arrays as parts of multimaterial ultra-lightweight floor slabs is presented in the context of high-rise building superstructures having moment-resisting frameworks made of steel, reinforced concrete, or other materials that work in conjunction with the slabs and shear walls to form superstructures. The main conclusion is that DMDs are a practical and potentially economic approach for suppressing undesirable motions of lightweight high-rise superstructures. Continuing work is focused on developing and optimizing low-cost TMDs and design of DMD systems for specific buildings or other structures. © 2014 American Society of Civil Engineers.</t>
  </si>
  <si>
    <t>Concrete; Damping; Dynamic response; High-rise building; Steel; Structural dynamics; Timber construction</t>
  </si>
  <si>
    <t>Concretes; Damping; Dynamic response; Floors; Gravitation; Reinforced concrete; Steel; Structural dynamics; Timber; Free vibration frequency; Gravitational mass; High rise building; Lateral acceleration; Model-scale experiments; Timber construction; Tuned mass damper systems; Ultra lightweights; Tall buildings</t>
  </si>
  <si>
    <t>2-s2.0-84910639576</t>
  </si>
  <si>
    <t>Haynes M.; Coleri E.; Estaji M.</t>
  </si>
  <si>
    <t>57208386207; 26429200500; 57210183216</t>
  </si>
  <si>
    <t>Selection of the most effective pavement surfacing strategy for the Glenwood cross laminated timber parking garage</t>
  </si>
  <si>
    <t>10.1016/j.conbuildmat.2019.07.220</t>
  </si>
  <si>
    <t>https://www.scopus.com/pages/publications/85069829868?origin=resultslist</t>
  </si>
  <si>
    <t>Department of Civil &amp; Construction Engineering, Oregon State University, Oregon, 97331, United States</t>
  </si>
  <si>
    <t>Haynes M., Department of Civil &amp; Construction Engineering, Oregon State University, Oregon, 97331, United States; Coleri E., Department of Civil &amp; Construction Engineering, Oregon State University, Oregon, 97331, United States; Estaji M., Department of Civil &amp; Construction Engineering, Oregon State University, Oregon, 97331, United States</t>
  </si>
  <si>
    <t>The use of cross-laminated timber (CLT) is becoming increasingly common in large scale construction projects as a sustainable alternative. This study assesses the effectiveness of several overlay surfaces which are to be installed on top of floor slabs in a proposed CLT parking garage structure. Overlay surfaces are necessary to protect the CLT from moisture and vehicle loadings within the parking garage. First, finite element modeling was performed to determine stress, strain, and deformation distributions and factors for use in the laboratory tests. Then, three overlay systems were evaluated using laboratory tests (at the stress-strain levels identified by FE modeling) where cracking resistance, interlayer bond strength and rutting (flow number) were the main parameters used to quantify the performance of each overlay strategy. One of the three overlay systems evaluated consisted of a flexible polyurethane membrane applied directly to a CLT panel. The other two overlay systems consisted of dual-layered sheet membranes applied to a CLT panel and then paved over with a modified asphalt pavement. Based on the laboratory test results, a strategy with the asphalt and sheet membrane layers on top of the CLT layer was selected to be the best option due to significant reduction in stress-strain distribution achieved when compared to the other strategies. © 2019 Elsevier Ltd</t>
  </si>
  <si>
    <t>Asphalt concrete; Cross laminated timber; Finite element modeling; Performance testing; Waterproofing membrane</t>
  </si>
  <si>
    <t>Asphalt; Asphalt concrete; Finite element method; Laminating; Timber; Waterproofing; Construction projects; Cracking resistance; Cross laminated; Deformation distributions; Flexible Polyurethanes; Interlayer bond strength; Performance testing; Stress-strain distributions; Garages (parking)</t>
  </si>
  <si>
    <t>M. Haynes; Department of Civil &amp; Construction Engineering, Oregon State University, Oregon, 97331, United States; email: haynesm@oregonstate.edu</t>
  </si>
  <si>
    <t>2-s2.0-85069829868</t>
  </si>
  <si>
    <t>Faircloth A.; Karampour H.; Brancheriau L.; Bailleres H.; So S.; Kumar C.</t>
  </si>
  <si>
    <t>57211892198; 44761148700; 6507095109; 57202989926; 57214734376; 34877283300</t>
  </si>
  <si>
    <t>Vibratory Evaluation of Material Damping Performance of Cross-Laminated Timber Panels</t>
  </si>
  <si>
    <t>10th Australasian Congress on Applied Mechanics 2021, ACAM 2021</t>
  </si>
  <si>
    <t>https://www.scopus.com/pages/publications/85205002917?origin=resultslist</t>
  </si>
  <si>
    <t>Queensland Department of Agriculture and Fisheries, Salisbury Research Facility, Brisbane, QLD, Australia; Department of Engineering and Built Environment, Griffith University, Gold Coast, QLD, Australia; Centre for Agricultural Research and Development (CIRAD), Montpellier, France; Hyne and Sons Timbers, Brisbane, QLD, Australia</t>
  </si>
  <si>
    <t>Faircloth A., Queensland Department of Agriculture and Fisheries, Salisbury Research Facility, Brisbane, QLD, Australia, Department of Engineering and Built Environment, Griffith University, Gold Coast, QLD, Australia; Karampour H., Department of Engineering and Built Environment, Griffith University, Gold Coast, QLD, Australia; Brancheriau L., Centre for Agricultural Research and Development (CIRAD), Montpellier, France; Bailleres H., Hyne and Sons Timbers, Brisbane, QLD, Australia; So S., Department of Engineering and Built Environment, Griffith University, Gold Coast, QLD, Australia; Kumar C., Queensland Department of Agriculture and Fisheries, Salisbury Research Facility, Brisbane, QLD, Australia</t>
  </si>
  <si>
    <t>Serviceability is one of the governing parameters for the use of cross laminated timber (CLT) panels in floor systems for multi-storey buildings. The low comparative density of CLT products against steel and concrete systems can attract low damping and acoustical performance. Referring to the transient impulse response of a material, damping is a product of the boundary conditions (BCs) and material properties such as stiffness and density. There currently exists minimal understanding of the performance of CLT products in regards to damping as well as methods by which damping can be quantified and furthermore, the BCs under which these assessments should be conducted to ensure representative results to the intended application. The aim of this study was to investigate a vibratory assessment method to evaluate the damping performance of CLT panels for a range of conditions that may affect the damping response for a floor surface area equal to the tested CLT panel (3.0 x 3.0 m). 75 mm and 125 mm CLT panels were assessed for their damping response for a fully clamped (CCCC) BC to the influence of an impacting force with respect to a dropped weight of variable mass and drop height. The results of the damping response indicate a higher rate for impact tests at the boundary supports while the mid-span locations produced lower damping; while this was consistent across both panel types, the 125 mm CLT produced consistently higher damping rates compared with the 75 mm CLT, suggesting that the added material assists with damping. In addition to this the sound transmission difference between the surface to the underside of the panels were measured using appropriately positioned microphones and found a complimentary result to the damping where the transmission difference was lower for higher drop heights and varied with weight. © ACAM 2021. All rights reserved.</t>
  </si>
  <si>
    <t>Architectural acoustics; Concrete products; Laminating; Mortar; Wooden buildings; Condition; Cross laminated; Damping performance; Damping response; Drop height; Floor systems; Governing parameters; Laminated timber; Material damping; Timber products; Impulse response</t>
  </si>
  <si>
    <t>A. Faircloth; Queensland Department of Agriculture and Fisheries, Salisbury Research Facility, Brisbane, Australia; email: adam.faircloth@daf.qld.gov.au</t>
  </si>
  <si>
    <t>Engineers Australia</t>
  </si>
  <si>
    <t>978-192562759-6</t>
  </si>
  <si>
    <t>Australas. Congr. Appl. Mech., ACAM</t>
  </si>
  <si>
    <t>2-s2.0-85205002917</t>
  </si>
  <si>
    <t>Bottaro S.; Owolabi D.; Loss C.</t>
  </si>
  <si>
    <t>57338403600; 57337655700; 37098919100</t>
  </si>
  <si>
    <t>Vibration serviceability performance of prefabricated cross-laminated timber steel rib composite floors</t>
  </si>
  <si>
    <t>IABSE Congress, Ghent 2021: Structural Engineering for Future Societal Needs</t>
  </si>
  <si>
    <t>10.2749/ghent.2021.1590</t>
  </si>
  <si>
    <t>https://www.scopus.com/pages/publications/85119060081?origin=resultslist</t>
  </si>
  <si>
    <t>University of Trento, Trento, Italy; University of British Columbia, Vancouver, BC, Canada</t>
  </si>
  <si>
    <t>Bottaro S., University of Trento, Trento, Italy; Owolabi D., University of British Columbia, Vancouver, BC, Canada; Loss C., University of British Columbia, Vancouver, BC, Canada</t>
  </si>
  <si>
    <t>Timber-based composite floors are gaining ascendancy as potential competitors with mainstream steel-concrete composites due to the increasing emphasis on sustainability in the construction industry. This paper investigates the vibration serviceability performance of an innovative prefabricated timber-steel composite floor module. The floor features a cross-laminated timber (CLT) panel joined to cold-formed steel beams using self-tapping screws as shear connectors. The vibration response of the floor module is simulated through the finite element method considering both modal and transient analyses, and its structural performance is evaluated using criteria specified in international design codes and standards. The results provide insight into the vibration behaviour of steel-timber composite floors in residential applications. © 2021 IABSE Congress, Ghent 2021: Structural Engineering for Future Societal Needs. All rights reserved.</t>
  </si>
  <si>
    <t>CLT-steel composite; Finite element modelling; Lightweight floors; Prefabricated construction; Sustainability; Vibration serviceability</t>
  </si>
  <si>
    <t>Construction industry; Finite element method; Floors; Laminated composites; Laminating; Structural design; Timber; Transient analysis; Vibration analysis; Composite floors; Cross laminated; Cross-laminated timber-steel composite; Element models; Finite element modeling; Laminated timber; Lightweight floors; Performance; Steel composites; Vibration serviceability; Sustainable development</t>
  </si>
  <si>
    <t>C. Loss; University of British Columbia, Vancouver, Canada; email: cristiano.loss@ubc.ca</t>
  </si>
  <si>
    <t>Snijder H.H.; De Pauw B.; De Pauw B.; van Alphen S.F.C.; Mengeot P.</t>
  </si>
  <si>
    <t>IABSE Congr., Ghent: Struct. Eng. Future Soc. Needs</t>
  </si>
  <si>
    <t>2-s2.0-85119060081</t>
  </si>
  <si>
    <t>Owolabi D.; Loss C.</t>
  </si>
  <si>
    <t>57337655700; 37098919100</t>
  </si>
  <si>
    <t>Experimental and Numerical Assessment of the Structural Performance of a Prefabricated Hybrid CLT-steel Floor Module</t>
  </si>
  <si>
    <t>10.1007/978-3-031-34159-5_38</t>
  </si>
  <si>
    <t>https://www.scopus.com/pages/publications/85172738681?origin=resultslist</t>
  </si>
  <si>
    <t>Owolabi D., Sustainable Engineered Structural Solutions Laboratory, University of British Columbia, Vancouver, BC, Canada; Loss C., Sustainable Engineered Structural Solutions Laboratory, University of British Columbia, Vancouver, BC, Canada</t>
  </si>
  <si>
    <t>The actualization of optimal structural performance and material efficiency in mass timber construction is often hinged upon hybridizing its structural assembly. This study investigates the out-of-plane static behaviour of a CLT-steel modular composite floor assembly via full-scale bending tests and numerical modelling. The structural performance of the floor assembly and its components under gravity loads are assessed in both ultimate and serviceability limit states. The results show that excellent load-carrying capacity and stiffness are reached, demonstrating that the prototyped floor assembly is a practical low-carbon alternative to steel–concrete composites. © 2023, Canadian Society for Civil Engineering.</t>
  </si>
  <si>
    <t>Prefabricated hybrid CLT-steel floor module; Structural performance</t>
  </si>
  <si>
    <t>Bending tests; Low carbon steel; Structural optimization; Material efficiency; Modulars; Out-of-plane; Performance efficiency; Prefabricated hybrid CLT-steel floor module; Static behaviors; Steel floors; Structural assemblies; Structural performance; Timber construction; Floors</t>
  </si>
  <si>
    <t>2-s2.0-85172738681</t>
  </si>
  <si>
    <t>Morandi F.; Carter C.G.; Caniato M.; Gasparella A.</t>
  </si>
  <si>
    <t>56797863200; 57193123090; 55353553200; 6602885046</t>
  </si>
  <si>
    <t>Sound insulation of access floors on CLT</t>
  </si>
  <si>
    <t>53rd International Congress and Exposition on Noise Control Engineering, Internoise 2024</t>
  </si>
  <si>
    <t>https://www.scopus.com/pages/publications/105016190662?origin=resultslist</t>
  </si>
  <si>
    <t>Free University of Bozen-Bolzano, Piazza Domenicani 5, Bolzano, 39100, Italy; CSTB - Centre Scientifique et Technique du Bâtiment, 24 rue Joseph Fourier, Saint-Martin-d'Hères, 38400, France</t>
  </si>
  <si>
    <t>Morandi F., Free University of Bozen-Bolzano, Piazza Domenicani 5, Bolzano, 39100, Italy; Carter C.G., CSTB - Centre Scientifique et Technique du Bâtiment, 24 rue Joseph Fourier, Saint-Martin-d'Hères, 38400, France; Caniato M., Free University of Bozen-Bolzano, Piazza Domenicani 5, Bolzano, 39100, Italy; Gasparella A., Free University of Bozen-Bolzano, Piazza Domenicani 5, Bolzano, 39100, Italy</t>
  </si>
  <si>
    <t>Access floors are raised floor systems widely used in commercial or office buildings as they allow easy inspection, substitution, and interventions on the building systems and wiring that are housed in the cavity. The acoustic performance of access floors resting on concrete slabs has been long investigated but if such systems rest on lightweight floors, the estimates of impact sound insulation improvements cannot be used without relevant loss of accuracy. To gain understanding of such behavior, an experimental campaign has been carried out at the Building Envelope Lab of the Free University of Bozen-Bolzano on 16 access floors mounted on a 200 mm CLT slab. Three different top panels (calcium sulphate, encapsulated calcium sulphate and encapsulated chipboard panels), two different pedestals (standard and with resilient mount), and three flooring solutions (bare, carpet tiles, acoustic carpet tiles) were tested. Impact sound insulation measurements were carried out using both the tapping machine and the rubber ball as source. The results show that the impact sound insulation performance of CLT floors is not strongly affected by the type of panel used and that significant differences emerge when access floor performance is tested using the tapping machine or the rubber ball.  Copyright © 2024 by Societe Francaise d'Acoustique All rights reserved.</t>
  </si>
  <si>
    <t>Acoustic noise; Acoustic noise measurement; Acoustics; Calcium compounds; Concrete slabs; Floors; Rubber; Tapping (threads); Tile; Acoustic performance; Building systems; Calcium sulphate; Floor systems; Impact sound insulation; Lightweight floors; Loss of accuracy; Raised floors; Rubber balls; Tapping machine; Office buildings; Sound insulation</t>
  </si>
  <si>
    <t>Societe Francaise d'Acoustique</t>
  </si>
  <si>
    <t>979-833132215-1</t>
  </si>
  <si>
    <t>Int. Congr. Expo. Noise Control Eng., Internoise</t>
  </si>
  <si>
    <t>2-s2.0-105016190662</t>
  </si>
  <si>
    <t>Hiramitsu A.; Tsuchimoto T.; Kurumada S.</t>
  </si>
  <si>
    <t>36499616500; 36465778300; 56376141600</t>
  </si>
  <si>
    <t>Influence of floor finish structure on floor impact sound insulation in CLT model building</t>
  </si>
  <si>
    <t>INTER-NOISE 2019 MADRID - 48th International Congress and Exhibition on Noise Control Engineering</t>
  </si>
  <si>
    <t>https://www.scopus.com/pages/publications/85084163510?origin=resultslist</t>
  </si>
  <si>
    <t>National Institute for Land and Infrastructure Management, 1, Tachihara Ibaraki, Tsukuba-City, 305-0802, Japan; Building Research Institute, 1, Tachihara Ibaraki, Tsukuba-City, 305-0802, Japan; Japan CLT Association, (Visiting Research Engineer Building Research Institute), 1, Tachihara Ibaraki, Tsukuba-City, 305-0802, Japan</t>
  </si>
  <si>
    <t>Hiramitsu A., National Institute for Land and Infrastructure Management, 1, Tachihara Ibaraki, Tsukuba-City, 305-0802, Japan; Tsuchimoto T., Building Research Institute, 1, Tachihara Ibaraki, Tsukuba-City, 305-0802, Japan; Kurumada S., Japan CLT Association, (Visiting Research Engineer Building Research Institute), 1, Tachihara Ibaraki, Tsukuba-City, 305-0802, Japan</t>
  </si>
  <si>
    <t>A floor impact sound insulation is often objection or trouble in building. The Act on the Promotion of the Utilization of Wood in Public Buildings was enforced in 2010 in Japan. As a result, measures are being taken to use Japanese wood. For effective use of the Japanese wood, mainly Japanese cedar, CLT (Cross Laminated Timber) was standardized by Japanese Agricultural Standard as a building material. We, however, have little knowledge about performance of CLT building for satisfaction of Japanese standards. Therefore, we built a 2-story CLT model building for experiments. The floor impact sound insulation of the timber constructions is low compared with that of the concrete constructions. Although this CLT model building is assumed a detached house, these performances were very low performance. In this paper, the purpose of improving the floor impact sound insulation, we report the measurement results by changing the floor finish structure to dry-type double floor structure with rubber vibration insulator. We found that the effect of the dry-type double floor structure with rubber vibration insulator on the heavy-weight and the light-weight floor impact sound insulation. Furthermore, comparison was made with the reduction of transmitted floor impact sound level obtained in other experiment building. © INTER-NOISE 2019 MADRID - 48th International Congress and Exhibition on Noise Control Engineering. All Rights Reserved.</t>
  </si>
  <si>
    <t>Cross Laminated Timber; Floor Finish Structure; Floor Impact Sound</t>
  </si>
  <si>
    <t>Acoustic noise; Acoustic variables control; Agricultural robots; Buildings; Floors; Laminating; Model buildings; Rubber; Sound insulating materials; Timber; Cross laminated; Detached house; Floor finish; Floor structures; Floor-impact sound; Japanese cedars; Public buildings; Timber construction; Sound insulation</t>
  </si>
  <si>
    <t>Calvo-Manzano A.; Delgado A.; Perez-Lopez A.; Santiago J.S.</t>
  </si>
  <si>
    <t>SOCIEDAD ESPANOLA DE ACUSTICA - Spanish Acoustical Society, SEA</t>
  </si>
  <si>
    <t>978-848798531-7</t>
  </si>
  <si>
    <t>INTER-NOISE MADRID - Int. Congr. Exhib. Noise Control Eng.</t>
  </si>
  <si>
    <t>2-s2.0-85084163510</t>
  </si>
  <si>
    <t>Golden M.; Byrick W.</t>
  </si>
  <si>
    <t>55428118300; 55178554200</t>
  </si>
  <si>
    <t>Laboratory data examining impact and airborne sound attenuation in cross- laminated timber panel construction - Part 2</t>
  </si>
  <si>
    <t>Proceedings of the INTER-NOISE 2016 - 45th International Congress and Exposition on Noise Control Engineering: Towards a Quieter Future</t>
  </si>
  <si>
    <t>https://www.scopus.com/pages/publications/84994591836?origin=resultslist</t>
  </si>
  <si>
    <t>Pliteq Inc., Canada</t>
  </si>
  <si>
    <t>Golden M., Pliteq Inc., Canada; Byrick W., Pliteq Inc., Canada</t>
  </si>
  <si>
    <t>At INTER-NOISE 2015, Pliteq presented part one of our investigation into the laboratory acoustical performance of cross-laminated timbers (CLT). In that study, we tested combinations of a resiliently floating wood raft on the CLT, various floor finishes and a resilient ceiling suspended from the CLT. For this study, we used the same 175mm thick CLT as the main structure of our assemblies and conducted several more tests (STC-ASTM E90 and IIC ASTM-E492). We tested assemblies with wood and tile floor finishes, resiliently supported normal weight and gypsum concrete, different types of resilient underlayments and a resilient ceiling with a lower profile than what was tested previously. As a result of the test program, we have created an informal CLT design guide to achieve IBC section 1207 code compliant CLT assemblies. © 2016, German Acoustical Society (DEGA). All rights reserved.</t>
  </si>
  <si>
    <t>CLT; Impact; Transmission</t>
  </si>
  <si>
    <t>Acoustic variables control; Floors; Laminating; Software testing; Timber; Transmissions; Acoustical performance; Airborne sound; Cross laminated; Design guide; Impact; Laboratory datum; Main structure; Test program; Acoustic noise</t>
  </si>
  <si>
    <t>von Estorff O.; Kropp W.; Schulte-Fortkamp B.</t>
  </si>
  <si>
    <t>German Acoustical Society (DEGA)</t>
  </si>
  <si>
    <t>Proc. INTER-NOISE - Int. Congr. Expo. Noise Control Eng.: Towar. Quieter Future</t>
  </si>
  <si>
    <t>2-s2.0-84994591836</t>
  </si>
  <si>
    <t>Aspila A.; Heinisuo M.; Leivo V.; Malaska M.; Mela K.; Pajunen S.; Vuorela M.</t>
  </si>
  <si>
    <t>57796290300; 55174898500; 6507611446; 51864009000; 18042424500; 6602873738; 59464217800</t>
  </si>
  <si>
    <t>Collected data on bending, vibration, and push-out tests of shallow steel-timber composite beams—Nordic system</t>
  </si>
  <si>
    <t>10.1016/j.dib.2024.111172</t>
  </si>
  <si>
    <t>https://www.scopus.com/pages/publications/85211343249?origin=resultslist</t>
  </si>
  <si>
    <t>Tampere University, Faculty of Built Environment, P.O. Box 600, Tampere, FI-33014, Finland</t>
  </si>
  <si>
    <t>Aspila A., Tampere University, Faculty of Built Environment, P.O. Box 600, Tampere, FI-33014, Finland; Heinisuo M., Tampere University, Faculty of Built Environment, P.O. Box 600, Tampere, FI-33014, Finland; Leivo V., Tampere University, Faculty of Built Environment, P.O. Box 600, Tampere, FI-33014, Finland; Malaska M., Tampere University, Faculty of Built Environment, P.O. Box 600, Tampere, FI-33014, Finland; Mela K., Tampere University, Faculty of Built Environment, P.O. Box 600, Tampere, FI-33014, Finland; Pajunen S., Tampere University, Faculty of Built Environment, P.O. Box 600, Tampere, FI-33014, Finland; Vuorela M., Tampere University, Faculty of Built Environment, P.O. Box 600, Tampere, FI-33014, Finland</t>
  </si>
  <si>
    <t>In a slim-floor structural system, beams and slabs are placed at the same level, reducing the overall floor height and material usage in vertical structures, thereby improving economic efficiency. The use of slim-floor structures is common practice in Finnish construction where these structures are typically constructed using hollow-concrete slabs and welded steel box beams. However, in Finland, only a few buildings utilise cross-laminated timber (CLT) slabs in slim-floor structures, and none have incorporated the composite action between CLT and steel beams. This paper presents the laboratory test results of combining CLT slabs and asymmetric welded box beams (WQ-beams) to further assess their potential in optimising structural performance. The structural behaviour of the test construction was evaluated for serviceability and ultimate limit states. The testing involved six full-scale specimens to observe structural responses by measuring total jack forces, deflections, strains, and slip between timber and steel. Vibration tests were conducted on four specimens, capturing deflection and acceleration during heel-drop and walking tests. Additionally, push-out tests were performed to determine connection properties of the wood screws by measuring jack force and displacements. The same skilled faculty team meticulously carried out all tests in the Structural Behaviour Laboratory at Tampere University in Finland. The comprehensive datasets are presented in Excel sheets along with illustrative graphs. Furthermore, the report contains images taken during and after the tests. The provided dataset can serve construction companies, product developers, and researchers aiming to deepen their understanding of the structural behaviour of steel-timber slim-floor composite structures. Additionally, it can be utilised as a reliable reference to validate finite element models (FEM) and analytical calculation models, and to aid in the development of design guides or standards. © 2024 The Authors</t>
  </si>
  <si>
    <t>CLT; Composite action; Hybrid floor; Shallow-floor; Shear force; Slim-floor; Structural performance; WQ-beam</t>
  </si>
  <si>
    <t>Bending tests; Composite beams and girders; Concrete beams and girders; Deflection (structures); Mortar; Steel beams and girders; Steel testing; Welded steel structures; Wooden floors; Composite action; Cross laminated; Cross-laminated timber; Hybrid floor; Laminated timber; Shallow-floor; Shear force; Slim floor; Structural performance; WQ-beam; Concrete slabs</t>
  </si>
  <si>
    <t>A. Aspila; Tampere University, Faculty of Built Environment, Tampere, P.O. Box 600, FI-33014, Finland; email: aku.aspila@tuni.fi</t>
  </si>
  <si>
    <t>2-s2.0-85211343249</t>
  </si>
  <si>
    <t>Lu J.; Wei Y.; Du H.; Zhao K.; Huang S.; Chen J.</t>
  </si>
  <si>
    <t>59527764900; 35194968400; 57195421909; 57214235151; 57416163400; 57196084054</t>
  </si>
  <si>
    <t>Experimental evaluation on the shear performance of grouted bolt connections in steel-CLT and steel-CLBT composite structures</t>
  </si>
  <si>
    <t>Thin-Walled Structures</t>
  </si>
  <si>
    <t>10.1016/j.tws.2026.114573</t>
  </si>
  <si>
    <t>https://www.scopus.com/pages/publications/105028293951?origin=resultslist</t>
  </si>
  <si>
    <t>College of Civil Engineering, Nanjing Forestry University, Nanjing, 210037, China; Jiangsu Carbon Sequestration Materials and Structural Technology of Bamboo &amp; Wood Research Center, Nanjing Forestry University, Nanjing, 210037, China</t>
  </si>
  <si>
    <t>Lu J., College of Civil Engineering, Nanjing Forestry University, Nanjing, 210037, China; Wei Y., College of Civil Engineering, Nanjing Forestry University, Nanjing, 210037, China, Jiangsu Carbon Sequestration Materials and Structural Technology of Bamboo &amp; Wood Research Center, Nanjing Forestry University, Nanjing, 210037, China; Du H., College of Civil Engineering, Nanjing Forestry University, Nanjing, 210037, China, Jiangsu Carbon Sequestration Materials and Structural Technology of Bamboo &amp; Wood Research Center, Nanjing Forestry University, Nanjing, 210037, China; Zhao K., College of Civil Engineering, Nanjing Forestry University, Nanjing, 210037, China, Jiangsu Carbon Sequestration Materials and Structural Technology of Bamboo &amp; Wood Research Center, Nanjing Forestry University, Nanjing, 210037, China; Huang S., College of Civil Engineering, Nanjing Forestry University, Nanjing, 210037, China, Jiangsu Carbon Sequestration Materials and Structural Technology of Bamboo &amp; Wood Research Center, Nanjing Forestry University, Nanjing, 210037, China; Chen J., College of Civil Engineering, Nanjing Forestry University, Nanjing, 210037, China, Jiangsu Carbon Sequestration Materials and Structural Technology of Bamboo &amp; Wood Research Center, Nanjing Forestry University, Nanjing, 210037, China</t>
  </si>
  <si>
    <t>Steel-cross laminated timber (CLT) composite floors have increasingly emerged as an alternative to steel-concrete composite floors due to their sustainability and construction efficiency. In addition, given the superior mechanical properties and resource utilization of cross-laminated bamboo and timber (CLBT), steel-CLBT composite systems hold promise for further enhancing the overall structural performance of steel-timber composite (STC) floors. The composite action of STC systems is governed by the shear performance of their connections. Traditional demountable bolt connections exhibit low stiffness in STC systems. Therefore, this study proposed grouted bolt connections for steel-CLT and steel-CLBT composite structures. Ten sets of push-out specimens were designed to investigate the effects of bolt diameter, bolt strength, grout diameter, and panel type. The test results indicate that steel-CLBT connections failed due to bolt shear, whereas those in the steel-CLT connections exhibited failure modes involving grout crushing, timber crushing, and bolt bending. The grouted bolted connections in the steel-CLBT composite system exhibit significantly higher shear capacity and slip stiffness than those in the steel-CLT composite system (shear capacity increased by 45–70% and slip stiffness increased by 1.8–10 times), albeit with lower ductility. In addition, compared with demountable bolted connections, the grouted bolted connections in the steel-CLBT composite system achieve more than a twofold increase in slip stiffness. Finally, based on the different failure modes, the shear capacity and load-slip behavior of various connections were evaluated and predicted. © 2026 Elsevier Ltd</t>
  </si>
  <si>
    <t>Cross-laminated bamboo and timber (CLBT); Cross-laminated timber (CLT); Grouted bolt connections; Shear performance; Steel</t>
  </si>
  <si>
    <t>Bolts; Composite structures; Concrete construction; Failure modes; Grouting; Laminated composites; Laminating; Mortar; Structural analysis; Structure (composition); Timber; Bolts connection; Cross laminated; Cross-laminated bamboo and timber; Cross-laminated timber; Grouted bolt connection; Grouted bolts; Laminated bamboo; Laminated timber; Shear performance; Steel</t>
  </si>
  <si>
    <t>Y. Wei; College of Civil Engineering, Nanjing Forestry University, Nanjing, 210037, China; email: wy78@njfu.edu.cn</t>
  </si>
  <si>
    <t>TWASD</t>
  </si>
  <si>
    <t>Thin-Walled Struct</t>
  </si>
  <si>
    <t>2-s2.0-105028293951</t>
  </si>
  <si>
    <t>Paper ID</t>
  </si>
  <si>
    <t>Criteria 1 - Cross-Laminated-Timber</t>
  </si>
  <si>
    <t>Criteria 2 - Sustainability</t>
  </si>
  <si>
    <t>Criteria 3 - Concrete</t>
  </si>
  <si>
    <t>Criteria 4 - Floor</t>
  </si>
  <si>
    <t>Relevance</t>
  </si>
  <si>
    <t>Reason not relevant</t>
  </si>
  <si>
    <t>Reviewer 1</t>
  </si>
  <si>
    <t>Reviewer 2</t>
  </si>
  <si>
    <t>Paul</t>
  </si>
  <si>
    <t>Luca</t>
  </si>
  <si>
    <t xml:space="preserve">,  </t>
  </si>
  <si>
    <t>Keywords (CLT, floor, sustainability, concrete)</t>
  </si>
  <si>
    <t>Primary focus is a CLT floor system</t>
  </si>
  <si>
    <t>Sustainability is focused on</t>
  </si>
  <si>
    <t>CLT system is compared to concrete system</t>
  </si>
  <si>
    <t>Has directly (D), indirectly (I), or nothing (N) to do with the research question</t>
  </si>
  <si>
    <t>Relevant (Y)  Not relevant (N) Backup (B)</t>
  </si>
  <si>
    <t>Abstract Selected      yes (1)       no (0)</t>
  </si>
  <si>
    <t>Reason not relevant (if needed)</t>
  </si>
  <si>
    <t>Sum</t>
  </si>
  <si>
    <t>D</t>
  </si>
  <si>
    <t>Y</t>
  </si>
  <si>
    <t>y</t>
  </si>
  <si>
    <t>EVERYONE</t>
  </si>
  <si>
    <t>I</t>
  </si>
  <si>
    <t>B</t>
  </si>
  <si>
    <t>Looks at connections extensively within floor but other focuses and criteria are touched upon</t>
  </si>
  <si>
    <t>N</t>
  </si>
  <si>
    <t>Sustainability not taken into account</t>
  </si>
  <si>
    <t xml:space="preserve">mostly about sound performance </t>
  </si>
  <si>
    <t>Doesn't envolve anything sustainability related</t>
  </si>
  <si>
    <t xml:space="preserve"> focuses more on structural aspects</t>
  </si>
  <si>
    <t>Talks about beams instead of floors</t>
  </si>
  <si>
    <t>looks more into automation and sesimic performance</t>
  </si>
  <si>
    <t>mostly focused on TCC which is a combination of the two elements is not a comparative analysis</t>
  </si>
  <si>
    <t>TOTAL</t>
  </si>
  <si>
    <t>Biobliographic Information</t>
  </si>
  <si>
    <t>General</t>
  </si>
  <si>
    <t>Case Study</t>
  </si>
  <si>
    <t>Methods</t>
  </si>
  <si>
    <t>Relevant Data</t>
  </si>
  <si>
    <t>Year of Publication</t>
  </si>
  <si>
    <r>
      <t xml:space="preserve">Research Subject
</t>
    </r>
    <r>
      <rPr>
        <sz val="8"/>
        <color theme="4"/>
        <rFont val="Calibri"/>
        <family val="2"/>
        <scheme val="minor"/>
      </rPr>
      <t>(short description of the object that is being studied to achieve the aim)</t>
    </r>
  </si>
  <si>
    <r>
      <t xml:space="preserve">Aim of the Research
</t>
    </r>
    <r>
      <rPr>
        <sz val="8"/>
        <color theme="4"/>
        <rFont val="Calibri"/>
        <family val="2"/>
        <scheme val="minor"/>
      </rPr>
      <t>(cite the stated aim of the research)</t>
    </r>
  </si>
  <si>
    <r>
      <t xml:space="preserve">Main Conclusion
</t>
    </r>
    <r>
      <rPr>
        <sz val="8"/>
        <color theme="4"/>
        <rFont val="Calibri"/>
        <family val="2"/>
        <scheme val="minor"/>
      </rPr>
      <t>(cite the stated main conclusion of the research)</t>
    </r>
  </si>
  <si>
    <r>
      <t xml:space="preserve">Methodology 
</t>
    </r>
    <r>
      <rPr>
        <sz val="8"/>
        <color theme="4"/>
        <rFont val="Calibri"/>
        <family val="2"/>
        <scheme val="minor"/>
      </rPr>
      <t>(1 sentence description on how the research was conducted, research methods chosen)</t>
    </r>
  </si>
  <si>
    <r>
      <t xml:space="preserve">Case Study
</t>
    </r>
    <r>
      <rPr>
        <sz val="8"/>
        <color theme="4"/>
        <rFont val="Calibri"/>
        <family val="2"/>
        <scheme val="minor"/>
      </rPr>
      <t>(is there a case study adopted as part of this research? 1 = yes, 0 = no)</t>
    </r>
  </si>
  <si>
    <t>Continent</t>
  </si>
  <si>
    <t>Country</t>
  </si>
  <si>
    <t>City</t>
  </si>
  <si>
    <t>Climate (if relevant)</t>
  </si>
  <si>
    <t>Scale (if relevant)</t>
  </si>
  <si>
    <t>Type (if relevant)</t>
  </si>
  <si>
    <t>Data Collection Methods</t>
  </si>
  <si>
    <t>Data Date</t>
  </si>
  <si>
    <t>Data Source</t>
  </si>
  <si>
    <t>Data Analysis Methods</t>
  </si>
  <si>
    <t xml:space="preserve">Field of study </t>
  </si>
  <si>
    <t xml:space="preserve">Embodied energy </t>
  </si>
  <si>
    <t>Component analysed</t>
  </si>
  <si>
    <t xml:space="preserve">Similar spans compared </t>
  </si>
  <si>
    <t>Analysis of the enviromental impact</t>
  </si>
  <si>
    <t xml:space="preserve">Comparison of  effectiveness of solutions </t>
  </si>
  <si>
    <t>Feasability</t>
  </si>
  <si>
    <t>Life cycle environmental impacts of timber vs. concrete floor slabs. The study focuses on "Cross-laminated timber (CLT), an engineered wood product (EWP)" and "conventional reinforced concrete (RC) slab systems."</t>
  </si>
  <si>
    <t>"In this study, the environmental impacts of five slab systems are evaluated and compared using the life cycle assessment (LCA) methodology... providing insights into selecting sustainable slab solutions."</t>
  </si>
  <si>
    <t>" Timber variants like AFCLT2 are the most sustainable, while the concrete slab's GWP was "1784.3% higher than that of AFCLT2."</t>
  </si>
  <si>
    <t>“The research was conducted using a cradle-to-grave Life Cycle Assessment (LCA) in SimaPro with Ecoinvent data, comparing five slab systems (SCLT, AFCLT1–3, and RC) across production, construction, use, end-of-life, and recycling phases using CML environmental impact indicators.”</t>
  </si>
  <si>
    <t>Europe</t>
  </si>
  <si>
    <t>Sweden</t>
  </si>
  <si>
    <t>Stockholm</t>
  </si>
  <si>
    <t>Nordic climate</t>
  </si>
  <si>
    <t>1 m² slab structure over 50-year lifespan</t>
  </si>
  <si>
    <t>LCA of timber and reinforced concrete slab systems</t>
  </si>
  <si>
    <t>“Data were collected through secondary sources including the Ecoinvent v3.5 database, published experimental tests, ISO/EN standards, and previous life cycle assessment case studies; material quantities, transport distances, electricity mixes, and manufacturing assumptions were then modeled in SimaPro software for the slab systems.”</t>
  </si>
  <si>
    <t>SimaPro v9.4.0.3 with Ecoinvent v3.5 datasets</t>
  </si>
  <si>
    <t>“Data were analyzed using Life Cycle Assessment (LCA) and Life Cycle Impact Assessment (LCIA) in SimaPro software, where inventory data were converted into environmental impact indicators using the CML characterization method to compare the environmental performance of the slab systems across their full life cycles.”</t>
  </si>
  <si>
    <t>Structural engineering</t>
  </si>
  <si>
    <t>“RC recorded substantially higher absolute impacts, including GWP 67.422 kg CO2-eq, AP 0.205 kg SO2 eq, and FAETP 20.409 kg 1.4-DCB eq, defining it as the worst option in this study set.”</t>
  </si>
  <si>
    <t>“This study used LCA methodology to evaluate the environmental performance of five structural slab systems: SCLT, AFCLT1, AFCLT2, AFCLT3, and RC slab.”</t>
  </si>
  <si>
    <t>“AFCLT2 showed the lowest total impacts overall, while RC ranked highest in 8/10 categories.”</t>
  </si>
  <si>
    <t>“The RC slab had the highest negative impact on the environment among the five studied slab systems based on most impact categories.”</t>
  </si>
  <si>
    <t>“Replacing RC slabs with CLT-based slabs (preferably AFCLT2-type designs) can yield large, quantified reductions at the slab level.”</t>
  </si>
  <si>
    <t>Life-cycle enviromental and energy performance of Ply-lam cross-laminated timber (CLT) envelopes compared with reinforced concrete (RC) apartment envelopes, with emphasis on thermal bridges, operational energy use and global warming potential</t>
  </si>
  <si>
    <t>"To adress these gaps, this study (i) develops an integrated evaluation framework that combines ISO 10,211-based junction modeling, calibrated whole-building energy simulation, and EN 15,804-compliant life-cycle assessment..."</t>
  </si>
  <si>
    <t>"This study investigated the performance of ply-lam CLT as an alternative envelope system to RC in Korean multi-family housing, with particular emphasis on the influence of junction thermal bridges. ISO 10,211-based finite element modeling and whole-building simulations confirmed that CLT can reduce total junction-related heat losses by nearly 90 % and the lower 30-year life-cycle GWP by approximately 10 % compared with RC."</t>
  </si>
  <si>
    <t>"This study consisted of three consecutive steps. First, a whole-building energy simulation was conducted... Second, representative junction thermal bridges were modeled in compliance with ISO
10,211 using Physibel TRISCO2D... Third, the environmental impacts were assessed by combining the operational global warming potential (GWP) over a 30-year service life with the embodied GWP calculated from the life-cycle inventory data in accordance with EN 15,804."</t>
  </si>
  <si>
    <t>Asia</t>
  </si>
  <si>
    <t>South Korea</t>
  </si>
  <si>
    <t>Seoul</t>
  </si>
  <si>
    <t>Seoul Test Reference Year (TRY) weather data</t>
  </si>
  <si>
    <t>21-story apartment building, 80 households</t>
  </si>
  <si>
    <t>RC vs Ply-lam CLT envelope comparison</t>
  </si>
  <si>
    <t>Japan</t>
  </si>
  <si>
    <t>n/a</t>
  </si>
  <si>
    <t>Agricultural Science</t>
  </si>
  <si>
    <t>Quotes</t>
  </si>
  <si>
    <t>Page number</t>
  </si>
  <si>
    <t>Topic 1</t>
  </si>
  <si>
    <t>Topic 2</t>
  </si>
  <si>
    <t>Topic 3</t>
  </si>
  <si>
    <t>Topic 4</t>
  </si>
  <si>
    <t>Topic 5</t>
  </si>
  <si>
    <t>Topic 6</t>
  </si>
  <si>
    <t>Topic 7</t>
  </si>
  <si>
    <r>
      <t>Other</t>
    </r>
    <r>
      <rPr>
        <b/>
        <sz val="8"/>
        <rFont val="Calibri"/>
        <family val="2"/>
        <scheme val="minor"/>
      </rPr>
      <t xml:space="preserve"> (mention topic)</t>
    </r>
  </si>
  <si>
    <t>paper ID</t>
  </si>
  <si>
    <t>*NOTE! There are three columns to paste the full texts, because a full paper will not 'fit' in a single excel cell. So you have to divide the paper into two or three section to copy paste. NOTE! Don't copy/paste the references as part of the full papers, this will give false positives!</t>
  </si>
  <si>
    <t>*NOTE! You can 'hide' certain columns, for example you can hide B-C-D and E-F-G and I-J-K, and M-N-O and so on. This way you get a really 'clean' sheet. But you can only hide B-C-D after copy pasting all the full paper texts</t>
  </si>
  <si>
    <t>keyword 1</t>
  </si>
  <si>
    <t>keyword 2</t>
  </si>
  <si>
    <t>keyword 3</t>
  </si>
  <si>
    <t>keyword 4</t>
  </si>
  <si>
    <t>keyword 5</t>
  </si>
  <si>
    <t>keyword 6</t>
  </si>
  <si>
    <t xml:space="preserve">tot count keywords 1, 2, 3 </t>
  </si>
  <si>
    <t>count keywords 1,2,3 YES OR NO</t>
  </si>
  <si>
    <t>your own evaluation</t>
  </si>
  <si>
    <t>text paper 1 - part 1 (e.g. keyword 1)</t>
  </si>
  <si>
    <t>text paper 1 - part 2 (e.g. keyword 2)</t>
  </si>
  <si>
    <t>text paper 1 - part 3</t>
  </si>
  <si>
    <t xml:space="preserve">text paper 2 - part 1 </t>
  </si>
  <si>
    <t>text paper 2 - part 2 (e.g. keyword 2)</t>
  </si>
  <si>
    <t>etc. (e.g. keyword 2, keyword 3, keyword 1)</t>
  </si>
  <si>
    <t>text paper 3 - part 1 (e.g. keyword 3)</t>
  </si>
  <si>
    <t>etc. (e.g. keyword 4, keyword 5, keyword 6, keyword 4, keywrod 5, keyword 6, keyword 1, keyword 2)</t>
  </si>
  <si>
    <t>Feel free to add as many tabs as you need to make your data extraction as clear as possible!</t>
  </si>
  <si>
    <t>Comparing the environmental impact and cost of CLT floor slabs versus reinforced concrete slabs when used to repair small-scale bridges.</t>
  </si>
  <si>
    <t>Daisen</t>
  </si>
  <si>
    <t>10m long bridge that is 3.3m wide</t>
  </si>
  <si>
    <t>CLT made from japanese cedar floor slabs compared to reinforced concrete</t>
  </si>
  <si>
    <t>Same bridge span is compared, with exactly the same placement of steel beams underneath for support. Maximum loading was set to be the same at 40kN</t>
  </si>
  <si>
    <t>SH apartment drawings; Seoul TRY weather data; Ecoinvent v3.11 datasets; DesignBuilder; Physibel TRISCO2D</t>
  </si>
  <si>
    <t>"First, a whole-building energy simulation was conducted using certified datasets, occupant-based activity profiles, and standardized building envelope data..." and  "In this study, housing drawings provided by SH (Seoul Housing &amp; Urban Development Corporation) were employed"</t>
  </si>
  <si>
    <t>"Second, representative junction thermal bridges were modeled in compliance with ISO 10,211 using Physibel TRISCO2D..." and "Third, the environmental impacts were assessed by combining the operational global warming potential (GWP) over a 30-year service life with the embodied GWP calculated from the life-cycle inventory data in accordance with EN 15,804. "</t>
  </si>
  <si>
    <t xml:space="preserve">Sustainable building engineering </t>
  </si>
  <si>
    <t>yes</t>
  </si>
  <si>
    <t>"CLT can reduce total junction-related heat losses by nearly 90 % and the lower 30-year life-cycle GWP by approximately 10% compared with RC."</t>
  </si>
  <si>
    <t>Wall–external floor, wall–roof, wall–internal floor, and corner junctions</t>
  </si>
  <si>
    <t>High effectiveness of Ply-lam CLT envelopes due to lower heat loss and lower 30-year GWP compared with RC</t>
  </si>
  <si>
    <t>High feasibility of Ply-lam CLT as a low-carbon alternative to reinforced concrete for ZEB-level multi-family residential buildings.</t>
  </si>
  <si>
    <t>Embodied emissions of 46 kgCO₂eq/m² (RC); 10–18 kgCO₂eq/m² (CLT); −80 kgCO₂eq/m² biogenic storage</t>
  </si>
  <si>
    <t>Comparative assessment of embodied and operational greenhouse gas emissions of CLT and glulam systems in nearly zero energy residential buildings</t>
  </si>
  <si>
    <t>"The objective of this paper is to assess and compare the
embodied and operational GHG emissions of wood-based
construction systems, namely CLT and glulam, from two
nearly Zero Energy Buildings. "</t>
  </si>
  <si>
    <t>"Given the results above, the advantage in terms of GHG
emissions reduction from the use of CLT is mainly to sub-
stitute structural concrete elements in the stairwells and
elevator shafts of Vallen Norra Building A. This may
produce a 6% of potential reduction of embodied GHG
emissions."</t>
  </si>
  <si>
    <t>The research was conducted using Life Cycle Assessment (LCA) methodology according to ISO 14040/44 standards to evaluate and compare embodied and operational greenhouse gas emissions in CLT and glulam nearly zero energy residential buildings.</t>
  </si>
  <si>
    <t xml:space="preserve">Europe </t>
  </si>
  <si>
    <t>Norway and Sweden</t>
  </si>
  <si>
    <t>Trondheim and Växjö</t>
  </si>
  <si>
    <t xml:space="preserve">Nordic climate </t>
  </si>
  <si>
    <t>Residential nearly zero energy buildings with heated floor areas of 3801 m² and 3483 m² over a 50-year service life</t>
  </si>
  <si>
    <t>Comparative LCA of CLT and glulam residential building structural systems</t>
  </si>
  <si>
    <t>"Information on the building mass and material composition of the two buildings was retrieved from a databased provided by the building owners and from architectural drawings."</t>
  </si>
  <si>
    <t>2017 operational energy data; published in 2019</t>
  </si>
  <si>
    <t>Norwegian and Swedish Environmental Product Declarations (EPDs), CAD drawings, building inventories, and Building Management Systems</t>
  </si>
  <si>
    <t>"Life cycle assessment (LCA) methodology is used to evaluate GHG emissions according to ISO 14040/44 (ISO 14040:2006, ISO 14044:2006) for the principles and framework for LCA methodology, EN 15978 (EN 15978:2011) for the assessment of the building performance of buildings and EN 15804 (EN WOOD MATERIAL SCIENCE &amp; ENGINEERING 345 15804:2012+A1:2013 2014) for assessment of a building at product level and sets a core rules for construction products Environmental product declaration (EPD)."</t>
  </si>
  <si>
    <t>Sustainable building engineering</t>
  </si>
  <si>
    <t>227.3 kgCO₂eq/m² (Vallen Norra Building A); 114.3 kgCO₂eq/m² (Moholt Allmenning Tower B)</t>
  </si>
  <si>
    <t>External wall and internal floor structural systems using CLT, glulam, LVL, and concrete</t>
  </si>
  <si>
    <t>High effectiveness of CLT due to lower embodied GHG emissions and reduced concrete use compared with glulam/concrete systems</t>
  </si>
  <si>
    <t>High feasibility of CLT as a low-carbon structural solution for nearly zero energy residential buildings</t>
  </si>
  <si>
    <t>"The results show that the use of CLT has the largest reduction of total GHG emissions due to substituting concrete elements in the structural frame."</t>
  </si>
  <si>
    <t>No</t>
  </si>
  <si>
    <t>Investigation of stiffness, strength, and load-slip performance of Mass Timber Panel-Concrete composite floor connections with self-tapping screws and insulation layers</t>
  </si>
  <si>
    <t>"The main goal of this connection test program was to provide preliminary test data to assist in the development of an analytical model to predict connection lateral stiffness and strength considering the insulation layer in the MTPC system."</t>
  </si>
  <si>
    <t>"Therefore, it can be concluded that the connection properties are heavily influenced by the insulation thickness compared to the insertion angle, embedment length, and orientation of screws."</t>
  </si>
  <si>
    <t>North America</t>
  </si>
  <si>
    <t>Canada</t>
  </si>
  <si>
    <t>Edmonton</t>
  </si>
  <si>
    <t xml:space="preserve">Not specified </t>
  </si>
  <si>
    <t>MTPC floor connection specimens with 400 mm long MTP elements and 75 mm concrete slabs</t>
  </si>
  <si>
    <t>Experimental timber-concrete composite floor connection testing</t>
  </si>
  <si>
    <t>The research was conducted through a connection test program at the I.F. Morrison Structural Engineering Laboratory, where 96 shear connection tests with 32 different configurations were performed to evaluate MTPC composite floor connections.</t>
  </si>
  <si>
    <t>2018–2019</t>
  </si>
  <si>
    <t>Laboratory tests at the I.F. Morrison Structural Engineering Laboratory using CLT, GLT, CLP, concrete, and self-tapping screw specimens</t>
  </si>
  <si>
    <t>"The load-slip curves were obtained by taking the average displacement of four LVDTs and applied load on the specimen
recorded by the load cell..." and "In total, 96 shear connection
tests with 32 different configurations were performed."</t>
  </si>
  <si>
    <t>"The load-slip curves were obtained by taking the average dis-
placement of four LVDTs and applied load on the specimen
recorded by the load cell" and "The stiffness was quantified by the load-slip modulus at three different load levels"</t>
  </si>
  <si>
    <t>Not analysed</t>
  </si>
  <si>
    <t>CLT, GLT, CLP timber-concrete composite floor connections with self-tapping screws and insulation layers</t>
  </si>
  <si>
    <t>N/a</t>
  </si>
  <si>
    <t>"To enhance acoustic performance of timber-concrete composite floor, an insulation layer is commonly inserted between timber and concrete layers. The purpose of the insulation is to absorb the noise induced by foot traffic from the upper level of the floor and give acoustic comfort to the occupants beneath the floor. "</t>
  </si>
  <si>
    <t>“Structural design of hybrid steel-timber buildings for lower production stage embodied carbon emissions.”</t>
  </si>
  <si>
    <t>“The goal of this study was to build on prior research by conducting a broader and more thorough evaluation of the most efficient structural designs of hybrid steel-timber floor cross sections with the objective of lowering production stage embodied GWP.” </t>
  </si>
  <si>
    <t>“The goal of this study was to build on prior research by conducting a broader and more thorough evaluation of the most efficient structural designs of hybrid steel-timber floor cross sections with the objective of lowering production stage embodied GWP.”</t>
  </si>
  <si>
    <t>“The study evaluated several possible configurations of steel-timber hybrid floors comprised of cross laminated timber (CLT) panels and wide-flange steel beams.”</t>
  </si>
  <si>
    <t>High effectiveness of 30° self-tapping screw configurations due to increased connection stiffness and strength compared with 45° screw angles.</t>
  </si>
  <si>
    <t>USA</t>
  </si>
  <si>
    <t xml:space="preserve">Pullman, Washington State </t>
  </si>
  <si>
    <t>“The prototype building analyzed was a 19.8 m tall, 5-story office building.” “5-story office building using a 9.1 m × 9.1 m column grid.”</t>
  </si>
  <si>
    <t>High feasibility of MTPC composite floor systems using inclined self-tapping screws, although insulation layers require additional structural consideration.</t>
  </si>
  <si>
    <t>Hybrid steel-timber floor sections</t>
  </si>
  <si>
    <t>“Production stage GWP values are readily available in Environmental Product Declarations (EPDs). GWP was calculated using industry average EPDs for North American products.”</t>
  </si>
  <si>
    <t>Received 9 February; Received from 6 June 2023; Accepted 7 june 2023. Available online 14 June 2023</t>
  </si>
  <si>
    <t>“All EPDs used in the study were published by the respective trade organizations for that industry.”</t>
  </si>
  <si>
    <t>"The main output parameter was the production stage embodied GWP per m2 of floor area.”</t>
  </si>
  <si>
    <t>“Environmental impacts in the building construction industry have never been more important to evaluate and mitigate than today.”</t>
  </si>
  <si>
    <t>Evaluation of embodied carbon emissions and biogenic carbon storage in a honeycomb CLT mass timber building</t>
  </si>
  <si>
    <t>"This study aims to calculate the embodied carbon emissions and biogenic carbon storage of a CLT-based affordable housing project, 340+ Dixwell in New Haven, Connecticut."</t>
  </si>
  <si>
    <t>“Traditional steel-concrete and hybrid steel-timber floor cross sections were compared to determine the potential embodied emissions reductions.”</t>
  </si>
  <si>
    <t>“The floor is the largest structural contributor to the whole building GWP.”</t>
  </si>
  <si>
    <t>“The steel-timber cross section with no topping slab reduced GWP by approximately 40%–45% compared to a steel-concrete cross section.”</t>
  </si>
  <si>
    <t>“The steel-timber prototype building without a topping slab reduced GWP by approximately 35% compared to the steel-concrete prototype building.”</t>
  </si>
  <si>
    <t>“The results from this project demonstrate the best practices for structural design of hybrid steel-timber buildings.”</t>
  </si>
  <si>
    <t>“A preliminary study to quantify the environmental impacts of concrete and cork flooring.”</t>
  </si>
  <si>
    <t>“The goal of this preliminary study was to quantify the environmental impacts of a concrete and a cork-based flooring system that includes CLT.”</t>
  </si>
  <si>
    <t xml:space="preserve"> “The cork-CLT flooring exhibited a lower GWP than its concrete-CLT counterpart did.”</t>
  </si>
  <si>
    <t>“A life-cycle analysis is conducted to focus on a cradle-to-gate comparison of a cork flooring system and a concrete flooring system.”</t>
  </si>
  <si>
    <t xml:space="preserve">United States </t>
  </si>
  <si>
    <t>Portland, OR.</t>
  </si>
  <si>
    <t>“The physical footprint of both systems is 11 m² (roughly 100 square feet).”</t>
  </si>
  <si>
    <t>Concrete-CLT and cork tile-CLT flooring systems.</t>
  </si>
  <si>
    <t>“The analysis will factor in the inputs and outputs from each stage of the life cycle of the product from the extraction or sourcing of raw materials, transportation, manufacturing of the products, to finally transporting to the job site.”</t>
  </si>
  <si>
    <t xml:space="preserve"> EcoInvent Database in SimaPro and adapted for use in GaBi.</t>
  </si>
  <si>
    <t>“TRACI (Tool for Reduction and Assessment of Chemicals and Other Environmental Impacts) was used.”</t>
  </si>
  <si>
    <t>“The development and application of sustainable products for the construction of our built environment.”</t>
  </si>
  <si>
    <t>“The cork system has 25% less GWP than the concrete system.”</t>
  </si>
  <si>
    <t>“The concrete-based system” and “the cork flooring–based system.”</t>
  </si>
  <si>
    <t>“The cradle-to-gate environmental performance of the two flooring systems is different.”</t>
  </si>
  <si>
    <t>“An 11 m² section of concrete flooring resulted in 785 kg of CO2-equivalent air emissions, whereas emissions from the cork flooring system were roughly 25% lower at 574 kg.”</t>
  </si>
  <si>
    <t>“Closing the loop for the production, utilization, and recycling of cork could make it an ideal resource for various green building materials.”</t>
  </si>
  <si>
    <t>"The A1 to A3 results for this honeycomb mass timber building show significantly lower embodied carbon emissions and higher biogenic carbon storage per square foot compared to conventional mass timber buildings such as Adohi Hall and Heartwood."</t>
  </si>
  <si>
    <t>The research was conducted using a Life Cycle Assessment (LCA) methodology aligned with ISO 21931 standards to evaluate embodied carbon emissions and biogenic carbon storage in a honeycomb CLT affordable housing project using Revit material takeoffs and One Click LCA software.</t>
  </si>
  <si>
    <t xml:space="preserve">North America </t>
  </si>
  <si>
    <t xml:space="preserve">New Haven, Connecticut </t>
  </si>
  <si>
    <t>Two four-story residential buildings with total gross area of 8064.4 m²</t>
  </si>
  <si>
    <t>Honeycomb CLT affordable housing project</t>
  </si>
  <si>
    <t>“Influence of different end-of-life cycle scenarios on the environmental impacts of timber-concrete composite floor systems.”</t>
  </si>
  <si>
    <t>“This paper aims to study the environmental impacts of different floor systems for identical loading and span length.”</t>
  </si>
  <si>
    <t>“The CLT-concrete composite slab has the lowest Global Warming Potential (GWP) among the three slabs.”</t>
  </si>
  <si>
    <t>“A comprehensive life cycle assessment (LCA) study was conducted on three different slabs.”</t>
  </si>
  <si>
    <t xml:space="preserve">Luxembourg </t>
  </si>
  <si>
    <t>Luxembourg</t>
  </si>
  <si>
    <t>“Climate was not directly considered in the analysis.”</t>
  </si>
  <si>
    <t>“Each module has a length of 10.8 meters, a width of 10.8 meters, and a height of 3 meters.”</t>
  </si>
  <si>
    <t>“Reinforced Concrete (RC), Steel-Concrete Composite (SCC), and Timber-Concrete Composite (TCC).”</t>
  </si>
  <si>
    <t>“The ÖKOBAUDAT German database was used to calculate the GWP and PE of all the materials.”</t>
  </si>
  <si>
    <t>“The environmental impact is extracted from Stora Enso environmental product declaration.”</t>
  </si>
  <si>
    <t>"Primary data for the analysis were obtained from the design team, which included architectural plans, the Autodesk Revit® model, and the Procore® submittal documents"</t>
  </si>
  <si>
    <t>“Life-Cycle Assessment (LCA) is a common method that is used for the analysis of the environmental impact of products.”</t>
  </si>
  <si>
    <t>Autodesk Revit, One Click LCA, project construction documents, EPDs, Eco Invent, GaBi, and USLCI databases</t>
  </si>
  <si>
    <t>“The construction industry is a major consumer of global resources and contributes greatly to waste generation and greenhouse gas emissions.”</t>
  </si>
  <si>
    <t>“The demanded primary energy of the TCC floor system is half of the RC floor.”</t>
  </si>
  <si>
    <t>“Timber-Concrete Composite (TCC) floor systems.”</t>
  </si>
  <si>
    <t>“The global warming potential of the TCC floor system is one-third of the RC floor.”</t>
  </si>
  <si>
    <t>“By replacing concrete with timber, the environmental impacts of the floor system can be reduced about 30 to 50 percent.”</t>
  </si>
  <si>
    <t>“A demountable and reusable TCC floor system is the most sustainable solution.”</t>
  </si>
  <si>
    <t xml:space="preserve">Sustainable environmental engineering </t>
  </si>
  <si>
    <t>The honeycomb CLT building demonstrated embodied carbon emissions of 157 kg CO₂eq/m² across lifecycle stages A1–A5 and 132 kg CO₂eq/m² for stages A1–A3, while achieving −316 kg CO₂eq/m² of biogenic carbon storage.</t>
  </si>
  <si>
    <t>Substructure, superstructure, enclosure, timber, concrete, metals, glass, and insulation</t>
  </si>
  <si>
    <t>"The embodied carbon of 340+ Dixwell, measured at 157.8 kg CO2 eq./m2, is notably low compared to the ranges presented in the CLF Embodied Carbon Benchmark Study graph...This value highlights 340+ Dixwell’s remarkable
efficiency in reducing embodied carbon. This outcome highlights the project’s successful implementation of strategies to reduce environmental impact compared to similar building types in North America."</t>
  </si>
  <si>
    <t>High effectiveness of the honeycomb CLT system, achieving 132.5 kg CO₂eq/m² embodied carbon emissions and −316.8 kg CO₂eq/m² biogenic carbon storage, demonstrating lower GWP and higher carbon sequestration compared with Adohi Hall and Heartwood.</t>
  </si>
  <si>
    <t>Received 25 April 2019; Received in revised form 15 July 2019; Accepted 15 July 2019</t>
  </si>
  <si>
    <t>High feasibility of honeycomb CLT construction for sustainable affordable housing, achieving 40% lower embodied carbon emissions than the median value for comparable multi-family residential buildings.</t>
  </si>
  <si>
    <t>Evaluation of bending stiffness and yield bending moment of CLT slab–H-shaped steel composite beams for reusable low-carbon structural systems</t>
  </si>
  <si>
    <t>"This study focuses on the secondary beam and evaluates whether the flexural stiffness
and flexural strength of composite beams, comprising CLT floor panels and H-shaped
steel beams connected with high-strength friction bolts, can be simply estimated for design
purposes"</t>
  </si>
  <si>
    <t>“The results from this project demonstrate the best practices for structural design of hybrid steel-timber buildings to reduce global warming potential of the superstructure frame by between 5% and 35% relative to conventional steel and concrete construction.”</t>
  </si>
  <si>
    <t>“Steel-timber hybrid floors comprised of cross laminated timber (CLT) panels and wide-flange steel beams.”</t>
  </si>
  <si>
    <t>“GWP was calculated using industry average EPDs for North American products.”</t>
  </si>
  <si>
    <t>“The steel-timber system without the concrete topping slab has GWP that is approximately 35% lower than the steel-concrete alternative.”</t>
  </si>
  <si>
    <t>Long span cross laminated timber(CLT), timber concrete composite (TCC) floor systems using different shear connectors</t>
  </si>
  <si>
    <t>The study concluded that detachable CLT floor panels connected to H-shaped steel beams using high-strength bolt friction joints significantly improved flexural stiffness and strength while supporting component reuse and reducing environmental impact in steel structural systems.</t>
  </si>
  <si>
    <t>“The objective of the research program presented herein was to investigate long-span CLT TCC floors systems with three different shear connectors.”</t>
  </si>
  <si>
    <t>The study concluded that adding a 150 mm concrete topping significantly improved the shear capacity of CLT floors by up to 167%, while TCC systems with steel kerf plates achieved the highest stiffness, capacity, and economic efficiency for long-span floor applications.</t>
  </si>
  <si>
    <t>The research used experimental testing on full-scale and half-scale CLT timber-concrete-composite floor specimens under four-point bending to evaluate structural behaviour, stiffness, shear capacity, flexural performance, and the effectiveness of three different shear connector systems.</t>
  </si>
  <si>
    <t>"In Section 2, two-surface friction tests between steel plates and
CLT, connected by high-strength friction bolts, were conducted with bolt clamping force as a variable. In Section 3, four-point bending tests were performed on composite beams."</t>
  </si>
  <si>
    <t xml:space="preserve">Osaka/Sendai </t>
  </si>
  <si>
    <t>Four-story office building model with 9 m girders and 5.5 m secondary beam spans</t>
  </si>
  <si>
    <t>CLT slab–H-shaped steel composite beam system</t>
  </si>
  <si>
    <t>Toronto/ Prince George/ Vancouver</t>
  </si>
  <si>
    <t xml:space="preserve">Cold continental </t>
  </si>
  <si>
    <t>"The static friction force between the CLT panels tightened with high-strength bolts M16
(F10T) [46] and the steel plates was evaluated using two-surface friction tests conducted
with an Amsler testing machine"</t>
  </si>
  <si>
    <t xml:space="preserve">Half-scale (4,8m) and full-scale (9,6 m) floor systems </t>
  </si>
  <si>
    <t>Amsler testing machine, CLT panels, H-shaped steel beams, strain gauges, and four-point bending experiments</t>
  </si>
  <si>
    <t xml:space="preserve">Experimental structural testing of CLT timber- concrete-composite floor systems </t>
  </si>
  <si>
    <t>The data were analysed using load–displacement relationships, static friction force calculations, bilinear approximation modelling, effective CLT width estimation, and composite beam stiffness and yield strength equations based on the Bernoulli–Navier plane-section assumption.</t>
  </si>
  <si>
    <t xml:space="preserve">" The quantities of materials in the Revit model were converted into volumes (cubic feet) and surface areas (square feet) using Revit’s material takeoff feature...The material quantities were then exported to an Excel sheet for sorting. After sorting, the final quantities were manually input into the One Click LCA (2015)® software." </t>
  </si>
  <si>
    <t>Up to 20% reduction in GWP compared with steel–concrete floor systems.</t>
  </si>
  <si>
    <t>CLT floor panels, H-shaped steel beams, friction bolt joints, composite beams</t>
  </si>
  <si>
    <t>Yes</t>
  </si>
  <si>
    <t>Experimental full-sclae and half-scale four point bending tests in CLT timber-concrete composite floor specimens with different shear connectors</t>
  </si>
  <si>
    <t>Laboratory testing data from CLT-TCC floor specimens at the University of Northern British Columbia</t>
  </si>
  <si>
    <t>Structural performance analysis through load–deflection curves, shear capacity evaluation, flexural capacity assessment, stiffness comparison, and failure mode analysis</t>
  </si>
  <si>
    <t>"To reduce GHG emissions in the construction industry and transition toward environmentally friendly structures, it is essential to develop structural systems that enable these goals and establish appropriate design methodologies"</t>
  </si>
  <si>
    <t>High effectiveness of CLT–steel composite beams due to 20–40% improvements in flexural stiffness achieved through composite action compared with steel beams alone.</t>
  </si>
  <si>
    <t xml:space="preserve">not analysed </t>
  </si>
  <si>
    <t xml:space="preserve">CLT, timber concrete composite floor systems with different shear connectors </t>
  </si>
  <si>
    <t>High feasibility due to reusable bolt-connected CLT–steel systems and improved flexural performance.</t>
  </si>
  <si>
    <t>Not directly, focus is more on material efficiency and structural optimization</t>
  </si>
  <si>
    <t>Steel kerf plate connectors showed the highest stiffness and load capacity compared to screws and HBV mesh connectors</t>
  </si>
  <si>
    <t xml:space="preserve">Feasability for long span mass timber floor construction, applied in "The Arbour" 10 stories building </t>
  </si>
  <si>
    <t>“This study evaluates the carbon mitigation potential of CLT as a nature-based solution through substitution scenarios in a small-scale regional community center.”</t>
  </si>
  <si>
    <t>Carbon mitigation and energy efficiency of hybrid CLT buildings through concrete to CLT substitution in a small regional community center.</t>
  </si>
  <si>
    <t>Substituting concrete with CLT reduced GHG emissions by up to 9.22%, with the product stage showing the highest carbon mitigation potential and the use stage improving because of CLT’s thermal performance.</t>
  </si>
  <si>
    <t>The study used life cycle assessment and energy simulation to compare a reinforced concrete community center with hybrid CLT substitution scenarios for walls and floors across product, construction, use, and end-of-life stages.</t>
  </si>
  <si>
    <t xml:space="preserve">Cold winters, hot and humid summers </t>
  </si>
  <si>
    <t>Small-scale regional community center</t>
  </si>
  <si>
    <t>Hybrid CLT building/public community center case study g</t>
  </si>
  <si>
    <t>Life cycle assessment (LCA), building energy simulation, and scenario-based comparison of CLT substitution ratios</t>
  </si>
  <si>
    <t>Architectural Drawings, material databases, WUFI Plus simulation data and community center building specifications</t>
  </si>
  <si>
    <t>Comparative life cycle carbon emission analysis across product, construction, use, and end of life stages combined with operational energy simulations and scenario evaluations</t>
  </si>
  <si>
    <t>Environmental engineering</t>
  </si>
  <si>
    <t xml:space="preserve">Yes, life cycle embodied carbon and operational energy were analysed for CLT and reinforced concrete systems </t>
  </si>
  <si>
    <t>Hybrid CLT exterior wall system, floors, reinforced concrete components</t>
  </si>
  <si>
    <t>no</t>
  </si>
  <si>
    <t>includes life cycle carbon emissions, operational energy consumption, thermal performance, carbon mitigation potential of CLT substitution</t>
  </si>
  <si>
    <t>Hybrid CLT scenarios with higher substitution ratios(S3-1 and S3-2) showed better energy efficiency and lower life cycle emissions than RC</t>
  </si>
  <si>
    <t xml:space="preserve">feasable for small, mid scale public buildings in cold climated further optimization and policy support required </t>
  </si>
  <si>
    <t xml:space="preserve">Demonstrate the potential of sustainable materials in reducing CO2 emissions </t>
  </si>
  <si>
    <t>Study focuses on the design of  a multi-story office edifice and Neom The Line using CLT and LGS</t>
  </si>
  <si>
    <t xml:space="preserve">Dynamic behavious and vibration serviceability of high frequency CLT floor systems in timber buildings </t>
  </si>
  <si>
    <t>“This paper aims to fill this gap. For that, two bare HFFs made of CLT have been dynamically characterized, and their VSLS have been experimentally assessed.”</t>
  </si>
  <si>
    <t xml:space="preserve">The study concluded that high frequency CLT floors show acceptable structural performance but remain highly sensitive to vibration behaviour, with comfort classifications strongly depending on vibration assesment criteria used </t>
  </si>
  <si>
    <t xml:space="preserve">Although CLT offers many advantages and lower carbon emissions, the reality of construction makes more cost effective solutions such as LGS to be more attrative options </t>
  </si>
  <si>
    <t>The research used operational modal analysis , heel drop tests, walking vibration test on two real CLT floors to experimentally evaluate dynamic respinse, damping, natural frequencies, and vibration serviceability</t>
  </si>
  <si>
    <t>Spain</t>
  </si>
  <si>
    <t>Madrid</t>
  </si>
  <si>
    <t>Mediterannean continental</t>
  </si>
  <si>
    <t>two full scale CLT building floors</t>
  </si>
  <si>
    <t xml:space="preserve">Two identical office buildings were designed each with a height of 40 metres and a floor area of 861 metres squared. Then two instances were compared with this one office building, one in which CLT is being used and the other where LGS is used. The total weight and costs of materials are compared and used to make comparisons between the two in terms of embodied energy, costs etc. </t>
  </si>
  <si>
    <t xml:space="preserve">Experimental case study high frequency CLT floor vibration behaviour </t>
  </si>
  <si>
    <t>Operational modal analysis., heel drop vibration tests, synchronised and free waklking tests using wireless accelerometers</t>
  </si>
  <si>
    <t>Experimental vibration measurements collected from two CLT floors in the Tomás Bretón Building in Madrid</t>
  </si>
  <si>
    <t>Modal parameter identification, damping ratio calculation, frequency response analysis, RMS acceleration analysis, MTVV analysis, and vibration serviceability assessment according to Eurocode 5</t>
  </si>
  <si>
    <t xml:space="preserve">Asia </t>
  </si>
  <si>
    <t xml:space="preserve">Saudi Arabia </t>
  </si>
  <si>
    <t xml:space="preserve">Neom The Line City </t>
  </si>
  <si>
    <t xml:space="preserve">Desert climate </t>
  </si>
  <si>
    <t xml:space="preserve">Civil Engineering/ Structural Engineering </t>
  </si>
  <si>
    <t xml:space="preserve">40 metres multi story office building </t>
  </si>
  <si>
    <t>Indirectly, through low carbon timber construction</t>
  </si>
  <si>
    <t xml:space="preserve">Office </t>
  </si>
  <si>
    <t>high frequency CLT floor systems</t>
  </si>
  <si>
    <t xml:space="preserve">Environmental impact discussed through promotion of low embodied carbon timber materials replacing concrete </t>
  </si>
  <si>
    <t xml:space="preserve">Modelling a the two buildings using 3D softwares and then using ETABS and SAP2000 software programs in order to compile all of the material data of the two buildings. The data from both softwares were then compared with one another. </t>
  </si>
  <si>
    <t>CLT floors provide sustainability benefits but require careful vibration serviceability assesment compared to concrete or composite floors</t>
  </si>
  <si>
    <t>ETABS and SAP2000</t>
  </si>
  <si>
    <t xml:space="preserve"> Given the weight of every material and its material factors, the CO2 emission contributions of every material is calulcated using a formula and then this is compared with the total of each material which is used in each of the buildings to reach a total carbon emission value. The same is done for the costs of each building with the weight of each material also indicating its contribution to the total costs of each building . </t>
  </si>
  <si>
    <t xml:space="preserve">feasable for low and medium rise timber buildings, through vibration comfort remains a critical design limitation </t>
  </si>
  <si>
    <t xml:space="preserve">Seismic response of 3 story hybrid CLT-steel building using CLT steel composite floor diaphragms and concenric X braced steel frames </t>
  </si>
  <si>
    <t>“Through a simplified approach, based on nonlinear static seismic analyses, the influence of the diaphragm’s deformability on the lateral response of a reference building with concentric X-braced steel frames is addressed when subjected to equivalent-static seismic load patterns.”</t>
  </si>
  <si>
    <t xml:space="preserve">Civil Engineering </t>
  </si>
  <si>
    <t>The study concluded that the actual in-plane stiffness of hybrid CLT floor diaphragms reduces building lateral stiffness by 24.2 -27.5%, increases the shear forces in bracing members up to 10.3% and lateral displacement by at least 17%</t>
  </si>
  <si>
    <t xml:space="preserve">"The study reveals
that while the LGS structure incorporates a higher percentage of concrete and reinforcing steel
compared to the CLT counterpart, the CLT structure emits 42% less carbon overall." </t>
  </si>
  <si>
    <t>The study used non linear static pushover analyses with finite element models to compare a deformable CLT steel floor diaphragm model with a rigid diaghragm model under seismic load patterns</t>
  </si>
  <si>
    <t>Italy</t>
  </si>
  <si>
    <t xml:space="preserve">CLT floors and LGS floor systems </t>
  </si>
  <si>
    <t>L'Aquila region</t>
  </si>
  <si>
    <t>moderate to high seismic area</t>
  </si>
  <si>
    <t xml:space="preserve">3 story building, approximately 12,8 total height </t>
  </si>
  <si>
    <t>numeric seismic case study of a hybrid CLT steel building</t>
  </si>
  <si>
    <t xml:space="preserve">The environmental impact of each system is compared in terms of each systems total carbon emissions (embodied energy), and a critical analysis is made at the end of the paper comparingnot only the total carbon emissions of either building but also the costs associated with the two systems. </t>
  </si>
  <si>
    <t xml:space="preserve">CLT floors provide a far improved level of sustainability, with a far lower overall environmental impact with 42% lower overall carbon emitted, however these systems come under the weight of high costs and given the fact that this study focused on a offcie building in Saudi Arabia, material such as timber would also have to be imported. </t>
  </si>
  <si>
    <t xml:space="preserve">Numerical modelling, finite element simulation and nonlinear static seismic analysis </t>
  </si>
  <si>
    <t>Finite element building model calibrated using previous experimental data on hybrid CLT- steel floor diaphragms</t>
  </si>
  <si>
    <t xml:space="preserve">Very feasible for both systems to function for a mid-rise office building, although costs and availability of materials are a concern. </t>
  </si>
  <si>
    <t xml:space="preserve">Nonlinear static pushover analysis, comparison of rigid versus deformable diaphragm models, shear force ratio analysis, lateral displacement analysis, inter story drift assesment </t>
  </si>
  <si>
    <t>not directly, low carbon timber construction is mentioned</t>
  </si>
  <si>
    <t xml:space="preserve">Hybrid CLT steel floor diaphragm and concentric X braced steel frames </t>
  </si>
  <si>
    <t>Environmental impact is not analysed, only the mention of timber as low carbon construction material</t>
  </si>
  <si>
    <t xml:space="preserve">Deformable CLT steel diaphragms were less effective than ideal rigid diaphragms for seismic stiffness and dispacement, but remained structurally viable </t>
  </si>
  <si>
    <t xml:space="preserve">Feasible for multiple story hybrid timber steel buildings , but design must account for diaphragm flexibility and seismic deformation effects </t>
  </si>
  <si>
    <t xml:space="preserve">Full scale experimental investigations into cross laminated timber concrete  composite systems </t>
  </si>
  <si>
    <t xml:space="preserve">Determining the stiffness, ultimate load carrying capacity and failure modes when using three different connectors; self tapping screws, steel kerf plates and proprietary glued in perforated steel plates. The second objective was to determine the effectiveness of shear reinforcement in the CLT panels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</si>
</sst>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11"/>
      <color theme="1"/>
      <name val="Calibri"/>
      <family val="2"/>
      <scheme val="minor"/>
    </font>
    <font>
      <sz val="11"/>
      <color rgb="FFFF0000"/>
      <name val="Calibri"/>
      <family val="2"/>
      <scheme val="minor"/>
    </font>
    <font>
      <sz val="11"/>
      <color theme="1"/>
      <name val="Calibri Light"/>
      <family val="2"/>
      <scheme val="major"/>
    </font>
    <font>
      <sz val="11"/>
      <name val="Calibri"/>
      <family val="2"/>
      <scheme val="minor"/>
    </font>
    <font>
      <b/>
      <sz val="11"/>
      <name val="Calibri"/>
      <family val="2"/>
      <scheme val="minor"/>
    </font>
    <font>
      <b/>
      <sz val="8"/>
      <name val="Calibri"/>
      <family val="2"/>
      <scheme val="minor"/>
    </font>
    <font>
      <sz val="8"/>
      <name val="Calibri"/>
      <family val="2"/>
      <scheme val="minor"/>
    </font>
    <font>
      <sz val="10"/>
      <name val="Calibri Light"/>
      <family val="2"/>
      <scheme val="major"/>
    </font>
    <font>
      <sz val="10"/>
      <name val="Calibri"/>
      <family val="2"/>
      <scheme val="minor"/>
    </font>
    <font>
      <sz val="10"/>
      <name val="Calibri"/>
      <family val="2"/>
    </font>
    <font>
      <sz val="10"/>
      <color theme="1"/>
      <name val="Calibri Light"/>
      <family val="2"/>
      <scheme val="major"/>
    </font>
    <font>
      <sz val="8"/>
      <color theme="4"/>
      <name val="Calibri"/>
      <family val="2"/>
      <scheme val="minor"/>
    </font>
    <font>
      <sz val="8"/>
      <color theme="0" tint="-0.249977111117893"/>
      <name val="Calibri Light"/>
      <family val="2"/>
      <scheme val="major"/>
    </font>
    <font>
      <sz val="8"/>
      <color theme="0" tint="-0.499984740745262"/>
      <name val="Calibri Light"/>
      <family val="2"/>
      <scheme val="major"/>
    </font>
    <font>
      <sz val="5"/>
      <color theme="0" tint="-0.249977111117893"/>
      <name val="Calibri Light"/>
      <family val="2"/>
      <scheme val="major"/>
    </font>
    <font>
      <sz val="11"/>
      <color rgb="FFFF0000"/>
      <name val="Calibri Light"/>
      <family val="2"/>
      <scheme val="major"/>
    </font>
    <font>
      <sz val="10"/>
      <color theme="1"/>
      <name val="Calibri"/>
      <family val="2"/>
      <scheme val="minor"/>
    </font>
    <font>
      <sz val="8"/>
      <color theme="1"/>
      <name val="Calibri"/>
      <family val="2"/>
      <scheme val="minor"/>
    </font>
    <font>
      <sz val="26"/>
      <color rgb="FFFF0000"/>
      <name val="Calibri"/>
      <family val="2"/>
      <scheme val="minor"/>
    </font>
    <font>
      <u/>
      <sz val="11"/>
      <color theme="10"/>
      <name val="Calibri"/>
      <family val="2"/>
    </font>
    <font>
      <sz val="9"/>
      <name val="Arial"/>
    </font>
    <font>
      <sz val="10"/>
      <name val="Calibri Light"/>
      <scheme val="major"/>
    </font>
    <font>
      <sz val="11"/>
      <name val="Calibri"/>
      <family val="2"/>
    </font>
    <font>
      <sz val="10"/>
      <color rgb="FF000000"/>
      <name val="Calibri Light"/>
      <scheme val="major"/>
    </font>
    <font>
      <sz val="10"/>
      <color rgb="FFFF0000"/>
      <name val="Calibri Light"/>
      <family val="2"/>
      <scheme val="major"/>
    </font>
    <font>
      <sz val="10"/>
      <color theme="7"/>
      <name val="Calibri Light"/>
      <family val="2"/>
      <scheme val="maj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EBF3FB"/>
        <bgColor rgb="FF000000"/>
      </patternFill>
    </fill>
    <fill>
      <patternFill patternType="solid">
        <fgColor theme="4" tint="0.39997558519241921"/>
        <bgColor indexed="64"/>
      </patternFill>
    </fill>
    <fill>
      <patternFill patternType="solid">
        <fgColor rgb="FFFF0000"/>
        <bgColor indexed="64"/>
      </patternFill>
    </fill>
    <fill>
      <patternFill patternType="solid">
        <fgColor theme="7"/>
        <bgColor indexed="64"/>
      </patternFill>
    </fill>
  </fills>
  <borders count="25">
    <border>
      <left/>
      <right/>
      <top/>
      <bottom/>
      <diagonal/>
    </border>
    <border>
      <left/>
      <right/>
      <top/>
      <bottom style="thin">
        <color indexed="64"/>
      </bottom>
      <diagonal/>
    </border>
    <border>
      <left/>
      <right/>
      <top style="thin">
        <color theme="6"/>
      </top>
      <bottom style="thin">
        <color indexed="64"/>
      </bottom>
      <diagonal/>
    </border>
    <border>
      <left/>
      <right/>
      <top/>
      <bottom style="thin">
        <color theme="1"/>
      </bottom>
      <diagonal/>
    </border>
    <border>
      <left style="thin">
        <color theme="0" tint="-0.14999847407452621"/>
      </left>
      <right style="thin">
        <color theme="0" tint="-0.34998626667073579"/>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thin">
        <color theme="0" tint="-0.34998626667073579"/>
      </left>
      <right style="thin">
        <color theme="0" tint="-0.34998626667073579"/>
      </right>
      <top style="thin">
        <color theme="0" tint="-0.14999847407452621"/>
      </top>
      <bottom style="thin">
        <color theme="0" tint="-0.14999847407452621"/>
      </bottom>
      <diagonal/>
    </border>
    <border>
      <left/>
      <right style="thin">
        <color theme="0" tint="-0.24994659260841701"/>
      </right>
      <top style="thin">
        <color theme="0" tint="-0.14999847407452621"/>
      </top>
      <bottom style="thin">
        <color theme="0" tint="-0.14999847407452621"/>
      </bottom>
      <diagonal/>
    </border>
    <border>
      <left style="thin">
        <color theme="0" tint="-0.24994659260841701"/>
      </left>
      <right style="thin">
        <color theme="0" tint="-0.24994659260841701"/>
      </right>
      <top style="thin">
        <color theme="0" tint="-0.14999847407452621"/>
      </top>
      <bottom style="thin">
        <color theme="0" tint="-0.14999847407452621"/>
      </bottom>
      <diagonal/>
    </border>
    <border>
      <left style="thin">
        <color theme="0" tint="-0.14999847407452621"/>
      </left>
      <right style="thin">
        <color theme="0" tint="-0.34998626667073579"/>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right/>
      <top/>
      <bottom style="thin">
        <color theme="0" tint="-0.14999847407452621"/>
      </bottom>
      <diagonal/>
    </border>
    <border>
      <left style="thin">
        <color theme="0" tint="-0.34998626667073579"/>
      </left>
      <right style="thin">
        <color theme="0" tint="-0.34998626667073579"/>
      </right>
      <top/>
      <bottom style="thin">
        <color theme="0" tint="-0.14999847407452621"/>
      </bottom>
      <diagonal/>
    </border>
    <border>
      <left/>
      <right style="thin">
        <color theme="0" tint="-0.24994659260841701"/>
      </right>
      <top/>
      <bottom style="thin">
        <color theme="0" tint="-0.14999847407452621"/>
      </bottom>
      <diagonal/>
    </border>
    <border>
      <left style="thin">
        <color theme="0" tint="-0.24994659260841701"/>
      </left>
      <right style="thin">
        <color theme="0" tint="-0.24994659260841701"/>
      </right>
      <top/>
      <bottom style="thin">
        <color theme="0" tint="-0.14999847407452621"/>
      </bottom>
      <diagonal/>
    </border>
    <border>
      <left style="thin">
        <color theme="0" tint="-0.14999847407452621"/>
      </left>
      <right style="thin">
        <color theme="0" tint="-0.34998626667073579"/>
      </right>
      <top style="thin">
        <color theme="0" tint="-0.14999847407452621"/>
      </top>
      <bottom style="thin">
        <color indexed="64"/>
      </bottom>
      <diagonal/>
    </border>
    <border>
      <left/>
      <right style="thin">
        <color theme="0" tint="-0.14999847407452621"/>
      </right>
      <top style="thin">
        <color theme="0" tint="-0.14999847407452621"/>
      </top>
      <bottom style="thin">
        <color indexed="64"/>
      </bottom>
      <diagonal/>
    </border>
    <border>
      <left style="thin">
        <color theme="0" tint="-0.14999847407452621"/>
      </left>
      <right style="thin">
        <color theme="0" tint="-0.14999847407452621"/>
      </right>
      <top style="thin">
        <color theme="0" tint="-0.14999847407452621"/>
      </top>
      <bottom style="thin">
        <color indexed="64"/>
      </bottom>
      <diagonal/>
    </border>
    <border>
      <left/>
      <right/>
      <top style="thin">
        <color theme="0" tint="-0.14999847407452621"/>
      </top>
      <bottom style="thin">
        <color indexed="64"/>
      </bottom>
      <diagonal/>
    </border>
    <border>
      <left style="thin">
        <color theme="0" tint="-0.34998626667073579"/>
      </left>
      <right style="thin">
        <color theme="0" tint="-0.34998626667073579"/>
      </right>
      <top style="thin">
        <color theme="0" tint="-0.14999847407452621"/>
      </top>
      <bottom style="thin">
        <color indexed="64"/>
      </bottom>
      <diagonal/>
    </border>
    <border>
      <left/>
      <right style="thin">
        <color theme="0" tint="-0.24994659260841701"/>
      </right>
      <top style="thin">
        <color theme="0" tint="-0.14999847407452621"/>
      </top>
      <bottom style="thin">
        <color indexed="64"/>
      </bottom>
      <diagonal/>
    </border>
    <border>
      <left style="thin">
        <color theme="0" tint="-0.24994659260841701"/>
      </left>
      <right style="thin">
        <color theme="0" tint="-0.24994659260841701"/>
      </right>
      <top style="thin">
        <color theme="0" tint="-0.14999847407452621"/>
      </top>
      <bottom style="thin">
        <color indexed="64"/>
      </bottom>
      <diagonal/>
    </border>
  </borders>
  <cellStyleXfs count="2">
    <xf numFmtId="0" fontId="0" fillId="0" borderId="0"/>
    <xf numFmtId="0" fontId="20" fillId="0" borderId="0">
      <alignment vertical="top"/>
      <protection locked="0"/>
    </xf>
  </cellStyleXfs>
  <cellXfs count="115">
    <xf numFmtId="0" fontId="0" fillId="0" borderId="0" xfId="0"/>
    <xf numFmtId="0" fontId="0" fillId="0" borderId="0" xfId="0" applyAlignment="1">
      <alignment horizontal="center" vertical="center"/>
    </xf>
    <xf numFmtId="0" fontId="0" fillId="0" borderId="0" xfId="0" applyAlignment="1">
      <alignment horizontal="left" vertical="top"/>
    </xf>
    <xf numFmtId="0" fontId="0" fillId="0" borderId="0" xfId="0" applyAlignment="1">
      <alignment wrapText="1"/>
    </xf>
    <xf numFmtId="0" fontId="0" fillId="0" borderId="0" xfId="0" applyAlignment="1">
      <alignment vertical="center"/>
    </xf>
    <xf numFmtId="0" fontId="0" fillId="0" borderId="0" xfId="0" applyAlignment="1">
      <alignment horizontal="center"/>
    </xf>
    <xf numFmtId="0" fontId="0" fillId="0" borderId="0" xfId="0" applyAlignment="1">
      <alignment horizontal="left" vertical="top" wrapText="1"/>
    </xf>
    <xf numFmtId="0" fontId="0" fillId="2" borderId="0" xfId="0" applyFill="1"/>
    <xf numFmtId="0" fontId="2" fillId="0" borderId="0" xfId="0" applyFont="1"/>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3" xfId="0" applyFont="1" applyBorder="1" applyAlignment="1">
      <alignment vertical="top" wrapText="1"/>
    </xf>
    <xf numFmtId="0" fontId="5" fillId="0" borderId="3" xfId="0" applyFont="1" applyBorder="1" applyAlignment="1">
      <alignment vertical="top"/>
    </xf>
    <xf numFmtId="0" fontId="5" fillId="0" borderId="2" xfId="0" applyFont="1" applyBorder="1" applyAlignment="1">
      <alignment vertical="top" wrapText="1"/>
    </xf>
    <xf numFmtId="0" fontId="4" fillId="0" borderId="3" xfId="0" applyFont="1" applyBorder="1" applyAlignment="1">
      <alignment vertical="top"/>
    </xf>
    <xf numFmtId="0" fontId="0" fillId="0" borderId="3" xfId="0" applyBorder="1" applyAlignment="1">
      <alignment vertical="top"/>
    </xf>
    <xf numFmtId="0" fontId="0" fillId="0" borderId="0" xfId="0" applyAlignment="1">
      <alignment vertical="top"/>
    </xf>
    <xf numFmtId="0" fontId="0" fillId="0" borderId="0" xfId="0" applyAlignment="1">
      <alignment horizontal="center" vertical="top"/>
    </xf>
    <xf numFmtId="0" fontId="5" fillId="0" borderId="0" xfId="0" applyFont="1" applyAlignment="1">
      <alignment horizontal="left" vertical="top" wrapText="1"/>
    </xf>
    <xf numFmtId="0" fontId="5" fillId="0" borderId="3" xfId="0" applyFont="1" applyBorder="1" applyAlignment="1">
      <alignment horizontal="left" vertical="top" wrapText="1"/>
    </xf>
    <xf numFmtId="0" fontId="8" fillId="0" borderId="0" xfId="0" applyFont="1" applyAlignment="1">
      <alignment horizontal="left" vertical="top" wrapText="1"/>
    </xf>
    <xf numFmtId="0" fontId="8" fillId="0" borderId="0" xfId="0" applyFont="1" applyAlignment="1">
      <alignment vertical="top"/>
    </xf>
    <xf numFmtId="0" fontId="8" fillId="0" borderId="0" xfId="0" applyFont="1" applyAlignment="1">
      <alignment horizontal="left" vertical="top"/>
    </xf>
    <xf numFmtId="0" fontId="8" fillId="0" borderId="0" xfId="0" applyFont="1" applyAlignment="1">
      <alignment horizontal="center" vertical="top" wrapText="1"/>
    </xf>
    <xf numFmtId="0" fontId="8" fillId="0" borderId="0" xfId="0" applyFont="1" applyAlignment="1">
      <alignment horizontal="center" vertical="top"/>
    </xf>
    <xf numFmtId="0" fontId="8" fillId="0" borderId="0" xfId="0" applyFont="1"/>
    <xf numFmtId="0" fontId="8" fillId="0" borderId="0" xfId="0" applyFont="1" applyAlignment="1">
      <alignment horizontal="center"/>
    </xf>
    <xf numFmtId="0" fontId="4" fillId="0" borderId="0" xfId="0" applyFont="1" applyAlignment="1">
      <alignment vertical="top" wrapText="1"/>
    </xf>
    <xf numFmtId="0" fontId="5" fillId="3" borderId="0" xfId="0" applyFont="1" applyFill="1" applyAlignment="1">
      <alignment horizontal="left" vertical="top" wrapText="1"/>
    </xf>
    <xf numFmtId="0" fontId="5" fillId="3" borderId="0" xfId="0" applyFont="1" applyFill="1" applyAlignment="1">
      <alignment vertical="top"/>
    </xf>
    <xf numFmtId="0" fontId="1" fillId="3" borderId="0" xfId="0" applyFont="1" applyFill="1" applyAlignment="1">
      <alignment vertical="top"/>
    </xf>
    <xf numFmtId="0" fontId="5" fillId="3" borderId="0" xfId="0" applyFont="1" applyFill="1" applyAlignment="1">
      <alignment vertical="top" wrapText="1"/>
    </xf>
    <xf numFmtId="0" fontId="9" fillId="0" borderId="0" xfId="0" applyFont="1" applyAlignment="1">
      <alignment horizontal="left" vertical="top"/>
    </xf>
    <xf numFmtId="0" fontId="9" fillId="0" borderId="0" xfId="0" applyFont="1" applyAlignment="1">
      <alignment horizontal="left" vertical="top" wrapText="1"/>
    </xf>
    <xf numFmtId="49" fontId="9" fillId="0" borderId="0" xfId="0" applyNumberFormat="1" applyFont="1" applyAlignment="1">
      <alignment horizontal="left" vertical="top"/>
    </xf>
    <xf numFmtId="0" fontId="10" fillId="0" borderId="0" xfId="0" applyFont="1" applyAlignment="1">
      <alignment horizontal="left" vertical="top"/>
    </xf>
    <xf numFmtId="0" fontId="4" fillId="4" borderId="0" xfId="0" applyFont="1" applyFill="1" applyAlignment="1">
      <alignment vertical="top" wrapText="1"/>
    </xf>
    <xf numFmtId="0" fontId="4" fillId="0" borderId="1" xfId="0" applyFont="1" applyBorder="1" applyAlignment="1">
      <alignment vertical="top"/>
    </xf>
    <xf numFmtId="0" fontId="11" fillId="5" borderId="6" xfId="0" applyFont="1" applyFill="1" applyBorder="1" applyAlignment="1">
      <alignment vertical="top" wrapText="1"/>
    </xf>
    <xf numFmtId="0" fontId="11" fillId="5" borderId="5" xfId="0" applyFont="1" applyFill="1" applyBorder="1" applyAlignment="1">
      <alignment vertical="top" wrapText="1"/>
    </xf>
    <xf numFmtId="0" fontId="15" fillId="0" borderId="6" xfId="0" applyFont="1" applyBorder="1"/>
    <xf numFmtId="0" fontId="15" fillId="5" borderId="6" xfId="0" applyFont="1" applyFill="1" applyBorder="1"/>
    <xf numFmtId="0" fontId="15" fillId="0" borderId="5" xfId="0" applyFont="1" applyBorder="1"/>
    <xf numFmtId="0" fontId="15" fillId="5" borderId="4" xfId="0" applyFont="1" applyFill="1" applyBorder="1"/>
    <xf numFmtId="0" fontId="11" fillId="5" borderId="7" xfId="0" applyFont="1" applyFill="1" applyBorder="1"/>
    <xf numFmtId="0" fontId="11" fillId="5" borderId="8" xfId="0" applyFont="1" applyFill="1" applyBorder="1" applyAlignment="1">
      <alignment wrapText="1"/>
    </xf>
    <xf numFmtId="0" fontId="11" fillId="4" borderId="9" xfId="0" applyFont="1" applyFill="1" applyBorder="1"/>
    <xf numFmtId="0" fontId="11" fillId="4" borderId="10" xfId="0" applyFont="1" applyFill="1" applyBorder="1"/>
    <xf numFmtId="0" fontId="0" fillId="5" borderId="5" xfId="0" applyFill="1" applyBorder="1" applyAlignment="1">
      <alignment vertical="top" wrapText="1"/>
    </xf>
    <xf numFmtId="0" fontId="0" fillId="5" borderId="6" xfId="0" applyFill="1" applyBorder="1" applyAlignment="1">
      <alignment vertical="top" wrapText="1"/>
    </xf>
    <xf numFmtId="0" fontId="11" fillId="5" borderId="12" xfId="0" applyFont="1" applyFill="1" applyBorder="1" applyAlignment="1">
      <alignment vertical="top" wrapText="1"/>
    </xf>
    <xf numFmtId="0" fontId="11" fillId="5" borderId="13" xfId="0" applyFont="1" applyFill="1" applyBorder="1" applyAlignment="1">
      <alignment vertical="top" wrapText="1"/>
    </xf>
    <xf numFmtId="0" fontId="15" fillId="0" borderId="13" xfId="0" applyFont="1" applyBorder="1"/>
    <xf numFmtId="0" fontId="15" fillId="5" borderId="13" xfId="0" applyFont="1" applyFill="1" applyBorder="1"/>
    <xf numFmtId="0" fontId="15" fillId="0" borderId="12" xfId="0" applyFont="1" applyBorder="1"/>
    <xf numFmtId="0" fontId="15" fillId="5" borderId="11" xfId="0" applyFont="1" applyFill="1" applyBorder="1"/>
    <xf numFmtId="0" fontId="11" fillId="5" borderId="14" xfId="0" applyFont="1" applyFill="1" applyBorder="1"/>
    <xf numFmtId="0" fontId="11" fillId="5" borderId="15" xfId="0" applyFont="1" applyFill="1" applyBorder="1" applyAlignment="1">
      <alignment wrapText="1"/>
    </xf>
    <xf numFmtId="0" fontId="11" fillId="4" borderId="16" xfId="0" applyFont="1" applyFill="1" applyBorder="1"/>
    <xf numFmtId="0" fontId="11" fillId="4" borderId="17" xfId="0" applyFont="1" applyFill="1" applyBorder="1"/>
    <xf numFmtId="0" fontId="13" fillId="0" borderId="20" xfId="0" applyFont="1" applyBorder="1" applyAlignment="1">
      <alignment textRotation="90" wrapText="1"/>
    </xf>
    <xf numFmtId="0" fontId="14" fillId="5" borderId="20" xfId="0" applyFont="1" applyFill="1" applyBorder="1" applyAlignment="1">
      <alignment horizontal="center" textRotation="90" wrapText="1"/>
    </xf>
    <xf numFmtId="0" fontId="13" fillId="0" borderId="20" xfId="0" applyFont="1" applyBorder="1" applyAlignment="1">
      <alignment horizontal="center" textRotation="90" wrapText="1"/>
    </xf>
    <xf numFmtId="0" fontId="14" fillId="0" borderId="20" xfId="0" applyFont="1" applyBorder="1" applyAlignment="1">
      <alignment horizontal="center" textRotation="90" wrapText="1"/>
    </xf>
    <xf numFmtId="0" fontId="13" fillId="0" borderId="19" xfId="0" applyFont="1" applyBorder="1" applyAlignment="1">
      <alignment textRotation="90" wrapText="1"/>
    </xf>
    <xf numFmtId="0" fontId="14" fillId="5" borderId="18" xfId="0" applyFont="1" applyFill="1" applyBorder="1" applyAlignment="1">
      <alignment horizontal="center" textRotation="90" wrapText="1"/>
    </xf>
    <xf numFmtId="0" fontId="16" fillId="5" borderId="19" xfId="0" applyFont="1" applyFill="1" applyBorder="1" applyAlignment="1">
      <alignment horizontal="left" wrapText="1"/>
    </xf>
    <xf numFmtId="0" fontId="16" fillId="5" borderId="20" xfId="0" applyFont="1" applyFill="1" applyBorder="1" applyAlignment="1">
      <alignment wrapText="1"/>
    </xf>
    <xf numFmtId="0" fontId="3" fillId="5" borderId="20" xfId="0" applyFont="1" applyFill="1" applyBorder="1" applyAlignment="1">
      <alignment vertical="top" wrapText="1"/>
    </xf>
    <xf numFmtId="0" fontId="3" fillId="5" borderId="21" xfId="0" applyFont="1" applyFill="1" applyBorder="1" applyAlignment="1">
      <alignment textRotation="90" wrapText="1"/>
    </xf>
    <xf numFmtId="0" fontId="3" fillId="5" borderId="22" xfId="0" applyFont="1" applyFill="1" applyBorder="1" applyAlignment="1">
      <alignment textRotation="90" wrapText="1"/>
    </xf>
    <xf numFmtId="0" fontId="3" fillId="4" borderId="23" xfId="0" applyFont="1" applyFill="1" applyBorder="1" applyAlignment="1">
      <alignment textRotation="90" wrapText="1"/>
    </xf>
    <xf numFmtId="0" fontId="3" fillId="4" borderId="24" xfId="0" applyFont="1" applyFill="1" applyBorder="1" applyAlignment="1">
      <alignment textRotation="90" wrapText="1"/>
    </xf>
    <xf numFmtId="0" fontId="13" fillId="0" borderId="13" xfId="0" applyFont="1" applyBorder="1"/>
    <xf numFmtId="0" fontId="13" fillId="5" borderId="13" xfId="0" applyFont="1" applyFill="1" applyBorder="1"/>
    <xf numFmtId="0" fontId="13" fillId="0" borderId="12" xfId="0" applyFont="1" applyBorder="1"/>
    <xf numFmtId="0" fontId="13" fillId="5" borderId="11" xfId="0" applyFont="1" applyFill="1" applyBorder="1"/>
    <xf numFmtId="0" fontId="13" fillId="0" borderId="6" xfId="0" applyFont="1" applyBorder="1"/>
    <xf numFmtId="0" fontId="13" fillId="5" borderId="6" xfId="0" applyFont="1" applyFill="1" applyBorder="1"/>
    <xf numFmtId="0" fontId="13" fillId="0" borderId="5" xfId="0" applyFont="1" applyBorder="1"/>
    <xf numFmtId="0" fontId="13" fillId="5" borderId="4" xfId="0" applyFont="1" applyFill="1" applyBorder="1"/>
    <xf numFmtId="0" fontId="18" fillId="0" borderId="0" xfId="0" applyFont="1"/>
    <xf numFmtId="0" fontId="1" fillId="3" borderId="18" xfId="0" applyFont="1" applyFill="1" applyBorder="1" applyAlignment="1">
      <alignment horizontal="left" wrapText="1"/>
    </xf>
    <xf numFmtId="0" fontId="11" fillId="3" borderId="11" xfId="0" applyFont="1" applyFill="1" applyBorder="1" applyAlignment="1">
      <alignment horizontal="center" wrapText="1"/>
    </xf>
    <xf numFmtId="0" fontId="11" fillId="3" borderId="4" xfId="0" applyFont="1" applyFill="1" applyBorder="1" applyAlignment="1">
      <alignment horizontal="center" wrapText="1"/>
    </xf>
    <xf numFmtId="0" fontId="17" fillId="3" borderId="0" xfId="0" applyFont="1" applyFill="1"/>
    <xf numFmtId="0" fontId="19" fillId="0" borderId="0" xfId="0" applyFont="1"/>
    <xf numFmtId="0" fontId="4" fillId="0" borderId="1" xfId="0" applyFont="1" applyBorder="1" applyAlignment="1">
      <alignment horizontal="center" vertical="top"/>
    </xf>
    <xf numFmtId="0" fontId="4" fillId="0" borderId="1" xfId="0" applyFont="1" applyBorder="1" applyAlignment="1">
      <alignment vertical="top" wrapText="1"/>
    </xf>
    <xf numFmtId="0" fontId="8" fillId="0" borderId="0" xfId="0" applyFont="1" applyAlignment="1">
      <alignment wrapText="1"/>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center" vertical="center"/>
    </xf>
    <xf numFmtId="0" fontId="0" fillId="0" borderId="0" xfId="0" applyAlignment="1">
      <alignment vertical="center" wrapText="1"/>
    </xf>
    <xf numFmtId="0" fontId="22" fillId="0" borderId="0" xfId="0" applyFont="1" applyAlignment="1">
      <alignment vertical="center" wrapText="1"/>
    </xf>
    <xf numFmtId="0" fontId="22" fillId="0" borderId="0" xfId="0" applyFont="1" applyAlignment="1">
      <alignment horizontal="center" vertical="center" wrapText="1"/>
    </xf>
    <xf numFmtId="0" fontId="21" fillId="0" borderId="0" xfId="0" applyFont="1" applyAlignment="1">
      <alignment horizontal="left" vertical="top" wrapText="1"/>
    </xf>
    <xf numFmtId="0" fontId="22" fillId="0" borderId="0" xfId="0" applyFont="1" applyAlignment="1">
      <alignment horizontal="center" vertical="top"/>
    </xf>
    <xf numFmtId="0" fontId="21" fillId="6" borderId="0" xfId="0" applyFont="1" applyFill="1" applyAlignment="1">
      <alignment horizontal="left" vertical="top" wrapText="1"/>
    </xf>
    <xf numFmtId="0" fontId="8" fillId="0" borderId="0" xfId="0" applyFont="1" applyAlignment="1">
      <alignment vertical="top" wrapText="1"/>
    </xf>
    <xf numFmtId="0" fontId="22" fillId="0" borderId="0" xfId="0" applyFont="1" applyAlignment="1">
      <alignment vertical="top"/>
    </xf>
    <xf numFmtId="0" fontId="22" fillId="0" borderId="0" xfId="0" applyFont="1" applyAlignment="1">
      <alignment vertical="top" wrapText="1"/>
    </xf>
    <xf numFmtId="0" fontId="22" fillId="0" borderId="0" xfId="0" applyFont="1" applyAlignment="1">
      <alignment horizontal="left" vertical="top" wrapText="1"/>
    </xf>
    <xf numFmtId="0" fontId="8" fillId="7" borderId="0" xfId="0" applyFont="1" applyFill="1" applyAlignment="1">
      <alignment horizontal="left" vertical="top" wrapText="1"/>
    </xf>
    <xf numFmtId="0" fontId="23" fillId="4" borderId="0" xfId="0" applyFont="1" applyFill="1" applyAlignment="1">
      <alignment vertical="top"/>
    </xf>
    <xf numFmtId="0" fontId="24" fillId="0" borderId="0" xfId="0" applyFont="1" applyAlignment="1">
      <alignment horizontal="left" vertical="top" wrapText="1"/>
    </xf>
    <xf numFmtId="0" fontId="24" fillId="0" borderId="0" xfId="0" applyFont="1" applyAlignment="1">
      <alignment vertical="top" wrapText="1"/>
    </xf>
    <xf numFmtId="0" fontId="25" fillId="8" borderId="0" xfId="0" applyFont="1" applyFill="1" applyAlignment="1">
      <alignment horizontal="left" vertical="top" wrapText="1"/>
    </xf>
    <xf numFmtId="0" fontId="26" fillId="9" borderId="0" xfId="0" applyFont="1" applyFill="1" applyAlignment="1">
      <alignment horizontal="left" vertical="top" wrapText="1"/>
    </xf>
    <xf numFmtId="0" fontId="1" fillId="4" borderId="0" xfId="0" applyFont="1" applyFill="1" applyAlignment="1">
      <alignment horizontal="center" vertical="top"/>
    </xf>
    <xf numFmtId="0" fontId="1" fillId="4" borderId="0" xfId="0" applyFont="1" applyFill="1" applyAlignment="1">
      <alignment horizontal="center"/>
    </xf>
    <xf numFmtId="0" fontId="1" fillId="0" borderId="0" xfId="0" applyFont="1" applyAlignment="1">
      <alignment horizontal="center" vertical="top"/>
    </xf>
  </cellXfs>
  <cellStyles count="2">
    <cellStyle name="Hyperlink 2" xfId="1" xr:uid="{1ECDA060-80F2-49AC-9169-ADCCF582F9C7}"/>
    <cellStyle name="Normal" xfId="0" builtinId="0"/>
  </cellStyles>
  <dxfs count="113">
    <dxf>
      <fill>
        <patternFill>
          <bgColor theme="9" tint="0.59996337778862885"/>
        </patternFill>
      </fill>
    </dxf>
    <dxf>
      <fill>
        <patternFill>
          <bgColor theme="9" tint="0.79998168889431442"/>
        </patternFill>
      </fill>
    </dxf>
    <dxf>
      <fill>
        <patternFill>
          <bgColor theme="9" tint="0.79998168889431442"/>
        </patternFill>
      </fill>
    </dxf>
    <dxf>
      <fill>
        <patternFill>
          <bgColor theme="9" tint="0.59996337778862885"/>
        </patternFill>
      </fill>
    </dxf>
    <dxf>
      <fill>
        <patternFill>
          <bgColor theme="9" tint="0.79998168889431442"/>
        </patternFill>
      </fill>
    </dxf>
    <dxf>
      <fill>
        <patternFill>
          <bgColor theme="9" tint="0.79998168889431442"/>
        </patternFill>
      </fill>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0"/>
        <color auto="1"/>
        <name val="Calibri Light"/>
        <family val="2"/>
        <scheme val="maj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0"/>
        <color auto="1"/>
        <name val="Calibri Light"/>
        <family val="2"/>
        <scheme val="maj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top" textRotation="0" wrapText="0" indent="0" justifyLastLine="0" shrinkToFit="0" readingOrder="0"/>
    </dxf>
    <dxf>
      <font>
        <b/>
        <strike val="0"/>
        <outline val="0"/>
        <shadow val="0"/>
        <u val="none"/>
        <vertAlign val="baseline"/>
        <sz val="11"/>
        <color auto="1"/>
        <name val="Calibri"/>
        <family val="2"/>
        <scheme val="minor"/>
      </font>
      <fill>
        <patternFill patternType="solid">
          <fgColor indexed="64"/>
          <bgColor theme="0"/>
        </patternFill>
      </fill>
      <alignment horizontal="general" vertical="top" textRotation="0" wrapText="0" indent="0" justifyLastLine="0" shrinkToFit="0" readingOrder="0"/>
    </dxf>
    <dxf>
      <font>
        <strike val="0"/>
        <outline val="0"/>
        <shadow val="0"/>
        <u val="none"/>
        <vertAlign val="baseline"/>
        <sz val="10"/>
        <color auto="1"/>
        <name val="Calibri Light"/>
        <family val="2"/>
        <scheme val="major"/>
      </font>
      <numFmt numFmtId="0" formatCode="General"/>
      <alignment vertical="top" textRotation="0" indent="0" justifyLastLine="0" shrinkToFit="0" readingOrder="0"/>
    </dxf>
    <dxf>
      <font>
        <strike val="0"/>
        <outline val="0"/>
        <shadow val="0"/>
        <u val="none"/>
        <vertAlign val="baseline"/>
        <sz val="10"/>
        <color auto="1"/>
        <name val="Calibri Light"/>
        <family val="2"/>
        <scheme val="major"/>
      </font>
      <alignment vertical="top" textRotation="0" indent="0" justifyLastLine="0" shrinkToFit="0" readingOrder="0"/>
    </dxf>
    <dxf>
      <font>
        <strike val="0"/>
        <outline val="0"/>
        <shadow val="0"/>
        <u val="none"/>
        <vertAlign val="baseline"/>
        <sz val="10"/>
        <color auto="1"/>
        <name val="Calibri Light"/>
        <family val="2"/>
        <scheme val="major"/>
      </font>
      <alignment vertical="top" textRotation="0"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top" textRotation="0" wrapText="0" indent="0" justifyLastLine="0" shrinkToFit="0" readingOrder="0"/>
    </dxf>
    <dxf>
      <font>
        <strike val="0"/>
        <outline val="0"/>
        <shadow val="0"/>
        <u val="none"/>
        <vertAlign val="baseline"/>
        <sz val="10"/>
        <color auto="1"/>
        <name val="Calibri Light"/>
        <family val="2"/>
        <scheme val="major"/>
      </font>
      <alignment vertical="top" textRotation="0"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top" textRotation="0" wrapText="0" indent="0" justifyLastLine="0" shrinkToFit="0" readingOrder="0"/>
    </dxf>
    <dxf>
      <font>
        <strike val="0"/>
        <outline val="0"/>
        <shadow val="0"/>
        <u val="none"/>
        <vertAlign val="baseline"/>
        <sz val="10"/>
        <color auto="1"/>
        <name val="Calibri Light"/>
        <family val="2"/>
        <scheme val="major"/>
      </font>
      <alignment vertical="top" textRotation="0" indent="0" justifyLastLine="0" shrinkToFit="0" readingOrder="0"/>
    </dxf>
    <dxf>
      <font>
        <strike val="0"/>
        <outline val="0"/>
        <shadow val="0"/>
        <u val="none"/>
        <vertAlign val="baseline"/>
        <sz val="10"/>
        <color auto="1"/>
        <name val="Calibri Light"/>
        <family val="2"/>
        <scheme val="major"/>
      </font>
      <alignment vertical="top" textRotation="0" indent="0" justifyLastLine="0" shrinkToFit="0" readingOrder="0"/>
    </dxf>
    <dxf>
      <font>
        <strike val="0"/>
        <outline val="0"/>
        <shadow val="0"/>
        <u val="none"/>
        <vertAlign val="baseline"/>
        <sz val="10"/>
        <color auto="1"/>
        <name val="Calibri Light"/>
        <family val="2"/>
        <scheme val="major"/>
      </font>
      <alignment vertical="top" textRotation="0" indent="0" justifyLastLine="0" shrinkToFit="0" readingOrder="0"/>
    </dxf>
    <dxf>
      <font>
        <strike val="0"/>
        <outline val="0"/>
        <shadow val="0"/>
        <u val="none"/>
        <vertAlign val="baseline"/>
        <sz val="10"/>
        <color auto="1"/>
        <name val="Calibri Light"/>
        <family val="2"/>
        <scheme val="major"/>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center" vertical="top" textRotation="0" wrapText="0" indent="0" justifyLastLine="0" shrinkToFit="0" readingOrder="0"/>
    </dxf>
    <dxf>
      <font>
        <strike val="0"/>
        <outline val="0"/>
        <shadow val="0"/>
        <u val="none"/>
        <vertAlign val="baseline"/>
        <sz val="10"/>
        <color auto="1"/>
        <name val="Calibri Light"/>
        <family val="2"/>
        <scheme val="major"/>
      </font>
      <alignment vertical="top" textRotation="0" indent="0" justifyLastLine="0" shrinkToFit="0" readingOrder="0"/>
    </dxf>
    <dxf>
      <font>
        <b/>
        <i val="0"/>
        <strike val="0"/>
        <condense val="0"/>
        <extend val="0"/>
        <outline val="0"/>
        <shadow val="0"/>
        <u val="none"/>
        <vertAlign val="baseline"/>
        <sz val="11"/>
        <color auto="1"/>
        <name val="Calibri"/>
        <family val="2"/>
        <scheme val="minor"/>
      </font>
      <alignment vertical="top" textRotation="0" indent="0" justifyLastLine="0" shrinkToFit="0" readingOrder="0"/>
    </dxf>
    <dxf>
      <font>
        <strike val="0"/>
        <outline val="0"/>
        <shadow val="0"/>
        <u val="none"/>
        <vertAlign val="baseline"/>
        <sz val="10"/>
        <color auto="1"/>
        <name val="Calibri Light"/>
        <family val="2"/>
        <scheme val="major"/>
      </font>
      <alignment vertical="top" textRotation="0" indent="0" justifyLastLine="0" shrinkToFit="0" readingOrder="0"/>
    </dxf>
    <dxf>
      <font>
        <strike val="0"/>
        <outline val="0"/>
        <shadow val="0"/>
        <u val="none"/>
        <vertAlign val="baseline"/>
        <sz val="10"/>
        <color auto="1"/>
        <name val="Calibri Light"/>
        <family val="2"/>
        <scheme val="major"/>
      </font>
      <alignment vertical="top" textRotation="0"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vertical="top" textRotation="0" indent="0" justifyLastLine="0" shrinkToFit="0" readingOrder="0"/>
    </dxf>
    <dxf>
      <font>
        <strike val="0"/>
        <outline val="0"/>
        <shadow val="0"/>
        <u val="none"/>
        <vertAlign val="baseline"/>
        <sz val="10"/>
        <color auto="1"/>
        <name val="Calibri Light"/>
        <family val="2"/>
        <scheme val="major"/>
      </font>
      <alignment vertical="top" textRotation="0" indent="0" justifyLastLine="0" shrinkToFit="0" readingOrder="0"/>
    </dxf>
    <dxf>
      <font>
        <strike val="0"/>
        <outline val="0"/>
        <shadow val="0"/>
        <u val="none"/>
        <vertAlign val="baseline"/>
        <sz val="10"/>
        <color auto="1"/>
        <name val="Calibri Light"/>
        <family val="2"/>
        <scheme val="major"/>
      </font>
      <alignment vertical="top" textRotation="0" indent="0" justifyLastLine="0" shrinkToFit="0" readingOrder="0"/>
    </dxf>
    <dxf>
      <font>
        <strike val="0"/>
        <outline val="0"/>
        <shadow val="0"/>
        <u val="none"/>
        <vertAlign val="baseline"/>
        <sz val="10"/>
        <color auto="1"/>
        <name val="Calibri Light"/>
        <family val="2"/>
        <scheme val="major"/>
      </font>
      <numFmt numFmtId="0" formatCode="General"/>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center" vertical="top" textRotation="0" wrapText="0" indent="0" justifyLastLine="0" shrinkToFit="0" readingOrder="0"/>
    </dxf>
    <dxf>
      <font>
        <strike val="0"/>
        <outline val="0"/>
        <shadow val="0"/>
        <u val="none"/>
        <vertAlign val="baseline"/>
        <sz val="10"/>
        <color auto="1"/>
        <name val="Calibri Light"/>
        <family val="2"/>
        <scheme val="major"/>
      </font>
      <alignment vertical="top" textRotation="0" indent="0" justifyLastLine="0" shrinkToFit="0" readingOrder="0"/>
    </dxf>
    <dxf>
      <font>
        <b/>
        <i val="0"/>
        <strike val="0"/>
        <condense val="0"/>
        <extend val="0"/>
        <outline val="0"/>
        <shadow val="0"/>
        <u val="none"/>
        <vertAlign val="baseline"/>
        <sz val="11"/>
        <color auto="1"/>
        <name val="Calibri"/>
        <family val="2"/>
        <scheme val="minor"/>
      </font>
      <alignment vertical="top" textRotation="0" indent="0" justifyLastLine="0" shrinkToFit="0" readingOrder="0"/>
    </dxf>
    <dxf>
      <font>
        <strike val="0"/>
        <outline val="0"/>
        <shadow val="0"/>
        <u val="none"/>
        <vertAlign val="baseline"/>
        <sz val="10"/>
        <color auto="1"/>
        <name val="Calibri Light"/>
        <family val="2"/>
        <scheme val="major"/>
      </font>
      <numFmt numFmtId="0" formatCode="General"/>
    </dxf>
    <dxf>
      <font>
        <strike val="0"/>
        <outline val="0"/>
        <shadow val="0"/>
        <u val="none"/>
        <vertAlign val="baseline"/>
        <sz val="10"/>
        <color auto="1"/>
        <name val="Calibri Light"/>
        <family val="2"/>
        <scheme val="major"/>
      </font>
      <numFmt numFmtId="0" formatCode="General"/>
    </dxf>
    <dxf>
      <font>
        <strike val="0"/>
        <outline val="0"/>
        <shadow val="0"/>
        <u val="none"/>
        <vertAlign val="baseline"/>
        <sz val="10"/>
        <color auto="1"/>
        <name val="Calibri Light"/>
        <family val="2"/>
        <scheme val="major"/>
      </font>
      <numFmt numFmtId="0" formatCode="General"/>
    </dxf>
    <dxf>
      <font>
        <strike val="0"/>
        <outline val="0"/>
        <shadow val="0"/>
        <u val="none"/>
        <vertAlign val="baseline"/>
        <sz val="10"/>
        <color auto="1"/>
        <name val="Calibri Light"/>
        <family val="2"/>
        <scheme val="major"/>
      </font>
      <numFmt numFmtId="0" formatCode="General"/>
    </dxf>
    <dxf>
      <font>
        <strike val="0"/>
        <outline val="0"/>
        <shadow val="0"/>
        <u val="none"/>
        <vertAlign val="baseline"/>
        <sz val="10"/>
        <color auto="1"/>
        <name val="Calibri Light"/>
        <family val="2"/>
        <scheme val="major"/>
      </font>
      <numFmt numFmtId="0" formatCode="General"/>
      <alignment horizontal="center" textRotation="0" wrapText="0" indent="0" justifyLastLine="0" shrinkToFit="0" readingOrder="0"/>
    </dxf>
    <dxf>
      <font>
        <strike val="0"/>
        <outline val="0"/>
        <shadow val="0"/>
        <u val="none"/>
        <vertAlign val="baseline"/>
        <sz val="10"/>
        <color auto="1"/>
        <name val="Calibri Light"/>
        <family val="2"/>
        <scheme val="major"/>
      </font>
      <numFmt numFmtId="0" formatCode="General"/>
      <alignment horizontal="center" textRotation="0" wrapText="0" indent="0" justifyLastLine="0" shrinkToFit="0" readingOrder="0"/>
    </dxf>
    <dxf>
      <font>
        <strike val="0"/>
        <outline val="0"/>
        <shadow val="0"/>
        <u val="none"/>
        <vertAlign val="baseline"/>
        <sz val="10"/>
        <color auto="1"/>
        <name val="Calibri Light"/>
        <family val="2"/>
        <scheme val="major"/>
      </font>
      <numFmt numFmtId="0" formatCode="General"/>
      <alignment horizontal="center" textRotation="0" indent="0" justifyLastLine="0" shrinkToFit="0" readingOrder="0"/>
    </dxf>
    <dxf>
      <font>
        <strike val="0"/>
        <outline val="0"/>
        <shadow val="0"/>
        <u val="none"/>
        <vertAlign val="baseline"/>
        <sz val="10"/>
        <color auto="1"/>
        <name val="Calibri Light"/>
        <family val="2"/>
        <scheme val="major"/>
      </font>
      <alignment horizontal="center" textRotation="0" wrapText="0" indent="0" justifyLastLine="0" shrinkToFit="0" readingOrder="0"/>
    </dxf>
    <dxf>
      <font>
        <strike val="0"/>
        <outline val="0"/>
        <shadow val="0"/>
        <u val="none"/>
        <vertAlign val="baseline"/>
        <sz val="10"/>
        <color auto="1"/>
        <name val="Calibri Light"/>
        <family val="2"/>
        <scheme val="major"/>
      </font>
      <numFmt numFmtId="0" formatCode="General"/>
      <alignment horizontal="center" textRotation="0" wrapText="0" indent="0" justifyLastLine="0" shrinkToFit="0" readingOrder="0"/>
    </dxf>
    <dxf>
      <font>
        <strike val="0"/>
        <outline val="0"/>
        <shadow val="0"/>
        <u val="none"/>
        <vertAlign val="baseline"/>
        <sz val="10"/>
        <color auto="1"/>
        <name val="Calibri Light"/>
        <family val="2"/>
        <scheme val="major"/>
      </font>
      <numFmt numFmtId="0" formatCode="General"/>
      <alignment horizontal="center" textRotation="0" wrapText="0" indent="0" justifyLastLine="0" shrinkToFit="0" readingOrder="0"/>
    </dxf>
    <dxf>
      <font>
        <strike val="0"/>
        <outline val="0"/>
        <shadow val="0"/>
        <u val="none"/>
        <vertAlign val="baseline"/>
        <sz val="10"/>
        <color auto="1"/>
        <name val="Calibri Light"/>
        <family val="2"/>
        <scheme val="major"/>
      </font>
      <numFmt numFmtId="0" formatCode="General"/>
      <alignment horizontal="center" textRotation="0" wrapText="0" indent="0" justifyLastLine="0" shrinkToFit="0" readingOrder="0"/>
    </dxf>
    <dxf>
      <font>
        <strike val="0"/>
        <outline val="0"/>
        <shadow val="0"/>
        <u val="none"/>
        <vertAlign val="baseline"/>
        <sz val="10"/>
        <color auto="1"/>
        <name val="Calibri Light"/>
        <family val="2"/>
        <scheme val="major"/>
      </font>
      <numFmt numFmtId="0" formatCode="General"/>
    </dxf>
    <dxf>
      <font>
        <strike val="0"/>
        <outline val="0"/>
        <shadow val="0"/>
        <u val="none"/>
        <vertAlign val="baseline"/>
        <sz val="10"/>
        <color auto="1"/>
        <name val="Calibri Light"/>
        <family val="2"/>
        <scheme val="major"/>
      </font>
      <numFmt numFmtId="0" formatCode="General"/>
    </dxf>
    <dxf>
      <font>
        <strike val="0"/>
        <outline val="0"/>
        <shadow val="0"/>
        <u val="none"/>
        <vertAlign val="baseline"/>
        <sz val="10"/>
        <color auto="1"/>
        <name val="Calibri Light"/>
        <family val="2"/>
        <scheme val="major"/>
      </font>
      <numFmt numFmtId="0" formatCode="General"/>
    </dxf>
    <dxf>
      <font>
        <strike val="0"/>
        <outline val="0"/>
        <shadow val="0"/>
        <u val="none"/>
        <vertAlign val="baseline"/>
        <sz val="10"/>
        <color auto="1"/>
        <name val="Calibri Light"/>
        <family val="2"/>
        <scheme val="major"/>
      </font>
      <numFmt numFmtId="0" formatCode="General"/>
    </dxf>
    <dxf>
      <font>
        <strike val="0"/>
        <outline val="0"/>
        <shadow val="0"/>
        <u val="none"/>
        <vertAlign val="baseline"/>
        <sz val="10"/>
        <color auto="1"/>
        <name val="Calibri Light"/>
        <family val="2"/>
        <scheme val="major"/>
      </font>
      <numFmt numFmtId="0" formatCode="General"/>
      <alignment horizontal="general" textRotation="0" wrapText="1" indent="0" justifyLastLine="0" shrinkToFit="0" readingOrder="0"/>
    </dxf>
    <dxf>
      <font>
        <strike val="0"/>
        <outline val="0"/>
        <shadow val="0"/>
        <u val="none"/>
        <vertAlign val="baseline"/>
        <sz val="10"/>
        <color auto="1"/>
        <name val="Calibri Light"/>
        <family val="2"/>
        <scheme val="major"/>
      </font>
      <numFmt numFmtId="0" formatCode="General"/>
    </dxf>
    <dxf>
      <font>
        <strike val="0"/>
        <outline val="0"/>
        <shadow val="0"/>
        <u val="none"/>
        <vertAlign val="baseline"/>
        <sz val="10"/>
        <color auto="1"/>
        <name val="Calibri Light"/>
        <family val="2"/>
        <scheme val="major"/>
      </font>
      <numFmt numFmtId="0" formatCode="General"/>
    </dxf>
    <dxf>
      <font>
        <strike val="0"/>
        <outline val="0"/>
        <shadow val="0"/>
        <u val="none"/>
        <vertAlign val="baseline"/>
        <sz val="10"/>
        <color auto="1"/>
        <name val="Calibri Light"/>
        <family val="2"/>
        <scheme val="major"/>
      </font>
      <numFmt numFmtId="0" formatCode="General"/>
    </dxf>
    <dxf>
      <font>
        <strike val="0"/>
        <outline val="0"/>
        <shadow val="0"/>
        <u val="none"/>
        <vertAlign val="baseline"/>
        <sz val="10"/>
        <color auto="1"/>
        <name val="Calibri Light"/>
        <family val="2"/>
        <scheme val="major"/>
      </font>
      <numFmt numFmtId="0" formatCode="General"/>
    </dxf>
    <dxf>
      <font>
        <strike val="0"/>
        <outline val="0"/>
        <shadow val="0"/>
        <u val="none"/>
        <vertAlign val="baseline"/>
        <sz val="10"/>
        <color auto="1"/>
        <name val="Calibri Light"/>
        <family val="2"/>
        <scheme val="major"/>
      </font>
      <alignment horizontal="center" vertical="top" textRotation="0" indent="0" justifyLastLine="0" shrinkToFit="0" readingOrder="0"/>
    </dxf>
    <dxf>
      <font>
        <strike val="0"/>
        <outline val="0"/>
        <shadow val="0"/>
        <u val="none"/>
        <vertAlign val="baseline"/>
        <sz val="10"/>
        <color auto="1"/>
        <name val="Calibri Light"/>
        <family val="2"/>
        <scheme val="major"/>
      </font>
      <alignment vertical="center" textRotation="0"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vertical="center" textRotation="0" indent="0" justifyLastLine="0" shrinkToFit="0" readingOrder="0"/>
    </dxf>
    <dxf>
      <font>
        <strike val="0"/>
        <outline val="0"/>
        <shadow val="0"/>
        <u val="none"/>
        <vertAlign val="baseline"/>
        <sz val="10"/>
        <color auto="1"/>
        <name val="Calibri Light"/>
        <family val="2"/>
        <scheme val="major"/>
      </font>
      <numFmt numFmtId="0" formatCode="General"/>
      <alignment vertical="center" textRotation="0" indent="0" justifyLastLine="0" shrinkToFit="0" readingOrder="0"/>
    </dxf>
    <dxf>
      <font>
        <strike val="0"/>
        <outline val="0"/>
        <shadow val="0"/>
        <u val="none"/>
        <vertAlign val="baseline"/>
        <sz val="10"/>
        <color auto="1"/>
        <name val="Calibri Light"/>
        <family val="2"/>
        <scheme val="major"/>
      </font>
      <numFmt numFmtId="0" formatCode="General"/>
      <alignment vertical="center" textRotation="0" indent="0" justifyLastLine="0" shrinkToFit="0" readingOrder="0"/>
    </dxf>
    <dxf>
      <font>
        <strike val="0"/>
        <outline val="0"/>
        <shadow val="0"/>
        <u val="none"/>
        <vertAlign val="baseline"/>
        <sz val="10"/>
        <color auto="1"/>
        <name val="Calibri Light"/>
        <family val="2"/>
        <scheme val="major"/>
      </font>
      <alignment horizontal="center" vertical="center" textRotation="0" wrapText="0" indent="0" justifyLastLine="0" shrinkToFit="0" readingOrder="0"/>
    </dxf>
    <dxf>
      <font>
        <strike val="0"/>
        <outline val="0"/>
        <shadow val="0"/>
        <u val="none"/>
        <vertAlign val="baseline"/>
        <sz val="10"/>
        <color auto="1"/>
        <name val="Calibri Light"/>
        <family val="2"/>
        <scheme val="major"/>
      </font>
      <numFmt numFmtId="0" formatCode="General"/>
      <alignment horizontal="center" vertical="center" textRotation="0" wrapText="0" indent="0" justifyLastLine="0" shrinkToFit="0" readingOrder="0"/>
    </dxf>
    <dxf>
      <font>
        <strike val="0"/>
        <outline val="0"/>
        <shadow val="0"/>
        <u val="none"/>
        <vertAlign val="baseline"/>
        <sz val="10"/>
        <color auto="1"/>
        <name val="Calibri Light"/>
        <family val="2"/>
        <scheme val="major"/>
      </font>
      <numFmt numFmtId="0" formatCode="General"/>
      <alignment horizontal="center" vertical="center" textRotation="0" wrapText="0" indent="0" justifyLastLine="0" shrinkToFit="0" readingOrder="0"/>
    </dxf>
    <dxf>
      <font>
        <strike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center" vertical="center" textRotation="0" wrapText="0" indent="0" justifyLastLine="0" shrinkToFit="0" readingOrder="0"/>
    </dxf>
    <dxf>
      <font>
        <strike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strike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strike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strike val="0"/>
        <outline val="0"/>
        <shadow val="0"/>
        <u val="none"/>
        <vertAlign val="baseline"/>
        <sz val="10"/>
        <color auto="1"/>
        <name val="Calibri Light"/>
        <family val="2"/>
        <scheme val="major"/>
      </font>
    </dxf>
    <dxf>
      <border>
        <bottom style="thin">
          <color indexed="64"/>
        </bottom>
      </border>
    </dxf>
    <dxf>
      <font>
        <strike val="0"/>
        <outline val="0"/>
        <shadow val="0"/>
        <u val="none"/>
        <vertAlign val="baseline"/>
        <sz val="11"/>
        <color auto="1"/>
        <name val="Calibri"/>
        <family val="2"/>
        <scheme val="minor"/>
      </font>
      <alignment vertical="top" textRotation="0"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0"/>
        <color auto="1"/>
        <name val="Calibri Light"/>
        <family val="2"/>
        <scheme val="major"/>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left" vertical="top" textRotation="0" wrapText="1" indent="0" justifyLastLine="0" shrinkToFit="0" readingOrder="0"/>
    </dxf>
    <dxf>
      <font>
        <strike val="0"/>
        <outline val="0"/>
        <shadow val="0"/>
        <u val="none"/>
        <vertAlign val="baseline"/>
        <sz val="10"/>
        <color auto="1"/>
        <name val="Calibri Light"/>
        <family val="2"/>
        <scheme val="major"/>
      </font>
      <fill>
        <patternFill patternType="solid">
          <fgColor indexed="64"/>
          <bgColor theme="4" tint="0.39997558519241921"/>
        </patternFill>
      </fill>
      <alignment horizontal="left" vertical="top" textRotation="0" wrapText="1" indent="0" justifyLastLine="0" shrinkToFit="0" readingOrder="0"/>
    </dxf>
    <dxf>
      <font>
        <strike val="0"/>
        <outline val="0"/>
        <shadow val="0"/>
        <u val="none"/>
        <vertAlign val="baseline"/>
        <sz val="10"/>
        <color auto="1"/>
        <name val="Calibri Light"/>
        <family val="2"/>
        <scheme val="major"/>
      </font>
      <alignment horizontal="left" vertical="top" textRotation="0" wrapText="1" indent="0" justifyLastLine="0" shrinkToFit="0" readingOrder="0"/>
    </dxf>
    <dxf>
      <font>
        <strike val="0"/>
        <outline val="0"/>
        <shadow val="0"/>
        <u val="none"/>
        <vertAlign val="baseline"/>
        <sz val="11"/>
        <color auto="1"/>
        <name val="Calibri"/>
        <family val="2"/>
      </font>
      <alignment vertical="top" textRotation="0" indent="0" justifyLastLine="0" shrinkToFit="0" readingOrder="0"/>
    </dxf>
  </dxfs>
  <tableStyles count="0" defaultTableStyle="TableStyleMedium2" defaultPivotStyle="PivotStyleLight16"/>
  <colors>
    <mruColors>
      <color rgb="FFE1C1C1"/>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Havinga, Lisanne" id="{F3B6B441-C38A-4DEA-8F6A-243403047011}" userId="S::L.C.Havinga@tue.nl::79dba28d-3067-45d9-9b19-d5fdf1428e52"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35">
    <queryTableFields count="33">
      <queryTableField id="1" name="Authors" tableColumnId="1"/>
      <queryTableField id="2" name="Author(s) ID" tableColumnId="2"/>
      <queryTableField id="3" name="Title" tableColumnId="3"/>
      <queryTableField id="4" name="Year" tableColumnId="4"/>
      <queryTableField id="5" name="Source title" tableColumnId="5"/>
      <queryTableField id="6" name="Volume" tableColumnId="6"/>
      <queryTableField id="7" name="Issue" tableColumnId="7"/>
      <queryTableField id="8" name="Art. No." tableColumnId="8"/>
      <queryTableField id="9" name="Page start" tableColumnId="9"/>
      <queryTableField id="10" name="Page end" tableColumnId="10"/>
      <queryTableField id="34" dataBound="0" tableColumnId="34"/>
      <queryTableField id="11" name="Page count" tableColumnId="11"/>
      <queryTableField id="12" name="Cited by" tableColumnId="12"/>
      <queryTableField id="13" name="DOI" tableColumnId="13"/>
      <queryTableField id="14" name="Link" tableColumnId="14"/>
      <queryTableField id="15" name="Affiliations" tableColumnId="15"/>
      <queryTableField id="16" name="Authors with affiliations" tableColumnId="16"/>
      <queryTableField id="17" name="Abstract" tableColumnId="17"/>
      <queryTableField id="18" name="Author Keywords" tableColumnId="18"/>
      <queryTableField id="20" name="Correspondence Address" tableColumnId="20"/>
      <queryTableField id="21" name="Editors" tableColumnId="21"/>
      <queryTableField id="22" name="Publisher" tableColumnId="22"/>
      <queryTableField id="23" name="ISSN" tableColumnId="23"/>
      <queryTableField id="24" name="ISBN" tableColumnId="24"/>
      <queryTableField id="25" name="CODEN" tableColumnId="25"/>
      <queryTableField id="26" name="PubMed ID" tableColumnId="26"/>
      <queryTableField id="27" name="Language of Original Document" tableColumnId="27"/>
      <queryTableField id="28" name="Abbreviated Source Title" tableColumnId="28"/>
      <queryTableField id="29" name="Document Type" tableColumnId="29"/>
      <queryTableField id="30" name="Publication Stage" tableColumnId="30"/>
      <queryTableField id="31" name="Access Type" tableColumnId="31"/>
      <queryTableField id="32" name="Source" tableColumnId="32"/>
      <queryTableField id="33" name="EID" tableColumnId="33"/>
    </queryTableFields>
    <queryTableDeletedFields count="1">
      <deletedField name="Index Keyword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3C8DD4-3A64-4823-9C56-A4059049E0FC}" name="scopus" displayName="scopus" ref="A1:AG478" tableType="queryTable" totalsRowShown="0" headerRowDxfId="84" dataDxfId="82" headerRowBorderDxfId="83">
  <autoFilter ref="A1:AG478" xr:uid="{C03EE8CF-3A5A-4F0D-9496-9254D7905677}"/>
  <tableColumns count="33">
    <tableColumn id="1" xr3:uid="{B7CF5D24-4791-47A3-9FD0-A8FF386B6DF8}" uniqueName="1" name="Authors" queryTableFieldId="1" dataDxfId="81"/>
    <tableColumn id="2" xr3:uid="{B1149AA6-9572-41D9-AE43-67726402A344}" uniqueName="2" name="Author(s) ID" queryTableFieldId="2" dataDxfId="80"/>
    <tableColumn id="3" xr3:uid="{296CEB98-3CCC-443A-8BB3-21F2C714B8DD}" uniqueName="3" name="Title" queryTableFieldId="3" dataDxfId="79"/>
    <tableColumn id="4" xr3:uid="{C4EE28B0-BC92-4F93-9653-F3F8E64C7E9E}" uniqueName="4" name="Year" queryTableFieldId="4" dataDxfId="78"/>
    <tableColumn id="5" xr3:uid="{065FEFB6-0DEB-41A8-A758-48767D365A30}" uniqueName="5" name="Source title" queryTableFieldId="5" dataDxfId="77"/>
    <tableColumn id="6" xr3:uid="{755BA04D-2234-4D80-B99B-BC51C7692100}" uniqueName="6" name="Volume" queryTableFieldId="6" dataDxfId="76"/>
    <tableColumn id="7" xr3:uid="{4D3193BC-C09F-4734-A17D-DE15C118246A}" uniqueName="7" name="Issue" queryTableFieldId="7" dataDxfId="75"/>
    <tableColumn id="8" xr3:uid="{A45F8608-EF6F-4DF7-8D0F-B07B6710F340}" uniqueName="8" name="Art. No." queryTableFieldId="8" dataDxfId="74"/>
    <tableColumn id="9" xr3:uid="{AC804300-BE40-4BA7-9916-0F29D0A3527C}" uniqueName="9" name="Page start" queryTableFieldId="9" dataDxfId="73"/>
    <tableColumn id="10" xr3:uid="{79C6CFEC-2713-45C5-9590-99CA1F9ADFEB}" uniqueName="10" name="Page end" queryTableFieldId="10" dataDxfId="72"/>
    <tableColumn id="34" xr3:uid="{FB59057F-4DE1-48FE-8263-B7D04889F78C}" uniqueName="34" name="Page count" queryTableFieldId="34" dataDxfId="71">
      <calculatedColumnFormula>scopus[[#This Row],[Page end]]-scopus[[#This Row],[Page start]]</calculatedColumnFormula>
    </tableColumn>
    <tableColumn id="11" xr3:uid="{4A37A07A-57DD-431E-B0E5-97EA10F11B89}" uniqueName="11" name="Cited by" queryTableFieldId="11" dataDxfId="70"/>
    <tableColumn id="12" xr3:uid="{B39A7BF0-CD4B-42B0-B9B9-106CAA814013}" uniqueName="12" name="DOI" queryTableFieldId="12" dataDxfId="69"/>
    <tableColumn id="13" xr3:uid="{69449074-2C79-414A-AF0F-3D6B3BC1AE07}" uniqueName="13" name="Link" queryTableFieldId="13" dataDxfId="68"/>
    <tableColumn id="14" xr3:uid="{5144EEA7-AC8E-42D3-86DA-AEDAF5BC1C8B}" uniqueName="14" name="Affiliations" queryTableFieldId="14" dataDxfId="67"/>
    <tableColumn id="15" xr3:uid="{F31B39E8-7588-4968-AED2-597AF34B133A}" uniqueName="15" name="Authors with affiliations" queryTableFieldId="15" dataDxfId="66"/>
    <tableColumn id="16" xr3:uid="{592349DD-BE3D-4340-87AA-69B8880FD44D}" uniqueName="16" name="Abstract" queryTableFieldId="16" dataDxfId="65"/>
    <tableColumn id="17" xr3:uid="{E548BFC5-BDD9-4A01-B8EA-29AF2634EBED}" uniqueName="17" name="Author Keywords" queryTableFieldId="17" dataDxfId="64"/>
    <tableColumn id="18" xr3:uid="{AF4955E9-652A-47BB-A114-84DB1EE1060F}" uniqueName="18" name="Index Keywords" queryTableFieldId="18" dataDxfId="63"/>
    <tableColumn id="20" xr3:uid="{2CBBCD63-5FF7-443D-8CC0-F20F1F3B8AA9}" uniqueName="20" name="Correspondence Address" queryTableFieldId="20" dataDxfId="62"/>
    <tableColumn id="21" xr3:uid="{EE789935-5E4C-499D-B4C5-6B81729857DA}" uniqueName="21" name="Editors" queryTableFieldId="21" dataDxfId="61"/>
    <tableColumn id="22" xr3:uid="{DFA12B76-2644-461A-BC1F-652A1A46DC30}" uniqueName="22" name="Publisher" queryTableFieldId="22" dataDxfId="60"/>
    <tableColumn id="23" xr3:uid="{08DCD0A7-63C1-4612-B080-76F8AF2B27C3}" uniqueName="23" name="ISSN" queryTableFieldId="23" dataDxfId="59"/>
    <tableColumn id="24" xr3:uid="{C37774D9-8737-4030-949E-79DA3061F3D1}" uniqueName="24" name="ISBN" queryTableFieldId="24" dataDxfId="58"/>
    <tableColumn id="25" xr3:uid="{D8004BC3-FB83-431A-BF1B-280A2F9FA228}" uniqueName="25" name="CODEN" queryTableFieldId="25" dataDxfId="57"/>
    <tableColumn id="26" xr3:uid="{477C2A82-BADC-467B-8660-37A117B58636}" uniqueName="26" name="PubMed ID" queryTableFieldId="26" dataDxfId="56"/>
    <tableColumn id="27" xr3:uid="{DF3AD5F0-B52A-42A7-B019-0C7E08C16C76}" uniqueName="27" name="Language of Original Document" queryTableFieldId="27" dataDxfId="55"/>
    <tableColumn id="28" xr3:uid="{96406A94-CC78-4C8A-AA4F-B2EBAC0E92A8}" uniqueName="28" name="Abbreviated Source Title" queryTableFieldId="28" dataDxfId="54"/>
    <tableColumn id="29" xr3:uid="{DC80B800-814D-4BA4-97D4-FB9F230C9C28}" uniqueName="29" name="Document Type" queryTableFieldId="29" dataDxfId="53"/>
    <tableColumn id="30" xr3:uid="{82CB1E79-2FED-42EB-B25B-EBC00DDF6B2C}" uniqueName="30" name="Publication Stage" queryTableFieldId="30" dataDxfId="52"/>
    <tableColumn id="31" xr3:uid="{1CC98559-CD3F-48F5-B9F9-C9AC0A9E5017}" uniqueName="31" name="Access Type" queryTableFieldId="31" dataDxfId="51"/>
    <tableColumn id="32" xr3:uid="{0083B1E3-3846-474C-9EB2-CE5F2EBE40B8}" uniqueName="32" name="Source" queryTableFieldId="32" dataDxfId="50"/>
    <tableColumn id="33" xr3:uid="{84345088-74CC-4361-BBB3-2D8C64C11EFD}" uniqueName="33" name="EID" queryTableFieldId="33" dataDxfId="49"/>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D102C7-0195-472B-9AB3-3652D6E18CE7}" name="Table3" displayName="Table3" ref="A1:J301" totalsRowShown="0" headerRowDxfId="48" dataDxfId="47">
  <autoFilter ref="A1:J301" xr:uid="{8B72E7FE-B2E8-42FF-8C2A-934529ED72BC}"/>
  <tableColumns count="10">
    <tableColumn id="1" xr3:uid="{022F8DA6-09F3-4E7D-BAAF-B399706AB77D}" name="Paper ID" dataDxfId="46"/>
    <tableColumn id="2" xr3:uid="{9D2F94C9-578C-497D-8F8F-66092817975F}" name="Title" dataDxfId="45">
      <calculatedColumnFormula>scopus[[#This Row],[Title]]</calculatedColumnFormula>
    </tableColumn>
    <tableColumn id="3" xr3:uid="{59F10392-4D78-4CA3-9027-97E06AECFCB9}" name="Criteria 1 - Cross-Laminated-Timber" dataDxfId="44"/>
    <tableColumn id="4" xr3:uid="{3DAFF097-2D00-4240-8D92-1627C05CDCBF}" name="Criteria 2 - Sustainability" dataDxfId="43"/>
    <tableColumn id="5" xr3:uid="{238256CA-2327-4990-A079-BE9558CA7797}" name="Criteria 3 - Concrete" dataDxfId="42"/>
    <tableColumn id="8" xr3:uid="{7F5F69D5-D045-4D4E-8854-A0CFBA2B699D}" name="Criteria 4 - Floor" dataDxfId="41"/>
    <tableColumn id="6" xr3:uid="{8289C619-EDD5-4264-A142-EAFE5A03C8B5}" name="Relevance" dataDxfId="40">
      <calculatedColumnFormula>Table3[[#This Row],[Criteria 1 - Cross-Laminated-Timber]]+Table3[[#This Row],[Criteria 2 - Sustainability]]+Table3[[#This Row],[Criteria 3 - Concrete]]+Table3[[#This Row],[Criteria 4 - Floor]]</calculatedColumnFormula>
    </tableColumn>
    <tableColumn id="7" xr3:uid="{EC2D9A84-F08F-447C-A2A3-3BC3FED274F7}" name="Reason not relevant" dataDxfId="39"/>
    <tableColumn id="10" xr3:uid="{526CADD1-11EE-4C51-9E9A-A349DB8652DE}" name="Reviewer 1" dataDxfId="38"/>
    <tableColumn id="11" xr3:uid="{3E52390F-5FF2-49F4-A072-F59229CE5B41}" name="Reviewer 2" dataDxfId="37"/>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6C41A9-2C64-4515-B19B-277E349DA6B0}" name="Table36" displayName="Table36" ref="A1:N251" totalsRowShown="0" headerRowDxfId="36" dataDxfId="35">
  <autoFilter ref="A1:N251" xr:uid="{8B72E7FE-B2E8-42FF-8C2A-934529ED72BC}"/>
  <sortState xmlns:xlrd2="http://schemas.microsoft.com/office/spreadsheetml/2017/richdata2" ref="A2:N251">
    <sortCondition descending="1" ref="N1:N251"/>
  </sortState>
  <tableColumns count="14">
    <tableColumn id="1" xr3:uid="{03476E6E-D823-45D5-9D60-7714187D79B6}" name="Paper ID" dataDxfId="34"/>
    <tableColumn id="13" xr3:uid="{2E8AD5A1-8E9B-4875-94EE-8E101813FAF4}" name="Title" dataDxfId="33">
      <calculatedColumnFormula>scopus[[#This Row],[Title]]</calculatedColumnFormula>
    </tableColumn>
    <tableColumn id="2" xr3:uid="{52FE7B5E-CF2C-4074-83DA-5BFD260869FA}" name="Abstract" dataDxfId="32">
      <calculatedColumnFormula>scopus[[#This Row],[Abstract]]</calculatedColumnFormula>
    </tableColumn>
    <tableColumn id="3" xr3:uid="{A362FEB7-BFCF-49AD-8AC1-AF5B9EE6270A}" name="Keywords (CLT, floor, sustainability, concrete)" dataDxfId="31"/>
    <tableColumn id="4" xr3:uid="{62C99EEB-A762-49FB-AD80-AAB2480FC0CF}" name="Primary focus is a CLT floor system" dataDxfId="30"/>
    <tableColumn id="5" xr3:uid="{E50C4117-4523-4B19-8429-5071C8926AFB}" name="Sustainability is focused on" dataDxfId="29"/>
    <tableColumn id="8" xr3:uid="{5709E919-7C2F-4BE9-8F05-49D976D00A99}" name="CLT system is compared to concrete system" dataDxfId="28"/>
    <tableColumn id="9" xr3:uid="{0C5F0352-19AC-4325-A41D-07C02F21FCD6}" name="Has directly (D), indirectly (I), or nothing (N) to do with the research question" dataDxfId="27"/>
    <tableColumn id="6" xr3:uid="{0F00946D-41FE-4E57-A5CE-95C9439C1E66}" name="Relevant (Y)  Not relevant (N) Backup (B)" dataDxfId="26"/>
    <tableColumn id="12" xr3:uid="{B210D19F-78DA-479E-BD5B-79D072E03DF7}" name="Abstract Selected      yes (1)       no (0)" dataDxfId="25"/>
    <tableColumn id="7" xr3:uid="{1FD80A76-1EE9-427D-BCDC-53ED57492246}" name="Reason not relevant (if needed)" dataDxfId="24"/>
    <tableColumn id="10" xr3:uid="{79917F49-BBA8-4E54-ADA8-AA046CBEE4DB}" name="Reviewer 1" dataDxfId="23"/>
    <tableColumn id="11" xr3:uid="{C0852ACC-895D-4374-B9BD-621137279EF9}" name="Reviewer 2" dataDxfId="22"/>
    <tableColumn id="14" xr3:uid="{8739EC18-753C-4DDE-9416-ED5EE0446783}" name="Sum" dataDxfId="21">
      <calculatedColumnFormula>SUM(D2:G2)*J2</calculatedColumnFormula>
    </tableColumn>
  </tableColumns>
  <tableStyleInfo name="TableStyleLight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3DD4E2-BD35-4D8A-A263-663A4854E596}" name="Table6" displayName="Table6" ref="A2:Z64" totalsRowShown="0" headerRowDxfId="112" dataDxfId="111">
  <autoFilter ref="A2:Z64" xr:uid="{9CDE98E4-57FF-4E6C-88AA-64A75CD449BA}"/>
  <tableColumns count="26">
    <tableColumn id="1" xr3:uid="{9B7E67B8-5B8F-4B96-821E-BBF766A761CE}" name="Paper ID" dataDxfId="110"/>
    <tableColumn id="14" xr3:uid="{AD60ACF5-E5EA-40B1-85A9-57219FE5380C}" name="Biobliographic Information" dataDxfId="109">
      <calculatedColumnFormula>VLOOKUP($A3,Scopus!$A$2:$AG$62,2, FALSE)</calculatedColumnFormula>
    </tableColumn>
    <tableColumn id="2" xr3:uid="{9E84FBC0-5EFE-42A0-ADD3-F59063339230}" name="Title" dataDxfId="108">
      <calculatedColumnFormula>Titles!B2</calculatedColumnFormula>
    </tableColumn>
    <tableColumn id="3" xr3:uid="{103A1D29-E370-4293-A9AD-A6EBAD1CEC21}" name="Year of Publication" dataDxfId="107">
      <calculatedColumnFormula>VLOOKUP($A3,Scopus!$A$2:$AG$62,5, FALSE)</calculatedColumnFormula>
    </tableColumn>
    <tableColumn id="4" xr3:uid="{F58E3F04-1A98-4706-A473-EEEF0B75017C}" name="Research Subject_x000a_(short description of the object that is being studied to achieve the aim)" dataDxfId="106"/>
    <tableColumn id="5" xr3:uid="{F380796E-810C-4350-B6B3-41C7BBA14D21}" name="Aim of the Research_x000a_(cite the stated aim of the research)" dataDxfId="105"/>
    <tableColumn id="16" xr3:uid="{73B117EA-D7E8-4E37-926F-015CE4094EDA}" name="Main Conclusion_x000a_(cite the stated main conclusion of the research)" dataDxfId="104"/>
    <tableColumn id="6" xr3:uid="{5763D9E6-9920-4640-A25C-DCDAC4B6BBF8}" name="Methodology _x000a_(1 sentence description on how the research was conducted, research methods chosen)" dataDxfId="103"/>
    <tableColumn id="7" xr3:uid="{47864AF6-0100-4A34-ADF0-100AFD0F8ADA}" name="Case Study_x000a_(is there a case study adopted as part of this research? 1 = yes, 0 = no)" dataDxfId="102"/>
    <tableColumn id="20" xr3:uid="{DE69F87F-5D1B-416F-8FE4-1E734A112A97}" name="Continent" dataDxfId="101"/>
    <tableColumn id="17" xr3:uid="{E87452CD-E697-4590-BCDE-C45622E57E19}" name="Country" dataDxfId="100"/>
    <tableColumn id="18" xr3:uid="{51DACF02-B774-49C6-85CC-09D5687EED48}" name="City" dataDxfId="99"/>
    <tableColumn id="8" xr3:uid="{563E04A1-C57B-404E-BEE8-18B3ABBF54EF}" name="Climate (if relevant)" dataDxfId="98"/>
    <tableColumn id="19" xr3:uid="{F2341565-1D7C-4290-B1DD-A32C854EC34D}" name="Scale (if relevant)" dataDxfId="97"/>
    <tableColumn id="9" xr3:uid="{5C2EC353-E5F1-4EF6-8081-27B1ED4B21AE}" name="Type (if relevant)" dataDxfId="96"/>
    <tableColumn id="10" xr3:uid="{328C39ED-E0DA-4FBB-8C08-C3DF676EBE9C}" name="Data Collection Methods" dataDxfId="95"/>
    <tableColumn id="11" xr3:uid="{780E87A1-F542-4491-B312-ECFBACA88AD2}" name="Data Date" dataDxfId="94"/>
    <tableColumn id="12" xr3:uid="{83A7B842-9BC6-4F47-ADCC-0E780366EB17}" name="Data Source" dataDxfId="93"/>
    <tableColumn id="26" xr3:uid="{95529A9C-4561-4943-97F5-806B6F88A12C}" name="Data Analysis Methods" dataDxfId="92"/>
    <tableColumn id="13" xr3:uid="{8BCA0EA2-20F6-4103-9582-DDC454BF60B9}" name="Field of study " dataDxfId="91"/>
    <tableColumn id="15" xr3:uid="{C5DAA740-BF73-42D2-BD5F-A98EC591A07D}" name="Embodied energy " dataDxfId="90"/>
    <tableColumn id="21" xr3:uid="{855954A5-4ADA-4283-9AF6-9541E3C8367D}" name="Component analysed" dataDxfId="89"/>
    <tableColumn id="22" xr3:uid="{1B089F4A-80FF-400B-8340-907854DA8F57}" name="Similar spans compared " dataDxfId="88"/>
    <tableColumn id="23" xr3:uid="{241BCCDE-FE54-4CB0-848A-DF0BC70F0B2B}" name="Analysis of the enviromental impact" dataDxfId="87"/>
    <tableColumn id="24" xr3:uid="{55235184-EFA1-479B-BC7E-7DF5EAB1EC93}" name="Comparison of  effectiveness of solutions " dataDxfId="86"/>
    <tableColumn id="25" xr3:uid="{E99CD650-A062-47B6-85F7-32225CCA9A90}" name="Feasability" dataDxfId="85"/>
  </tableColumns>
  <tableStyleInfo name="TableStyleLight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2A363A-D8AC-4503-B90B-37DA94766CBD}" name="Table7" displayName="Table7" ref="A1:M232" totalsRowShown="0" headerRowDxfId="20" dataDxfId="19">
  <autoFilter ref="A1:M232" xr:uid="{35D97783-5ABE-4C12-A17F-250A5118F6F9}"/>
  <tableColumns count="13">
    <tableColumn id="1" xr3:uid="{A4F27806-DE91-4ED9-9AE1-FE4323236AF0}" name="Paper ID" dataDxfId="18"/>
    <tableColumn id="2" xr3:uid="{71E221C8-B263-4D2A-803D-A66B90AB79C0}" name="Authors" dataDxfId="17">
      <calculatedColumnFormula>VLOOKUP($A2,Scopus!$A$1:$D$62,2,FALSE)</calculatedColumnFormula>
    </tableColumn>
    <tableColumn id="3" xr3:uid="{4EE35A97-277C-434D-B10B-69AC9DB34207}" name="Year" dataDxfId="16">
      <calculatedColumnFormula>VLOOKUP($A2,Scopus!$A$1:$D$62,5,FALSE)</calculatedColumnFormula>
    </tableColumn>
    <tableColumn id="4" xr3:uid="{9E796083-EE6A-4A1D-B669-EE08CB130F60}" name="Quotes" dataDxfId="15"/>
    <tableColumn id="5" xr3:uid="{AEA3676E-D0A7-4616-A78B-137C4A41205C}" name="Page number" dataDxfId="14"/>
    <tableColumn id="6" xr3:uid="{89C4D901-7FBF-4F9C-9D2A-4916DEE09A2A}" name="Topic 1" dataDxfId="13"/>
    <tableColumn id="7" xr3:uid="{AB54768A-7FD8-4538-96DD-E5FDA41D64A2}" name="Topic 2" dataDxfId="12"/>
    <tableColumn id="8" xr3:uid="{A51E9CD0-6D29-415F-9898-2D55C5A316E2}" name="Topic 3" dataDxfId="11"/>
    <tableColumn id="9" xr3:uid="{93637A3D-9E83-4684-9C54-B3BBE731966F}" name="Topic 4" dataDxfId="10"/>
    <tableColumn id="10" xr3:uid="{6CB27F74-379C-4BF5-AC6D-CFE80DEFA4BC}" name="Topic 5" dataDxfId="9"/>
    <tableColumn id="11" xr3:uid="{BBAB8F44-408B-4611-A37E-74048F141AE3}" name="Topic 6" dataDxfId="8"/>
    <tableColumn id="12" xr3:uid="{EB8B4B67-7C47-40A0-AF2F-E00F822E086E}" name="Topic 7" dataDxfId="7"/>
    <tableColumn id="13" xr3:uid="{A3DBF7A0-F456-4866-B7BA-FE8C7D1FA7A5}" name="Other (mention topic)" dataDxfId="6"/>
  </tableColumns>
  <tableStyleInfo name="TableStyleLight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1-04-29T21:58:34.37" personId="{F3B6B441-C38A-4DEA-8F6A-243403047011}" id="{635B106C-458F-4DAB-9C0C-823A26C5F113}">
    <text>0 = does not meet criteria
1 = potentially meets criteria
2 = does meet criteria</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65C33-C21B-40B6-9F46-938212A8FCEA}">
  <sheetPr>
    <tabColor theme="0"/>
  </sheetPr>
  <dimension ref="A1:AG478"/>
  <sheetViews>
    <sheetView topLeftCell="A243" zoomScale="71" zoomScaleNormal="70" workbookViewId="0">
      <selection activeCell="P87" sqref="P87"/>
    </sheetView>
  </sheetViews>
  <sheetFormatPr defaultRowHeight="14.5"/>
  <cols>
    <col min="1" max="1" width="24" style="96" customWidth="1"/>
    <col min="2" max="2" width="27.6328125" style="96" customWidth="1"/>
    <col min="3" max="3" width="32.54296875" style="96" customWidth="1"/>
    <col min="4" max="4" width="9.36328125" style="1" customWidth="1"/>
    <col min="5" max="5" width="22.36328125" style="96" customWidth="1"/>
    <col min="6" max="6" width="9.90625" style="1" customWidth="1"/>
    <col min="7" max="7" width="9" style="1" customWidth="1"/>
    <col min="8" max="8" width="23.36328125" style="1" customWidth="1"/>
    <col min="9" max="9" width="16.54296875" style="4" customWidth="1"/>
    <col min="10" max="10" width="11.6328125" style="4" customWidth="1"/>
    <col min="11" max="11" width="11.54296875" style="4" customWidth="1"/>
    <col min="12" max="12" width="11.6328125" style="4" customWidth="1"/>
    <col min="13" max="13" width="19" style="17" customWidth="1"/>
    <col min="14" max="14" width="30.6328125" customWidth="1"/>
    <col min="15" max="15" width="80.6328125" bestFit="1" customWidth="1"/>
    <col min="16" max="16" width="43.36328125" customWidth="1"/>
    <col min="17" max="17" width="99.6328125" style="3" customWidth="1"/>
    <col min="18" max="18" width="32.36328125" customWidth="1"/>
    <col min="19" max="19" width="38.36328125" customWidth="1"/>
    <col min="20" max="20" width="35.54296875" customWidth="1"/>
    <col min="21" max="21" width="17.453125" customWidth="1"/>
    <col min="22" max="22" width="17.36328125" customWidth="1"/>
    <col min="23" max="23" width="13.36328125" style="5" customWidth="1"/>
    <col min="24" max="24" width="9.36328125" style="5" bestFit="1" customWidth="1"/>
    <col min="25" max="25" width="12.6328125" style="5" bestFit="1" customWidth="1"/>
    <col min="26" max="26" width="18.36328125" style="5" customWidth="1"/>
    <col min="27" max="27" width="28.453125" style="5" customWidth="1"/>
    <col min="28" max="28" width="26.6328125" style="5" customWidth="1"/>
    <col min="29" max="29" width="14.36328125" style="5" customWidth="1"/>
    <col min="30" max="30" width="17.36328125" customWidth="1"/>
    <col min="31" max="31" width="22.90625" customWidth="1"/>
    <col min="32" max="32" width="17.6328125" bestFit="1" customWidth="1"/>
    <col min="33" max="33" width="18.6328125" customWidth="1"/>
  </cols>
  <sheetData>
    <row r="1" spans="1:33" s="16" customFormat="1">
      <c r="A1" s="90" t="s">
        <v>0</v>
      </c>
      <c r="B1" s="90" t="s">
        <v>1</v>
      </c>
      <c r="C1" s="90" t="s">
        <v>2</v>
      </c>
      <c r="D1" s="91" t="s">
        <v>3</v>
      </c>
      <c r="E1" s="90" t="s">
        <v>4</v>
      </c>
      <c r="F1" s="91" t="s">
        <v>5</v>
      </c>
      <c r="G1" s="91" t="s">
        <v>6</v>
      </c>
      <c r="H1" s="91" t="s">
        <v>7</v>
      </c>
      <c r="I1" s="92" t="s">
        <v>8</v>
      </c>
      <c r="J1" s="92" t="s">
        <v>9</v>
      </c>
      <c r="K1" s="92" t="s">
        <v>10</v>
      </c>
      <c r="L1" s="92" t="s">
        <v>11</v>
      </c>
      <c r="M1" s="87" t="s">
        <v>12</v>
      </c>
      <c r="N1" s="37" t="s">
        <v>13</v>
      </c>
      <c r="O1" s="37" t="s">
        <v>14</v>
      </c>
      <c r="P1" s="37" t="s">
        <v>15</v>
      </c>
      <c r="Q1" s="37" t="s">
        <v>16</v>
      </c>
      <c r="R1" s="88" t="s">
        <v>17</v>
      </c>
      <c r="S1" s="37" t="s">
        <v>18</v>
      </c>
      <c r="T1" s="37" t="s">
        <v>19</v>
      </c>
      <c r="U1" s="37" t="s">
        <v>20</v>
      </c>
      <c r="V1" s="37" t="s">
        <v>21</v>
      </c>
      <c r="W1" s="87" t="s">
        <v>22</v>
      </c>
      <c r="X1" s="87" t="s">
        <v>23</v>
      </c>
      <c r="Y1" s="87" t="s">
        <v>24</v>
      </c>
      <c r="Z1" s="87" t="s">
        <v>25</v>
      </c>
      <c r="AA1" s="87" t="s">
        <v>26</v>
      </c>
      <c r="AB1" s="87" t="s">
        <v>27</v>
      </c>
      <c r="AC1" s="87" t="s">
        <v>28</v>
      </c>
      <c r="AD1" s="37" t="s">
        <v>29</v>
      </c>
      <c r="AE1" s="37" t="s">
        <v>30</v>
      </c>
      <c r="AF1" s="37" t="s">
        <v>31</v>
      </c>
      <c r="AG1" s="37" t="s">
        <v>32</v>
      </c>
    </row>
    <row r="2" spans="1:33" s="3" customFormat="1" ht="343.25" customHeight="1">
      <c r="A2" s="97" t="s">
        <v>33</v>
      </c>
      <c r="B2" s="97" t="s">
        <v>34</v>
      </c>
      <c r="C2" s="97" t="s">
        <v>35</v>
      </c>
      <c r="D2" s="98">
        <v>2025</v>
      </c>
      <c r="E2" s="97" t="s">
        <v>36</v>
      </c>
      <c r="F2" s="98">
        <v>10</v>
      </c>
      <c r="G2" s="98">
        <v>12</v>
      </c>
      <c r="H2" s="98">
        <v>346</v>
      </c>
      <c r="I2" s="97"/>
      <c r="J2" s="97"/>
      <c r="K2" s="94"/>
      <c r="L2" s="97">
        <v>0</v>
      </c>
      <c r="M2" s="98" t="s">
        <v>37</v>
      </c>
      <c r="N2" s="97" t="s">
        <v>38</v>
      </c>
      <c r="O2" s="97" t="s">
        <v>39</v>
      </c>
      <c r="P2" s="97" t="s">
        <v>40</v>
      </c>
      <c r="Q2" s="97" t="s">
        <v>41</v>
      </c>
      <c r="R2" s="97" t="s">
        <v>42</v>
      </c>
      <c r="S2" s="97"/>
      <c r="T2" s="97" t="s">
        <v>43</v>
      </c>
      <c r="U2" s="97"/>
      <c r="V2" s="97" t="s">
        <v>44</v>
      </c>
      <c r="W2" s="98">
        <v>24123811</v>
      </c>
      <c r="X2" s="98"/>
      <c r="Y2" s="98"/>
      <c r="Z2" s="98"/>
      <c r="AA2" s="98" t="s">
        <v>45</v>
      </c>
      <c r="AB2" s="98" t="s">
        <v>36</v>
      </c>
      <c r="AC2" s="98" t="s">
        <v>46</v>
      </c>
      <c r="AD2" s="97" t="s">
        <v>47</v>
      </c>
      <c r="AE2" s="97" t="s">
        <v>48</v>
      </c>
      <c r="AF2" s="97" t="s">
        <v>49</v>
      </c>
      <c r="AG2" s="97" t="s">
        <v>50</v>
      </c>
    </row>
    <row r="3" spans="1:33" ht="343.25" customHeight="1">
      <c r="A3" s="97" t="s">
        <v>51</v>
      </c>
      <c r="B3" s="97" t="s">
        <v>52</v>
      </c>
      <c r="C3" s="97" t="s">
        <v>53</v>
      </c>
      <c r="D3">
        <v>2023</v>
      </c>
      <c r="E3" s="97" t="s">
        <v>54</v>
      </c>
      <c r="F3">
        <v>76</v>
      </c>
      <c r="G3"/>
      <c r="H3">
        <v>107053</v>
      </c>
      <c r="I3"/>
      <c r="J3"/>
      <c r="K3" s="93"/>
      <c r="L3">
        <v>17</v>
      </c>
      <c r="M3" t="s">
        <v>55</v>
      </c>
      <c r="N3" s="97" t="s">
        <v>56</v>
      </c>
      <c r="O3" s="97" t="s">
        <v>57</v>
      </c>
      <c r="P3" s="97" t="s">
        <v>58</v>
      </c>
      <c r="Q3" s="97" t="s">
        <v>59</v>
      </c>
      <c r="R3" s="97"/>
      <c r="S3" s="97" t="s">
        <v>60</v>
      </c>
      <c r="T3" s="97" t="s">
        <v>61</v>
      </c>
      <c r="U3" s="97"/>
      <c r="V3" s="97" t="s">
        <v>62</v>
      </c>
      <c r="W3" s="98">
        <v>23527102</v>
      </c>
      <c r="X3" s="98"/>
      <c r="Y3" s="98"/>
      <c r="Z3" s="98"/>
      <c r="AA3" s="98" t="s">
        <v>45</v>
      </c>
      <c r="AB3" s="98" t="s">
        <v>63</v>
      </c>
      <c r="AC3" s="98" t="s">
        <v>46</v>
      </c>
      <c r="AD3" s="97" t="s">
        <v>47</v>
      </c>
      <c r="AE3" s="97"/>
      <c r="AF3" s="97" t="s">
        <v>49</v>
      </c>
      <c r="AG3" s="97" t="s">
        <v>64</v>
      </c>
    </row>
    <row r="4" spans="1:33" ht="343.25" customHeight="1">
      <c r="A4" s="97" t="s">
        <v>65</v>
      </c>
      <c r="B4" s="97" t="s">
        <v>66</v>
      </c>
      <c r="C4" s="97" t="s">
        <v>67</v>
      </c>
      <c r="D4">
        <v>2018</v>
      </c>
      <c r="E4" s="97" t="s">
        <v>68</v>
      </c>
      <c r="F4">
        <v>50</v>
      </c>
      <c r="G4">
        <v>1</v>
      </c>
      <c r="H4"/>
      <c r="I4">
        <v>104</v>
      </c>
      <c r="J4">
        <v>112</v>
      </c>
      <c r="K4" s="93">
        <f>scopus[[#This Row],[Page end]]-scopus[[#This Row],[Page start]]</f>
        <v>8</v>
      </c>
      <c r="L4">
        <v>8</v>
      </c>
      <c r="M4" t="s">
        <v>69</v>
      </c>
      <c r="N4" s="97" t="s">
        <v>70</v>
      </c>
      <c r="O4" s="97" t="s">
        <v>71</v>
      </c>
      <c r="P4" s="97" t="s">
        <v>72</v>
      </c>
      <c r="Q4" s="97" t="s">
        <v>73</v>
      </c>
      <c r="R4" s="97" t="s">
        <v>74</v>
      </c>
      <c r="S4" s="97" t="s">
        <v>75</v>
      </c>
      <c r="T4" s="97" t="s">
        <v>76</v>
      </c>
      <c r="U4" s="97"/>
      <c r="V4" s="97" t="s">
        <v>77</v>
      </c>
      <c r="W4" s="98">
        <v>7356161</v>
      </c>
      <c r="X4" s="98"/>
      <c r="Y4" s="98" t="s">
        <v>78</v>
      </c>
      <c r="Z4" s="98"/>
      <c r="AA4" s="98" t="s">
        <v>45</v>
      </c>
      <c r="AB4" s="98" t="s">
        <v>79</v>
      </c>
      <c r="AC4" s="98" t="s">
        <v>46</v>
      </c>
      <c r="AD4" s="97" t="s">
        <v>47</v>
      </c>
      <c r="AE4" s="97" t="s">
        <v>80</v>
      </c>
      <c r="AF4" s="97" t="s">
        <v>49</v>
      </c>
      <c r="AG4" s="97" t="s">
        <v>81</v>
      </c>
    </row>
    <row r="5" spans="1:33" ht="343.25" customHeight="1">
      <c r="A5" s="97" t="s">
        <v>82</v>
      </c>
      <c r="B5" s="97" t="s">
        <v>83</v>
      </c>
      <c r="C5" s="97" t="s">
        <v>84</v>
      </c>
      <c r="D5">
        <v>2023</v>
      </c>
      <c r="E5" s="97" t="s">
        <v>85</v>
      </c>
      <c r="F5">
        <v>2</v>
      </c>
      <c r="G5"/>
      <c r="H5"/>
      <c r="I5">
        <v>982</v>
      </c>
      <c r="J5">
        <v>988</v>
      </c>
      <c r="K5" s="93">
        <f>scopus[[#This Row],[Page end]]-scopus[[#This Row],[Page start]]</f>
        <v>6</v>
      </c>
      <c r="L5">
        <v>10</v>
      </c>
      <c r="M5" t="s">
        <v>86</v>
      </c>
      <c r="N5" s="97" t="s">
        <v>87</v>
      </c>
      <c r="O5" s="97" t="s">
        <v>88</v>
      </c>
      <c r="P5" s="97" t="s">
        <v>89</v>
      </c>
      <c r="Q5" s="97" t="s">
        <v>90</v>
      </c>
      <c r="R5" s="97" t="s">
        <v>91</v>
      </c>
      <c r="S5" s="97" t="s">
        <v>92</v>
      </c>
      <c r="T5" s="97"/>
      <c r="U5" s="97" t="s">
        <v>93</v>
      </c>
      <c r="V5" s="97" t="s">
        <v>94</v>
      </c>
      <c r="W5" s="98"/>
      <c r="X5" s="98" t="s">
        <v>95</v>
      </c>
      <c r="Y5" s="98"/>
      <c r="Z5" s="98"/>
      <c r="AA5" s="98" t="s">
        <v>45</v>
      </c>
      <c r="AB5" s="98" t="s">
        <v>96</v>
      </c>
      <c r="AC5" s="98" t="s">
        <v>97</v>
      </c>
      <c r="AD5" s="97" t="s">
        <v>47</v>
      </c>
      <c r="AE5" s="97" t="s">
        <v>80</v>
      </c>
      <c r="AF5" s="97" t="s">
        <v>49</v>
      </c>
      <c r="AG5" s="97" t="s">
        <v>98</v>
      </c>
    </row>
    <row r="6" spans="1:33" ht="343.25" customHeight="1">
      <c r="A6" s="97" t="s">
        <v>99</v>
      </c>
      <c r="B6" s="97" t="s">
        <v>100</v>
      </c>
      <c r="C6" s="97" t="s">
        <v>101</v>
      </c>
      <c r="D6">
        <v>2019</v>
      </c>
      <c r="E6" s="97" t="s">
        <v>54</v>
      </c>
      <c r="F6">
        <v>26</v>
      </c>
      <c r="G6"/>
      <c r="H6">
        <v>100881</v>
      </c>
      <c r="I6"/>
      <c r="J6"/>
      <c r="K6" s="93"/>
      <c r="L6">
        <v>55</v>
      </c>
      <c r="M6" t="s">
        <v>102</v>
      </c>
      <c r="N6" s="97" t="s">
        <v>103</v>
      </c>
      <c r="O6" s="97" t="s">
        <v>104</v>
      </c>
      <c r="P6" s="97" t="s">
        <v>105</v>
      </c>
      <c r="Q6" s="97" t="s">
        <v>106</v>
      </c>
      <c r="R6" s="97" t="s">
        <v>107</v>
      </c>
      <c r="S6" s="97" t="s">
        <v>108</v>
      </c>
      <c r="T6" s="97" t="s">
        <v>109</v>
      </c>
      <c r="U6" s="97"/>
      <c r="V6" s="97" t="s">
        <v>62</v>
      </c>
      <c r="W6" s="98">
        <v>23527102</v>
      </c>
      <c r="X6" s="98"/>
      <c r="Y6" s="98"/>
      <c r="Z6" s="98"/>
      <c r="AA6" s="98" t="s">
        <v>45</v>
      </c>
      <c r="AB6" s="98" t="s">
        <v>63</v>
      </c>
      <c r="AC6" s="98" t="s">
        <v>110</v>
      </c>
      <c r="AD6" s="97" t="s">
        <v>47</v>
      </c>
      <c r="AE6" s="97"/>
      <c r="AF6" s="97" t="s">
        <v>49</v>
      </c>
      <c r="AG6" s="97" t="s">
        <v>111</v>
      </c>
    </row>
    <row r="7" spans="1:33" ht="343.25" customHeight="1">
      <c r="A7" s="97" t="s">
        <v>112</v>
      </c>
      <c r="B7" s="97" t="s">
        <v>113</v>
      </c>
      <c r="C7" s="97" t="s">
        <v>114</v>
      </c>
      <c r="D7">
        <v>2024</v>
      </c>
      <c r="E7" s="97" t="s">
        <v>115</v>
      </c>
      <c r="F7">
        <v>389</v>
      </c>
      <c r="G7"/>
      <c r="H7"/>
      <c r="I7">
        <v>157</v>
      </c>
      <c r="J7">
        <v>163</v>
      </c>
      <c r="K7" s="93">
        <f>scopus[[#This Row],[Page end]]-scopus[[#This Row],[Page start]]</f>
        <v>6</v>
      </c>
      <c r="L7">
        <v>2</v>
      </c>
      <c r="M7" t="s">
        <v>116</v>
      </c>
      <c r="N7" s="97" t="s">
        <v>117</v>
      </c>
      <c r="O7" s="97" t="s">
        <v>118</v>
      </c>
      <c r="P7" s="97" t="s">
        <v>119</v>
      </c>
      <c r="Q7" s="97" t="s">
        <v>120</v>
      </c>
      <c r="R7" s="97" t="s">
        <v>121</v>
      </c>
      <c r="S7" s="97" t="s">
        <v>122</v>
      </c>
      <c r="T7" s="97" t="s">
        <v>123</v>
      </c>
      <c r="U7" s="97" t="s">
        <v>124</v>
      </c>
      <c r="V7" s="97" t="s">
        <v>125</v>
      </c>
      <c r="W7" s="98">
        <v>23662557</v>
      </c>
      <c r="X7" s="98" t="s">
        <v>126</v>
      </c>
      <c r="Y7" s="98"/>
      <c r="Z7" s="98"/>
      <c r="AA7" s="98" t="s">
        <v>45</v>
      </c>
      <c r="AB7" s="98" t="s">
        <v>127</v>
      </c>
      <c r="AC7" s="98" t="s">
        <v>97</v>
      </c>
      <c r="AD7" s="97" t="s">
        <v>47</v>
      </c>
      <c r="AE7" s="97"/>
      <c r="AF7" s="97" t="s">
        <v>49</v>
      </c>
      <c r="AG7" s="97" t="s">
        <v>128</v>
      </c>
    </row>
    <row r="8" spans="1:33" ht="343.25" customHeight="1">
      <c r="A8" s="97" t="s">
        <v>129</v>
      </c>
      <c r="B8" s="97" t="s">
        <v>130</v>
      </c>
      <c r="C8" s="97" t="s">
        <v>131</v>
      </c>
      <c r="D8">
        <v>2017</v>
      </c>
      <c r="E8" s="97" t="s">
        <v>132</v>
      </c>
      <c r="F8"/>
      <c r="G8"/>
      <c r="H8"/>
      <c r="I8"/>
      <c r="J8"/>
      <c r="K8" s="93"/>
      <c r="L8">
        <v>14</v>
      </c>
      <c r="M8"/>
      <c r="N8" s="97" t="s">
        <v>133</v>
      </c>
      <c r="O8" s="97" t="s">
        <v>134</v>
      </c>
      <c r="P8" s="97" t="s">
        <v>135</v>
      </c>
      <c r="Q8" s="97" t="s">
        <v>136</v>
      </c>
      <c r="R8" s="97" t="s">
        <v>137</v>
      </c>
      <c r="S8" s="97" t="s">
        <v>138</v>
      </c>
      <c r="T8" s="97"/>
      <c r="U8" s="97" t="s">
        <v>139</v>
      </c>
      <c r="V8" s="97" t="s">
        <v>140</v>
      </c>
      <c r="W8" s="98"/>
      <c r="X8" s="98"/>
      <c r="Y8" s="98"/>
      <c r="Z8" s="98"/>
      <c r="AA8" s="98" t="s">
        <v>45</v>
      </c>
      <c r="AB8" s="98" t="s">
        <v>141</v>
      </c>
      <c r="AC8" s="98" t="s">
        <v>97</v>
      </c>
      <c r="AD8" s="97" t="s">
        <v>47</v>
      </c>
      <c r="AE8" s="97"/>
      <c r="AF8" s="97" t="s">
        <v>49</v>
      </c>
      <c r="AG8" s="97" t="s">
        <v>142</v>
      </c>
    </row>
    <row r="9" spans="1:33" ht="343.25" customHeight="1">
      <c r="A9" s="97" t="s">
        <v>143</v>
      </c>
      <c r="B9" s="97" t="s">
        <v>144</v>
      </c>
      <c r="C9" s="97" t="s">
        <v>145</v>
      </c>
      <c r="D9">
        <v>2021</v>
      </c>
      <c r="E9" s="97" t="s">
        <v>146</v>
      </c>
      <c r="F9">
        <v>2021</v>
      </c>
      <c r="G9"/>
      <c r="H9">
        <v>6688076</v>
      </c>
      <c r="I9"/>
      <c r="J9"/>
      <c r="K9" s="93"/>
      <c r="L9">
        <v>21</v>
      </c>
      <c r="M9" t="s">
        <v>147</v>
      </c>
      <c r="N9" s="97" t="s">
        <v>148</v>
      </c>
      <c r="O9" s="97" t="s">
        <v>149</v>
      </c>
      <c r="P9" s="97" t="s">
        <v>150</v>
      </c>
      <c r="Q9" s="97" t="s">
        <v>151</v>
      </c>
      <c r="R9" s="97"/>
      <c r="S9" s="97"/>
      <c r="T9" s="97" t="s">
        <v>152</v>
      </c>
      <c r="U9" s="97"/>
      <c r="V9" s="97" t="s">
        <v>153</v>
      </c>
      <c r="W9" s="98">
        <v>16878086</v>
      </c>
      <c r="X9" s="98"/>
      <c r="Y9" s="98"/>
      <c r="Z9" s="98"/>
      <c r="AA9" s="98" t="s">
        <v>45</v>
      </c>
      <c r="AB9" s="98" t="s">
        <v>154</v>
      </c>
      <c r="AC9" s="98" t="s">
        <v>46</v>
      </c>
      <c r="AD9" s="97" t="s">
        <v>47</v>
      </c>
      <c r="AE9" s="97" t="s">
        <v>48</v>
      </c>
      <c r="AF9" s="97" t="s">
        <v>49</v>
      </c>
      <c r="AG9" s="97" t="s">
        <v>155</v>
      </c>
    </row>
    <row r="10" spans="1:33" ht="343.25" customHeight="1">
      <c r="A10" s="97" t="s">
        <v>156</v>
      </c>
      <c r="B10" s="97" t="s">
        <v>157</v>
      </c>
      <c r="C10" s="97" t="s">
        <v>158</v>
      </c>
      <c r="D10">
        <v>2025</v>
      </c>
      <c r="E10" s="97" t="s">
        <v>159</v>
      </c>
      <c r="F10">
        <v>7</v>
      </c>
      <c r="G10">
        <v>11</v>
      </c>
      <c r="H10">
        <v>115024</v>
      </c>
      <c r="I10"/>
      <c r="J10"/>
      <c r="K10" s="93"/>
      <c r="L10">
        <v>0</v>
      </c>
      <c r="M10" t="s">
        <v>160</v>
      </c>
      <c r="N10" s="97" t="s">
        <v>161</v>
      </c>
      <c r="O10" s="97" t="s">
        <v>162</v>
      </c>
      <c r="P10" s="97" t="s">
        <v>163</v>
      </c>
      <c r="Q10" s="97" t="s">
        <v>164</v>
      </c>
      <c r="R10" s="97" t="s">
        <v>165</v>
      </c>
      <c r="S10" s="97" t="s">
        <v>166</v>
      </c>
      <c r="T10" s="97" t="s">
        <v>167</v>
      </c>
      <c r="U10" s="97"/>
      <c r="V10" s="97" t="s">
        <v>168</v>
      </c>
      <c r="W10" s="98">
        <v>25157620</v>
      </c>
      <c r="X10" s="98"/>
      <c r="Y10" s="98"/>
      <c r="Z10" s="98"/>
      <c r="AA10" s="98" t="s">
        <v>45</v>
      </c>
      <c r="AB10" s="98" t="s">
        <v>169</v>
      </c>
      <c r="AC10" s="98" t="s">
        <v>46</v>
      </c>
      <c r="AD10" s="97" t="s">
        <v>47</v>
      </c>
      <c r="AE10" s="97" t="s">
        <v>48</v>
      </c>
      <c r="AF10" s="97" t="s">
        <v>49</v>
      </c>
      <c r="AG10" s="97" t="s">
        <v>170</v>
      </c>
    </row>
    <row r="11" spans="1:33" ht="343.25" customHeight="1">
      <c r="A11" s="97" t="s">
        <v>171</v>
      </c>
      <c r="B11" s="97" t="s">
        <v>172</v>
      </c>
      <c r="C11" s="97" t="s">
        <v>173</v>
      </c>
      <c r="D11">
        <v>2025</v>
      </c>
      <c r="E11" s="97" t="s">
        <v>174</v>
      </c>
      <c r="F11"/>
      <c r="G11"/>
      <c r="H11"/>
      <c r="I11">
        <v>1416</v>
      </c>
      <c r="J11">
        <v>1422</v>
      </c>
      <c r="K11" s="93">
        <f>scopus[[#This Row],[Page end]]-scopus[[#This Row],[Page start]]</f>
        <v>6</v>
      </c>
      <c r="L11">
        <v>0</v>
      </c>
      <c r="M11" t="s">
        <v>175</v>
      </c>
      <c r="N11" s="97" t="s">
        <v>176</v>
      </c>
      <c r="O11" s="97" t="s">
        <v>177</v>
      </c>
      <c r="P11" s="97" t="s">
        <v>178</v>
      </c>
      <c r="Q11" s="97" t="s">
        <v>179</v>
      </c>
      <c r="R11" s="97" t="s">
        <v>180</v>
      </c>
      <c r="S11" s="97" t="s">
        <v>181</v>
      </c>
      <c r="T11" s="97"/>
      <c r="U11" s="97" t="s">
        <v>182</v>
      </c>
      <c r="V11" s="97" t="s">
        <v>94</v>
      </c>
      <c r="W11" s="98"/>
      <c r="X11" s="98" t="s">
        <v>183</v>
      </c>
      <c r="Y11" s="98"/>
      <c r="Z11" s="98"/>
      <c r="AA11" s="98" t="s">
        <v>45</v>
      </c>
      <c r="AB11" s="98" t="s">
        <v>184</v>
      </c>
      <c r="AC11" s="98" t="s">
        <v>97</v>
      </c>
      <c r="AD11" s="97" t="s">
        <v>47</v>
      </c>
      <c r="AE11" s="97"/>
      <c r="AF11" s="97" t="s">
        <v>49</v>
      </c>
      <c r="AG11" s="97" t="s">
        <v>185</v>
      </c>
    </row>
    <row r="12" spans="1:33" ht="343.25" customHeight="1">
      <c r="A12" s="97" t="s">
        <v>186</v>
      </c>
      <c r="B12" s="97" t="s">
        <v>187</v>
      </c>
      <c r="C12" s="97" t="s">
        <v>188</v>
      </c>
      <c r="D12">
        <v>2026</v>
      </c>
      <c r="E12" s="97" t="s">
        <v>189</v>
      </c>
      <c r="F12">
        <v>290</v>
      </c>
      <c r="G12"/>
      <c r="H12">
        <v>114169</v>
      </c>
      <c r="I12"/>
      <c r="J12"/>
      <c r="K12" s="93"/>
      <c r="L12">
        <v>0</v>
      </c>
      <c r="M12" t="s">
        <v>190</v>
      </c>
      <c r="N12" s="97" t="s">
        <v>191</v>
      </c>
      <c r="O12" s="97" t="s">
        <v>192</v>
      </c>
      <c r="P12" s="97" t="s">
        <v>193</v>
      </c>
      <c r="Q12" s="97" t="s">
        <v>194</v>
      </c>
      <c r="R12" s="97" t="s">
        <v>195</v>
      </c>
      <c r="S12" s="97" t="s">
        <v>196</v>
      </c>
      <c r="T12" s="97" t="s">
        <v>197</v>
      </c>
      <c r="U12" s="97"/>
      <c r="V12" s="97" t="s">
        <v>62</v>
      </c>
      <c r="W12" s="98">
        <v>3601323</v>
      </c>
      <c r="X12" s="98"/>
      <c r="Y12" s="98" t="s">
        <v>198</v>
      </c>
      <c r="Z12" s="98"/>
      <c r="AA12" s="98" t="s">
        <v>45</v>
      </c>
      <c r="AB12" s="98" t="s">
        <v>199</v>
      </c>
      <c r="AC12" s="98" t="s">
        <v>46</v>
      </c>
      <c r="AD12" s="97" t="s">
        <v>47</v>
      </c>
      <c r="AE12" s="97"/>
      <c r="AF12" s="97" t="s">
        <v>49</v>
      </c>
      <c r="AG12" s="97" t="s">
        <v>200</v>
      </c>
    </row>
    <row r="13" spans="1:33" ht="343.25" customHeight="1">
      <c r="A13" s="97" t="s">
        <v>201</v>
      </c>
      <c r="B13" s="97" t="s">
        <v>202</v>
      </c>
      <c r="C13" s="97" t="s">
        <v>203</v>
      </c>
      <c r="D13">
        <v>2024</v>
      </c>
      <c r="E13" s="97" t="s">
        <v>204</v>
      </c>
      <c r="F13">
        <v>2024</v>
      </c>
      <c r="G13"/>
      <c r="H13"/>
      <c r="I13"/>
      <c r="J13"/>
      <c r="K13" s="93"/>
      <c r="L13">
        <v>0</v>
      </c>
      <c r="M13"/>
      <c r="N13" s="97" t="s">
        <v>205</v>
      </c>
      <c r="O13" s="97" t="s">
        <v>206</v>
      </c>
      <c r="P13" s="97" t="s">
        <v>207</v>
      </c>
      <c r="Q13" s="97" t="s">
        <v>208</v>
      </c>
      <c r="R13" s="97"/>
      <c r="S13" s="97" t="s">
        <v>209</v>
      </c>
      <c r="T13" s="97"/>
      <c r="U13" s="97"/>
      <c r="V13" s="97" t="s">
        <v>210</v>
      </c>
      <c r="W13" s="98">
        <v>30065933</v>
      </c>
      <c r="X13" s="98"/>
      <c r="Y13" s="98"/>
      <c r="Z13" s="98"/>
      <c r="AA13" s="98" t="s">
        <v>45</v>
      </c>
      <c r="AB13" s="98" t="s">
        <v>211</v>
      </c>
      <c r="AC13" s="98" t="s">
        <v>212</v>
      </c>
      <c r="AD13" s="97" t="s">
        <v>47</v>
      </c>
      <c r="AE13" s="97"/>
      <c r="AF13" s="97" t="s">
        <v>49</v>
      </c>
      <c r="AG13" s="97" t="s">
        <v>213</v>
      </c>
    </row>
    <row r="14" spans="1:33" ht="343.25" customHeight="1">
      <c r="A14" s="97" t="s">
        <v>214</v>
      </c>
      <c r="B14" s="97" t="s">
        <v>215</v>
      </c>
      <c r="C14" s="97" t="s">
        <v>216</v>
      </c>
      <c r="D14">
        <v>2019</v>
      </c>
      <c r="E14" s="97" t="s">
        <v>217</v>
      </c>
      <c r="F14">
        <v>14</v>
      </c>
      <c r="G14">
        <v>5</v>
      </c>
      <c r="H14"/>
      <c r="I14">
        <v>342</v>
      </c>
      <c r="J14">
        <v>354</v>
      </c>
      <c r="K14" s="93">
        <f>scopus[[#This Row],[Page end]]-scopus[[#This Row],[Page start]]</f>
        <v>12</v>
      </c>
      <c r="L14">
        <v>33</v>
      </c>
      <c r="M14" t="s">
        <v>218</v>
      </c>
      <c r="N14" s="97" t="s">
        <v>219</v>
      </c>
      <c r="O14" s="97" t="s">
        <v>220</v>
      </c>
      <c r="P14" s="97" t="s">
        <v>221</v>
      </c>
      <c r="Q14" s="97" t="s">
        <v>222</v>
      </c>
      <c r="R14" s="97" t="s">
        <v>223</v>
      </c>
      <c r="S14" s="97" t="s">
        <v>224</v>
      </c>
      <c r="T14" s="97" t="s">
        <v>225</v>
      </c>
      <c r="U14" s="97"/>
      <c r="V14" s="97" t="s">
        <v>226</v>
      </c>
      <c r="W14" s="98">
        <v>17480272</v>
      </c>
      <c r="X14" s="98"/>
      <c r="Y14" s="98"/>
      <c r="Z14" s="98"/>
      <c r="AA14" s="98" t="s">
        <v>45</v>
      </c>
      <c r="AB14" s="98" t="s">
        <v>227</v>
      </c>
      <c r="AC14" s="98" t="s">
        <v>46</v>
      </c>
      <c r="AD14" s="97" t="s">
        <v>47</v>
      </c>
      <c r="AE14" s="97"/>
      <c r="AF14" s="97" t="s">
        <v>49</v>
      </c>
      <c r="AG14" s="97" t="s">
        <v>228</v>
      </c>
    </row>
    <row r="15" spans="1:33" ht="343.25" customHeight="1">
      <c r="A15" s="97" t="s">
        <v>229</v>
      </c>
      <c r="B15" s="97" t="s">
        <v>230</v>
      </c>
      <c r="C15" s="97" t="s">
        <v>231</v>
      </c>
      <c r="D15">
        <v>2019</v>
      </c>
      <c r="E15" s="97" t="s">
        <v>232</v>
      </c>
      <c r="F15">
        <v>213</v>
      </c>
      <c r="G15"/>
      <c r="H15"/>
      <c r="I15">
        <v>696</v>
      </c>
      <c r="J15">
        <v>708</v>
      </c>
      <c r="K15" s="93">
        <f>scopus[[#This Row],[Page end]]-scopus[[#This Row],[Page start]]</f>
        <v>12</v>
      </c>
      <c r="L15">
        <v>66</v>
      </c>
      <c r="M15" t="s">
        <v>233</v>
      </c>
      <c r="N15" s="97" t="s">
        <v>234</v>
      </c>
      <c r="O15" s="97" t="s">
        <v>235</v>
      </c>
      <c r="P15" s="97" t="s">
        <v>236</v>
      </c>
      <c r="Q15" s="97" t="s">
        <v>237</v>
      </c>
      <c r="R15" s="97" t="s">
        <v>238</v>
      </c>
      <c r="S15" s="97" t="s">
        <v>239</v>
      </c>
      <c r="T15" s="97" t="s">
        <v>240</v>
      </c>
      <c r="U15" s="97"/>
      <c r="V15" s="97" t="s">
        <v>62</v>
      </c>
      <c r="W15" s="98">
        <v>9500618</v>
      </c>
      <c r="X15" s="98"/>
      <c r="Y15" s="98" t="s">
        <v>241</v>
      </c>
      <c r="Z15" s="98"/>
      <c r="AA15" s="98" t="s">
        <v>45</v>
      </c>
      <c r="AB15" s="98" t="s">
        <v>242</v>
      </c>
      <c r="AC15" s="98" t="s">
        <v>46</v>
      </c>
      <c r="AD15" s="97" t="s">
        <v>47</v>
      </c>
      <c r="AE15" s="97"/>
      <c r="AF15" s="97" t="s">
        <v>49</v>
      </c>
      <c r="AG15" s="97" t="s">
        <v>243</v>
      </c>
    </row>
    <row r="16" spans="1:33" ht="343.25" customHeight="1">
      <c r="A16" s="97" t="s">
        <v>244</v>
      </c>
      <c r="B16" s="97" t="s">
        <v>245</v>
      </c>
      <c r="C16" s="97" t="s">
        <v>246</v>
      </c>
      <c r="D16">
        <v>2025</v>
      </c>
      <c r="E16" s="97" t="s">
        <v>247</v>
      </c>
      <c r="F16"/>
      <c r="G16"/>
      <c r="H16"/>
      <c r="I16">
        <v>166</v>
      </c>
      <c r="J16">
        <v>175</v>
      </c>
      <c r="K16" s="93">
        <f>scopus[[#This Row],[Page end]]-scopus[[#This Row],[Page start]]</f>
        <v>9</v>
      </c>
      <c r="L16">
        <v>0</v>
      </c>
      <c r="M16" t="s">
        <v>248</v>
      </c>
      <c r="N16" s="97" t="s">
        <v>249</v>
      </c>
      <c r="O16" s="97" t="s">
        <v>250</v>
      </c>
      <c r="P16" s="97" t="s">
        <v>251</v>
      </c>
      <c r="Q16" s="97" t="s">
        <v>252</v>
      </c>
      <c r="R16" s="97" t="s">
        <v>253</v>
      </c>
      <c r="S16" s="97"/>
      <c r="T16" s="97" t="s">
        <v>254</v>
      </c>
      <c r="U16" s="97" t="s">
        <v>255</v>
      </c>
      <c r="V16" s="97" t="s">
        <v>256</v>
      </c>
      <c r="W16" s="98">
        <v>22093850</v>
      </c>
      <c r="X16" s="98" t="s">
        <v>257</v>
      </c>
      <c r="Y16" s="98"/>
      <c r="Z16" s="98"/>
      <c r="AA16" s="98" t="s">
        <v>45</v>
      </c>
      <c r="AB16" s="98" t="s">
        <v>258</v>
      </c>
      <c r="AC16" s="98" t="s">
        <v>97</v>
      </c>
      <c r="AD16" s="97" t="s">
        <v>47</v>
      </c>
      <c r="AE16" s="97" t="s">
        <v>48</v>
      </c>
      <c r="AF16" s="97" t="s">
        <v>49</v>
      </c>
      <c r="AG16" s="97" t="s">
        <v>259</v>
      </c>
    </row>
    <row r="17" spans="1:33" ht="343.25" customHeight="1">
      <c r="A17" s="97" t="s">
        <v>260</v>
      </c>
      <c r="B17" s="97" t="s">
        <v>261</v>
      </c>
      <c r="C17" s="97" t="s">
        <v>262</v>
      </c>
      <c r="D17">
        <v>2025</v>
      </c>
      <c r="E17" s="97" t="s">
        <v>263</v>
      </c>
      <c r="F17">
        <v>17</v>
      </c>
      <c r="G17">
        <v>12</v>
      </c>
      <c r="H17">
        <v>5602</v>
      </c>
      <c r="I17"/>
      <c r="J17"/>
      <c r="K17" s="93"/>
      <c r="L17">
        <v>4</v>
      </c>
      <c r="M17" t="s">
        <v>264</v>
      </c>
      <c r="N17" s="97" t="s">
        <v>265</v>
      </c>
      <c r="O17" s="97" t="s">
        <v>266</v>
      </c>
      <c r="P17" s="97" t="s">
        <v>267</v>
      </c>
      <c r="Q17" s="97" t="s">
        <v>268</v>
      </c>
      <c r="R17" s="97" t="s">
        <v>269</v>
      </c>
      <c r="S17" s="97" t="s">
        <v>270</v>
      </c>
      <c r="T17" s="97" t="s">
        <v>271</v>
      </c>
      <c r="U17" s="97"/>
      <c r="V17" s="97" t="s">
        <v>44</v>
      </c>
      <c r="W17" s="98">
        <v>20711050</v>
      </c>
      <c r="X17" s="98"/>
      <c r="Y17" s="98"/>
      <c r="Z17" s="98"/>
      <c r="AA17" s="98" t="s">
        <v>45</v>
      </c>
      <c r="AB17" s="98" t="s">
        <v>272</v>
      </c>
      <c r="AC17" s="98" t="s">
        <v>46</v>
      </c>
      <c r="AD17" s="97" t="s">
        <v>47</v>
      </c>
      <c r="AE17" s="97" t="s">
        <v>80</v>
      </c>
      <c r="AF17" s="97" t="s">
        <v>49</v>
      </c>
      <c r="AG17" s="97" t="s">
        <v>273</v>
      </c>
    </row>
    <row r="18" spans="1:33" ht="343.25" customHeight="1">
      <c r="A18" s="97" t="s">
        <v>274</v>
      </c>
      <c r="B18" s="97" t="s">
        <v>275</v>
      </c>
      <c r="C18" s="97" t="s">
        <v>276</v>
      </c>
      <c r="D18">
        <v>2025</v>
      </c>
      <c r="E18" s="97" t="s">
        <v>263</v>
      </c>
      <c r="F18">
        <v>17</v>
      </c>
      <c r="G18">
        <v>5</v>
      </c>
      <c r="H18">
        <v>2073</v>
      </c>
      <c r="I18"/>
      <c r="J18"/>
      <c r="K18" s="93"/>
      <c r="L18">
        <v>5</v>
      </c>
      <c r="M18" t="s">
        <v>277</v>
      </c>
      <c r="N18" s="97" t="s">
        <v>278</v>
      </c>
      <c r="O18" s="97" t="s">
        <v>279</v>
      </c>
      <c r="P18" s="97" t="s">
        <v>280</v>
      </c>
      <c r="Q18" s="97" t="s">
        <v>281</v>
      </c>
      <c r="R18" s="97" t="s">
        <v>282</v>
      </c>
      <c r="S18" s="97" t="s">
        <v>283</v>
      </c>
      <c r="T18" s="97" t="s">
        <v>284</v>
      </c>
      <c r="U18" s="97"/>
      <c r="V18" s="97" t="s">
        <v>44</v>
      </c>
      <c r="W18" s="98">
        <v>20711050</v>
      </c>
      <c r="X18" s="98"/>
      <c r="Y18" s="98"/>
      <c r="Z18" s="98"/>
      <c r="AA18" s="98" t="s">
        <v>45</v>
      </c>
      <c r="AB18" s="98" t="s">
        <v>272</v>
      </c>
      <c r="AC18" s="98" t="s">
        <v>46</v>
      </c>
      <c r="AD18" s="97" t="s">
        <v>47</v>
      </c>
      <c r="AE18" s="97" t="s">
        <v>80</v>
      </c>
      <c r="AF18" s="97" t="s">
        <v>49</v>
      </c>
      <c r="AG18" s="97" t="s">
        <v>285</v>
      </c>
    </row>
    <row r="19" spans="1:33" ht="343.25" customHeight="1">
      <c r="A19" s="97" t="s">
        <v>286</v>
      </c>
      <c r="B19" s="97" t="s">
        <v>287</v>
      </c>
      <c r="C19" s="97" t="s">
        <v>288</v>
      </c>
      <c r="D19">
        <v>2023</v>
      </c>
      <c r="E19" s="97" t="s">
        <v>289</v>
      </c>
      <c r="F19">
        <v>149</v>
      </c>
      <c r="G19">
        <v>5</v>
      </c>
      <c r="H19">
        <v>4023046</v>
      </c>
      <c r="I19"/>
      <c r="J19"/>
      <c r="K19" s="93"/>
      <c r="L19">
        <v>6</v>
      </c>
      <c r="M19" t="s">
        <v>290</v>
      </c>
      <c r="N19" s="97" t="s">
        <v>291</v>
      </c>
      <c r="O19" s="97" t="s">
        <v>292</v>
      </c>
      <c r="P19" s="97" t="s">
        <v>293</v>
      </c>
      <c r="Q19" s="97" t="s">
        <v>294</v>
      </c>
      <c r="R19" s="97" t="s">
        <v>295</v>
      </c>
      <c r="S19" s="97" t="s">
        <v>296</v>
      </c>
      <c r="T19" s="97" t="s">
        <v>297</v>
      </c>
      <c r="U19" s="97"/>
      <c r="V19" s="97" t="s">
        <v>298</v>
      </c>
      <c r="W19" s="98">
        <v>7339445</v>
      </c>
      <c r="X19" s="98"/>
      <c r="Y19" s="98" t="s">
        <v>299</v>
      </c>
      <c r="Z19" s="98"/>
      <c r="AA19" s="98" t="s">
        <v>45</v>
      </c>
      <c r="AB19" s="98" t="s">
        <v>300</v>
      </c>
      <c r="AC19" s="98" t="s">
        <v>46</v>
      </c>
      <c r="AD19" s="97" t="s">
        <v>47</v>
      </c>
      <c r="AE19" s="97"/>
      <c r="AF19" s="97" t="s">
        <v>49</v>
      </c>
      <c r="AG19" s="97" t="s">
        <v>301</v>
      </c>
    </row>
    <row r="20" spans="1:33" ht="343.25" customHeight="1">
      <c r="A20" s="97" t="s">
        <v>302</v>
      </c>
      <c r="B20" s="97" t="s">
        <v>303</v>
      </c>
      <c r="C20" s="97" t="s">
        <v>304</v>
      </c>
      <c r="D20">
        <v>2017</v>
      </c>
      <c r="E20" s="97" t="s">
        <v>305</v>
      </c>
      <c r="F20">
        <v>1</v>
      </c>
      <c r="G20"/>
      <c r="H20"/>
      <c r="I20">
        <v>19</v>
      </c>
      <c r="J20">
        <v>28</v>
      </c>
      <c r="K20" s="93">
        <f>scopus[[#This Row],[Page end]]-scopus[[#This Row],[Page start]]</f>
        <v>9</v>
      </c>
      <c r="L20">
        <v>6</v>
      </c>
      <c r="M20"/>
      <c r="N20" s="97" t="s">
        <v>306</v>
      </c>
      <c r="O20" s="97" t="s">
        <v>307</v>
      </c>
      <c r="P20" s="97" t="s">
        <v>308</v>
      </c>
      <c r="Q20" s="97" t="s">
        <v>309</v>
      </c>
      <c r="R20" s="97"/>
      <c r="S20" s="97" t="s">
        <v>310</v>
      </c>
      <c r="T20" s="97" t="s">
        <v>311</v>
      </c>
      <c r="U20" s="97"/>
      <c r="V20" s="97" t="s">
        <v>312</v>
      </c>
      <c r="W20" s="98"/>
      <c r="X20" s="98" t="s">
        <v>313</v>
      </c>
      <c r="Y20" s="98"/>
      <c r="Z20" s="98"/>
      <c r="AA20" s="98" t="s">
        <v>45</v>
      </c>
      <c r="AB20" s="98" t="s">
        <v>314</v>
      </c>
      <c r="AC20" s="98" t="s">
        <v>97</v>
      </c>
      <c r="AD20" s="97" t="s">
        <v>47</v>
      </c>
      <c r="AE20" s="97"/>
      <c r="AF20" s="97" t="s">
        <v>49</v>
      </c>
      <c r="AG20" s="97" t="s">
        <v>315</v>
      </c>
    </row>
    <row r="21" spans="1:33" ht="343.25" customHeight="1">
      <c r="A21" s="97" t="s">
        <v>316</v>
      </c>
      <c r="B21" s="97" t="s">
        <v>317</v>
      </c>
      <c r="C21" s="97" t="s">
        <v>318</v>
      </c>
      <c r="D21">
        <v>2016</v>
      </c>
      <c r="E21" s="97" t="s">
        <v>319</v>
      </c>
      <c r="F21"/>
      <c r="G21"/>
      <c r="H21"/>
      <c r="I21"/>
      <c r="J21"/>
      <c r="K21" s="93"/>
      <c r="L21">
        <v>0</v>
      </c>
      <c r="M21"/>
      <c r="N21" s="97" t="s">
        <v>320</v>
      </c>
      <c r="O21" s="97" t="s">
        <v>321</v>
      </c>
      <c r="P21" s="97" t="s">
        <v>322</v>
      </c>
      <c r="Q21" s="97" t="s">
        <v>323</v>
      </c>
      <c r="R21" s="97" t="s">
        <v>324</v>
      </c>
      <c r="S21" s="97" t="s">
        <v>325</v>
      </c>
      <c r="T21" s="97"/>
      <c r="U21" s="97"/>
      <c r="V21" s="97" t="s">
        <v>326</v>
      </c>
      <c r="W21" s="98"/>
      <c r="X21" s="98" t="s">
        <v>327</v>
      </c>
      <c r="Y21" s="98"/>
      <c r="Z21" s="98"/>
      <c r="AA21" s="98" t="s">
        <v>45</v>
      </c>
      <c r="AB21" s="98" t="s">
        <v>328</v>
      </c>
      <c r="AC21" s="98" t="s">
        <v>97</v>
      </c>
      <c r="AD21" s="97" t="s">
        <v>47</v>
      </c>
      <c r="AE21" s="97"/>
      <c r="AF21" s="97" t="s">
        <v>49</v>
      </c>
      <c r="AG21" s="97" t="s">
        <v>329</v>
      </c>
    </row>
    <row r="22" spans="1:33" ht="343.25" customHeight="1">
      <c r="A22" s="97" t="s">
        <v>330</v>
      </c>
      <c r="B22" s="97" t="s">
        <v>331</v>
      </c>
      <c r="C22" s="97" t="s">
        <v>332</v>
      </c>
      <c r="D22">
        <v>2023</v>
      </c>
      <c r="E22" s="97" t="s">
        <v>333</v>
      </c>
      <c r="F22"/>
      <c r="G22"/>
      <c r="H22"/>
      <c r="I22"/>
      <c r="J22"/>
      <c r="K22" s="93"/>
      <c r="L22">
        <v>1</v>
      </c>
      <c r="M22"/>
      <c r="N22" s="97" t="s">
        <v>334</v>
      </c>
      <c r="O22" s="97" t="s">
        <v>335</v>
      </c>
      <c r="P22" s="97" t="s">
        <v>336</v>
      </c>
      <c r="Q22" s="97" t="s">
        <v>337</v>
      </c>
      <c r="R22" s="97" t="s">
        <v>338</v>
      </c>
      <c r="S22" s="97" t="s">
        <v>339</v>
      </c>
      <c r="T22" s="97"/>
      <c r="U22" s="97" t="s">
        <v>340</v>
      </c>
      <c r="V22" s="97" t="s">
        <v>341</v>
      </c>
      <c r="W22" s="98">
        <v>23293675</v>
      </c>
      <c r="X22" s="98" t="s">
        <v>342</v>
      </c>
      <c r="Y22" s="98"/>
      <c r="Z22" s="98"/>
      <c r="AA22" s="98" t="s">
        <v>45</v>
      </c>
      <c r="AB22" s="98" t="s">
        <v>343</v>
      </c>
      <c r="AC22" s="98" t="s">
        <v>97</v>
      </c>
      <c r="AD22" s="97" t="s">
        <v>47</v>
      </c>
      <c r="AE22" s="97"/>
      <c r="AF22" s="97" t="s">
        <v>49</v>
      </c>
      <c r="AG22" s="97" t="s">
        <v>344</v>
      </c>
    </row>
    <row r="23" spans="1:33" ht="343.25" customHeight="1">
      <c r="A23" s="97" t="s">
        <v>345</v>
      </c>
      <c r="B23" s="97" t="s">
        <v>346</v>
      </c>
      <c r="C23" s="97" t="s">
        <v>347</v>
      </c>
      <c r="D23">
        <v>2022</v>
      </c>
      <c r="E23" s="97" t="s">
        <v>348</v>
      </c>
      <c r="F23">
        <v>20</v>
      </c>
      <c r="G23">
        <v>2</v>
      </c>
      <c r="H23"/>
      <c r="I23">
        <v>377</v>
      </c>
      <c r="J23">
        <v>385</v>
      </c>
      <c r="K23" s="93">
        <f>scopus[[#This Row],[Page end]]-scopus[[#This Row],[Page start]]</f>
        <v>8</v>
      </c>
      <c r="L23">
        <v>15</v>
      </c>
      <c r="M23" t="s">
        <v>349</v>
      </c>
      <c r="N23" s="97" t="s">
        <v>350</v>
      </c>
      <c r="O23" s="97" t="s">
        <v>351</v>
      </c>
      <c r="P23" s="97" t="s">
        <v>352</v>
      </c>
      <c r="Q23" s="97" t="s">
        <v>353</v>
      </c>
      <c r="R23" s="97" t="s">
        <v>354</v>
      </c>
      <c r="S23" s="97"/>
      <c r="T23" s="97" t="s">
        <v>355</v>
      </c>
      <c r="U23" s="97"/>
      <c r="V23" s="97" t="s">
        <v>356</v>
      </c>
      <c r="W23" s="98">
        <v>14514117</v>
      </c>
      <c r="X23" s="98"/>
      <c r="Y23" s="98"/>
      <c r="Z23" s="98"/>
      <c r="AA23" s="98" t="s">
        <v>45</v>
      </c>
      <c r="AB23" s="98" t="s">
        <v>357</v>
      </c>
      <c r="AC23" s="98" t="s">
        <v>46</v>
      </c>
      <c r="AD23" s="97" t="s">
        <v>47</v>
      </c>
      <c r="AE23" s="97" t="s">
        <v>48</v>
      </c>
      <c r="AF23" s="97" t="s">
        <v>49</v>
      </c>
      <c r="AG23" s="97" t="s">
        <v>358</v>
      </c>
    </row>
    <row r="24" spans="1:33" ht="343.25" customHeight="1">
      <c r="A24" s="97" t="s">
        <v>359</v>
      </c>
      <c r="B24" s="97" t="s">
        <v>360</v>
      </c>
      <c r="C24" s="97" t="s">
        <v>361</v>
      </c>
      <c r="D24">
        <v>2023</v>
      </c>
      <c r="E24" s="97" t="s">
        <v>362</v>
      </c>
      <c r="F24">
        <v>396</v>
      </c>
      <c r="G24"/>
      <c r="H24">
        <v>4015</v>
      </c>
      <c r="I24"/>
      <c r="J24"/>
      <c r="K24" s="93"/>
      <c r="L24">
        <v>1</v>
      </c>
      <c r="M24" t="s">
        <v>363</v>
      </c>
      <c r="N24" s="97" t="s">
        <v>364</v>
      </c>
      <c r="O24" s="97" t="s">
        <v>365</v>
      </c>
      <c r="P24" s="97" t="s">
        <v>366</v>
      </c>
      <c r="Q24" s="97" t="s">
        <v>367</v>
      </c>
      <c r="R24" s="97" t="s">
        <v>368</v>
      </c>
      <c r="S24" s="97"/>
      <c r="T24" s="97" t="s">
        <v>369</v>
      </c>
      <c r="U24" s="97" t="s">
        <v>370</v>
      </c>
      <c r="V24" s="97" t="s">
        <v>371</v>
      </c>
      <c r="W24" s="98">
        <v>25550403</v>
      </c>
      <c r="X24" s="98"/>
      <c r="Y24" s="98"/>
      <c r="Z24" s="98"/>
      <c r="AA24" s="98" t="s">
        <v>45</v>
      </c>
      <c r="AB24" s="98" t="s">
        <v>372</v>
      </c>
      <c r="AC24" s="98" t="s">
        <v>97</v>
      </c>
      <c r="AD24" s="97" t="s">
        <v>47</v>
      </c>
      <c r="AE24" s="97" t="s">
        <v>48</v>
      </c>
      <c r="AF24" s="97" t="s">
        <v>49</v>
      </c>
      <c r="AG24" s="97" t="s">
        <v>373</v>
      </c>
    </row>
    <row r="25" spans="1:33" ht="343.25" customHeight="1">
      <c r="A25" s="97" t="s">
        <v>374</v>
      </c>
      <c r="B25" s="97" t="s">
        <v>375</v>
      </c>
      <c r="C25" s="97" t="s">
        <v>376</v>
      </c>
      <c r="D25">
        <v>2024</v>
      </c>
      <c r="E25" s="97" t="s">
        <v>377</v>
      </c>
      <c r="F25">
        <v>30</v>
      </c>
      <c r="G25">
        <v>3</v>
      </c>
      <c r="H25">
        <v>4024021</v>
      </c>
      <c r="I25"/>
      <c r="J25"/>
      <c r="K25" s="93"/>
      <c r="L25">
        <v>0</v>
      </c>
      <c r="M25" t="s">
        <v>378</v>
      </c>
      <c r="N25" s="97" t="s">
        <v>379</v>
      </c>
      <c r="O25" s="97" t="s">
        <v>380</v>
      </c>
      <c r="P25" s="97" t="s">
        <v>381</v>
      </c>
      <c r="Q25" s="97" t="s">
        <v>382</v>
      </c>
      <c r="R25" s="97" t="s">
        <v>383</v>
      </c>
      <c r="S25" s="97" t="s">
        <v>384</v>
      </c>
      <c r="T25" s="97" t="s">
        <v>385</v>
      </c>
      <c r="U25" s="97"/>
      <c r="V25" s="97" t="s">
        <v>298</v>
      </c>
      <c r="W25" s="98">
        <v>10760431</v>
      </c>
      <c r="X25" s="98"/>
      <c r="Y25" s="98" t="s">
        <v>386</v>
      </c>
      <c r="Z25" s="98"/>
      <c r="AA25" s="98" t="s">
        <v>45</v>
      </c>
      <c r="AB25" s="98" t="s">
        <v>387</v>
      </c>
      <c r="AC25" s="98" t="s">
        <v>46</v>
      </c>
      <c r="AD25" s="97" t="s">
        <v>47</v>
      </c>
      <c r="AE25" s="97"/>
      <c r="AF25" s="97" t="s">
        <v>49</v>
      </c>
      <c r="AG25" s="97" t="s">
        <v>388</v>
      </c>
    </row>
    <row r="26" spans="1:33" ht="343.25" customHeight="1">
      <c r="A26" s="97" t="s">
        <v>389</v>
      </c>
      <c r="B26" s="97" t="s">
        <v>390</v>
      </c>
      <c r="C26" s="97" t="s">
        <v>391</v>
      </c>
      <c r="D26">
        <v>2020</v>
      </c>
      <c r="E26" s="97" t="s">
        <v>392</v>
      </c>
      <c r="F26">
        <v>7</v>
      </c>
      <c r="G26">
        <v>2</v>
      </c>
      <c r="H26"/>
      <c r="I26">
        <v>1</v>
      </c>
      <c r="J26">
        <v>29</v>
      </c>
      <c r="K26" s="93">
        <f>scopus[[#This Row],[Page end]]-scopus[[#This Row],[Page start]]</f>
        <v>28</v>
      </c>
      <c r="L26">
        <v>3</v>
      </c>
      <c r="M26" t="s">
        <v>393</v>
      </c>
      <c r="N26" s="97" t="s">
        <v>394</v>
      </c>
      <c r="O26" s="97" t="s">
        <v>395</v>
      </c>
      <c r="P26" s="97" t="s">
        <v>396</v>
      </c>
      <c r="Q26" s="97" t="s">
        <v>397</v>
      </c>
      <c r="R26" s="97" t="s">
        <v>398</v>
      </c>
      <c r="S26" s="97"/>
      <c r="T26" s="97"/>
      <c r="U26" s="97" t="s">
        <v>399</v>
      </c>
      <c r="V26" s="97" t="s">
        <v>400</v>
      </c>
      <c r="W26" s="98" t="s">
        <v>401</v>
      </c>
      <c r="X26" s="98"/>
      <c r="Y26" s="98"/>
      <c r="Z26" s="98"/>
      <c r="AA26" s="98" t="s">
        <v>45</v>
      </c>
      <c r="AB26" s="98" t="s">
        <v>392</v>
      </c>
      <c r="AC26" s="98" t="s">
        <v>97</v>
      </c>
      <c r="AD26" s="97" t="s">
        <v>47</v>
      </c>
      <c r="AE26" s="97"/>
      <c r="AF26" s="97" t="s">
        <v>49</v>
      </c>
      <c r="AG26" s="97" t="s">
        <v>402</v>
      </c>
    </row>
    <row r="27" spans="1:33" ht="343.25" customHeight="1">
      <c r="A27" s="97" t="s">
        <v>403</v>
      </c>
      <c r="B27" s="97" t="s">
        <v>404</v>
      </c>
      <c r="C27" s="97" t="s">
        <v>405</v>
      </c>
      <c r="D27">
        <v>2012</v>
      </c>
      <c r="E27" s="97" t="s">
        <v>406</v>
      </c>
      <c r="F27">
        <v>2</v>
      </c>
      <c r="G27">
        <v>3</v>
      </c>
      <c r="H27"/>
      <c r="I27">
        <v>245</v>
      </c>
      <c r="J27">
        <v>270</v>
      </c>
      <c r="K27" s="93">
        <f>scopus[[#This Row],[Page end]]-scopus[[#This Row],[Page start]]</f>
        <v>25</v>
      </c>
      <c r="L27">
        <v>209</v>
      </c>
      <c r="M27" t="s">
        <v>407</v>
      </c>
      <c r="N27" s="97" t="s">
        <v>408</v>
      </c>
      <c r="O27" s="97" t="s">
        <v>409</v>
      </c>
      <c r="P27" s="97" t="s">
        <v>410</v>
      </c>
      <c r="Q27" s="97" t="s">
        <v>411</v>
      </c>
      <c r="R27" s="97" t="s">
        <v>412</v>
      </c>
      <c r="S27" s="97"/>
      <c r="T27" s="97" t="s">
        <v>413</v>
      </c>
      <c r="U27" s="97"/>
      <c r="V27" s="97" t="s">
        <v>414</v>
      </c>
      <c r="W27" s="98">
        <v>20755309</v>
      </c>
      <c r="X27" s="98"/>
      <c r="Y27" s="98"/>
      <c r="Z27" s="98"/>
      <c r="AA27" s="98" t="s">
        <v>45</v>
      </c>
      <c r="AB27" s="98" t="s">
        <v>406</v>
      </c>
      <c r="AC27" s="98" t="s">
        <v>46</v>
      </c>
      <c r="AD27" s="97" t="s">
        <v>47</v>
      </c>
      <c r="AE27" s="97" t="s">
        <v>48</v>
      </c>
      <c r="AF27" s="97" t="s">
        <v>49</v>
      </c>
      <c r="AG27" s="97" t="s">
        <v>415</v>
      </c>
    </row>
    <row r="28" spans="1:33" ht="343.25" customHeight="1">
      <c r="A28" s="97" t="s">
        <v>416</v>
      </c>
      <c r="B28" s="97" t="s">
        <v>417</v>
      </c>
      <c r="C28" s="97" t="s">
        <v>418</v>
      </c>
      <c r="D28">
        <v>2025</v>
      </c>
      <c r="E28" s="97" t="s">
        <v>419</v>
      </c>
      <c r="F28">
        <v>16</v>
      </c>
      <c r="G28">
        <v>1</v>
      </c>
      <c r="H28">
        <v>56</v>
      </c>
      <c r="I28"/>
      <c r="J28"/>
      <c r="K28" s="93"/>
      <c r="L28">
        <v>0</v>
      </c>
      <c r="M28" t="s">
        <v>420</v>
      </c>
      <c r="N28" s="97" t="s">
        <v>421</v>
      </c>
      <c r="O28" s="97" t="s">
        <v>422</v>
      </c>
      <c r="P28" s="97" t="s">
        <v>423</v>
      </c>
      <c r="Q28" s="97" t="s">
        <v>424</v>
      </c>
      <c r="R28" s="97" t="s">
        <v>425</v>
      </c>
      <c r="S28" s="97" t="s">
        <v>426</v>
      </c>
      <c r="T28" s="97" t="s">
        <v>427</v>
      </c>
      <c r="U28" s="97"/>
      <c r="V28" s="97" t="s">
        <v>44</v>
      </c>
      <c r="W28" s="98">
        <v>19994907</v>
      </c>
      <c r="X28" s="98"/>
      <c r="Y28" s="98"/>
      <c r="Z28" s="98"/>
      <c r="AA28" s="98" t="s">
        <v>45</v>
      </c>
      <c r="AB28" s="98" t="s">
        <v>419</v>
      </c>
      <c r="AC28" s="98" t="s">
        <v>46</v>
      </c>
      <c r="AD28" s="97" t="s">
        <v>47</v>
      </c>
      <c r="AE28" s="97" t="s">
        <v>48</v>
      </c>
      <c r="AF28" s="97" t="s">
        <v>49</v>
      </c>
      <c r="AG28" s="97" t="s">
        <v>428</v>
      </c>
    </row>
    <row r="29" spans="1:33" ht="343.25" customHeight="1">
      <c r="A29" s="97" t="s">
        <v>429</v>
      </c>
      <c r="B29" s="97" t="s">
        <v>430</v>
      </c>
      <c r="C29" s="97" t="s">
        <v>431</v>
      </c>
      <c r="D29">
        <v>2020</v>
      </c>
      <c r="E29" s="97" t="s">
        <v>263</v>
      </c>
      <c r="F29">
        <v>12</v>
      </c>
      <c r="G29">
        <v>8</v>
      </c>
      <c r="H29">
        <v>3424</v>
      </c>
      <c r="I29"/>
      <c r="J29"/>
      <c r="K29" s="93"/>
      <c r="L29">
        <v>12</v>
      </c>
      <c r="M29" t="s">
        <v>432</v>
      </c>
      <c r="N29" s="97" t="s">
        <v>433</v>
      </c>
      <c r="O29" s="97" t="s">
        <v>434</v>
      </c>
      <c r="P29" s="97" t="s">
        <v>435</v>
      </c>
      <c r="Q29" s="97" t="s">
        <v>436</v>
      </c>
      <c r="R29" s="97" t="s">
        <v>437</v>
      </c>
      <c r="S29" s="97" t="s">
        <v>438</v>
      </c>
      <c r="T29" s="97" t="s">
        <v>439</v>
      </c>
      <c r="U29" s="97"/>
      <c r="V29" s="97" t="s">
        <v>440</v>
      </c>
      <c r="W29" s="98">
        <v>20711050</v>
      </c>
      <c r="X29" s="98"/>
      <c r="Y29" s="98"/>
      <c r="Z29" s="98"/>
      <c r="AA29" s="98" t="s">
        <v>45</v>
      </c>
      <c r="AB29" s="98" t="s">
        <v>272</v>
      </c>
      <c r="AC29" s="98" t="s">
        <v>46</v>
      </c>
      <c r="AD29" s="97" t="s">
        <v>47</v>
      </c>
      <c r="AE29" s="97" t="s">
        <v>48</v>
      </c>
      <c r="AF29" s="97" t="s">
        <v>49</v>
      </c>
      <c r="AG29" s="97" t="s">
        <v>441</v>
      </c>
    </row>
    <row r="30" spans="1:33" ht="343.25" customHeight="1">
      <c r="A30" s="97" t="s">
        <v>442</v>
      </c>
      <c r="B30" s="97" t="s">
        <v>443</v>
      </c>
      <c r="C30" s="97" t="s">
        <v>444</v>
      </c>
      <c r="D30">
        <v>2025</v>
      </c>
      <c r="E30" s="97" t="s">
        <v>445</v>
      </c>
      <c r="F30">
        <v>330</v>
      </c>
      <c r="G30"/>
      <c r="H30">
        <v>119919</v>
      </c>
      <c r="I30"/>
      <c r="J30"/>
      <c r="K30" s="93"/>
      <c r="L30">
        <v>6</v>
      </c>
      <c r="M30" t="s">
        <v>446</v>
      </c>
      <c r="N30" s="97" t="s">
        <v>447</v>
      </c>
      <c r="O30" s="97" t="s">
        <v>448</v>
      </c>
      <c r="P30" s="97" t="s">
        <v>449</v>
      </c>
      <c r="Q30" s="97" t="s">
        <v>450</v>
      </c>
      <c r="R30" s="97" t="s">
        <v>451</v>
      </c>
      <c r="S30" s="97" t="s">
        <v>452</v>
      </c>
      <c r="T30" s="97" t="s">
        <v>453</v>
      </c>
      <c r="U30" s="97"/>
      <c r="V30" s="97" t="s">
        <v>62</v>
      </c>
      <c r="W30" s="98">
        <v>1410296</v>
      </c>
      <c r="X30" s="98"/>
      <c r="Y30" s="98" t="s">
        <v>454</v>
      </c>
      <c r="Z30" s="98"/>
      <c r="AA30" s="98" t="s">
        <v>45</v>
      </c>
      <c r="AB30" s="98" t="s">
        <v>455</v>
      </c>
      <c r="AC30" s="98" t="s">
        <v>46</v>
      </c>
      <c r="AD30" s="97" t="s">
        <v>47</v>
      </c>
      <c r="AE30" s="97" t="s">
        <v>456</v>
      </c>
      <c r="AF30" s="97" t="s">
        <v>49</v>
      </c>
      <c r="AG30" s="97" t="s">
        <v>457</v>
      </c>
    </row>
    <row r="31" spans="1:33" ht="343.25" customHeight="1">
      <c r="A31" s="97" t="s">
        <v>458</v>
      </c>
      <c r="B31" s="97" t="s">
        <v>459</v>
      </c>
      <c r="C31" s="97" t="s">
        <v>460</v>
      </c>
      <c r="D31">
        <v>2010</v>
      </c>
      <c r="E31" s="97" t="s">
        <v>461</v>
      </c>
      <c r="F31"/>
      <c r="G31"/>
      <c r="H31"/>
      <c r="I31">
        <v>1377</v>
      </c>
      <c r="J31">
        <v>1384</v>
      </c>
      <c r="K31" s="93">
        <f>scopus[[#This Row],[Page end]]-scopus[[#This Row],[Page start]]</f>
        <v>7</v>
      </c>
      <c r="L31">
        <v>2</v>
      </c>
      <c r="M31"/>
      <c r="N31" s="97" t="s">
        <v>462</v>
      </c>
      <c r="O31" s="97" t="s">
        <v>463</v>
      </c>
      <c r="P31" s="97" t="s">
        <v>464</v>
      </c>
      <c r="Q31" s="97" t="s">
        <v>465</v>
      </c>
      <c r="R31" s="97"/>
      <c r="S31" s="97" t="s">
        <v>466</v>
      </c>
      <c r="T31" s="97"/>
      <c r="U31" s="97"/>
      <c r="V31" s="97"/>
      <c r="W31" s="98"/>
      <c r="X31" s="98" t="s">
        <v>467</v>
      </c>
      <c r="Y31" s="98"/>
      <c r="Z31" s="98"/>
      <c r="AA31" s="98" t="s">
        <v>45</v>
      </c>
      <c r="AB31" s="98" t="s">
        <v>468</v>
      </c>
      <c r="AC31" s="98" t="s">
        <v>97</v>
      </c>
      <c r="AD31" s="97" t="s">
        <v>47</v>
      </c>
      <c r="AE31" s="97"/>
      <c r="AF31" s="97" t="s">
        <v>49</v>
      </c>
      <c r="AG31" s="97" t="s">
        <v>469</v>
      </c>
    </row>
    <row r="32" spans="1:33" ht="343.25" customHeight="1">
      <c r="A32" s="97"/>
      <c r="B32" s="97"/>
      <c r="C32" s="97" t="s">
        <v>470</v>
      </c>
      <c r="D32">
        <v>2025</v>
      </c>
      <c r="E32" s="97" t="s">
        <v>471</v>
      </c>
      <c r="F32">
        <v>48</v>
      </c>
      <c r="G32"/>
      <c r="H32"/>
      <c r="I32"/>
      <c r="J32"/>
      <c r="K32" s="93"/>
      <c r="L32">
        <v>0</v>
      </c>
      <c r="M32"/>
      <c r="N32" s="97" t="s">
        <v>472</v>
      </c>
      <c r="O32" s="97"/>
      <c r="P32" s="97"/>
      <c r="Q32" s="97" t="s">
        <v>473</v>
      </c>
      <c r="R32" s="97"/>
      <c r="S32" s="97"/>
      <c r="T32" s="97"/>
      <c r="U32" s="97" t="s">
        <v>474</v>
      </c>
      <c r="V32" s="97" t="s">
        <v>475</v>
      </c>
      <c r="W32" s="98">
        <v>24743941</v>
      </c>
      <c r="X32" s="98" t="s">
        <v>476</v>
      </c>
      <c r="Y32" s="98"/>
      <c r="Z32" s="98"/>
      <c r="AA32" s="98" t="s">
        <v>45</v>
      </c>
      <c r="AB32" s="98" t="s">
        <v>477</v>
      </c>
      <c r="AC32" s="98" t="s">
        <v>478</v>
      </c>
      <c r="AD32" s="97" t="s">
        <v>47</v>
      </c>
      <c r="AE32" s="97"/>
      <c r="AF32" s="97" t="s">
        <v>49</v>
      </c>
      <c r="AG32" s="97" t="s">
        <v>479</v>
      </c>
    </row>
    <row r="33" spans="1:33" ht="343.25" customHeight="1">
      <c r="A33" s="97" t="s">
        <v>480</v>
      </c>
      <c r="B33" s="97" t="s">
        <v>481</v>
      </c>
      <c r="C33" s="97" t="s">
        <v>482</v>
      </c>
      <c r="D33">
        <v>2022</v>
      </c>
      <c r="E33" s="97" t="s">
        <v>483</v>
      </c>
      <c r="F33"/>
      <c r="G33"/>
      <c r="H33"/>
      <c r="I33">
        <v>251</v>
      </c>
      <c r="J33">
        <v>259</v>
      </c>
      <c r="K33" s="93">
        <f>scopus[[#This Row],[Page end]]-scopus[[#This Row],[Page start]]</f>
        <v>8</v>
      </c>
      <c r="L33">
        <v>2</v>
      </c>
      <c r="M33" t="s">
        <v>484</v>
      </c>
      <c r="N33" s="97" t="s">
        <v>485</v>
      </c>
      <c r="O33" s="97" t="s">
        <v>486</v>
      </c>
      <c r="P33" s="97" t="s">
        <v>487</v>
      </c>
      <c r="Q33" s="97" t="s">
        <v>488</v>
      </c>
      <c r="R33" s="97"/>
      <c r="S33" s="97" t="s">
        <v>489</v>
      </c>
      <c r="T33" s="97"/>
      <c r="U33" s="97" t="s">
        <v>490</v>
      </c>
      <c r="V33" s="97" t="s">
        <v>298</v>
      </c>
      <c r="W33" s="98"/>
      <c r="X33" s="98" t="s">
        <v>491</v>
      </c>
      <c r="Y33" s="98"/>
      <c r="Z33" s="98"/>
      <c r="AA33" s="98" t="s">
        <v>45</v>
      </c>
      <c r="AB33" s="98" t="s">
        <v>492</v>
      </c>
      <c r="AC33" s="98" t="s">
        <v>97</v>
      </c>
      <c r="AD33" s="97" t="s">
        <v>47</v>
      </c>
      <c r="AE33" s="97"/>
      <c r="AF33" s="97" t="s">
        <v>49</v>
      </c>
      <c r="AG33" s="97" t="s">
        <v>493</v>
      </c>
    </row>
    <row r="34" spans="1:33" ht="343.25" customHeight="1">
      <c r="A34" s="97" t="s">
        <v>494</v>
      </c>
      <c r="B34" s="97" t="s">
        <v>495</v>
      </c>
      <c r="C34" s="97" t="s">
        <v>496</v>
      </c>
      <c r="D34">
        <v>2025</v>
      </c>
      <c r="E34" s="97" t="s">
        <v>174</v>
      </c>
      <c r="F34"/>
      <c r="G34"/>
      <c r="H34"/>
      <c r="I34">
        <v>5444</v>
      </c>
      <c r="J34">
        <v>5451</v>
      </c>
      <c r="K34" s="93">
        <f>scopus[[#This Row],[Page end]]-scopus[[#This Row],[Page start]]</f>
        <v>7</v>
      </c>
      <c r="L34">
        <v>0</v>
      </c>
      <c r="M34" t="s">
        <v>497</v>
      </c>
      <c r="N34" s="97" t="s">
        <v>498</v>
      </c>
      <c r="O34" s="97" t="s">
        <v>499</v>
      </c>
      <c r="P34" s="97" t="s">
        <v>500</v>
      </c>
      <c r="Q34" s="97" t="s">
        <v>501</v>
      </c>
      <c r="R34" s="97" t="s">
        <v>502</v>
      </c>
      <c r="S34" s="97" t="s">
        <v>503</v>
      </c>
      <c r="T34" s="97"/>
      <c r="U34" s="97" t="s">
        <v>182</v>
      </c>
      <c r="V34" s="97" t="s">
        <v>94</v>
      </c>
      <c r="W34" s="98"/>
      <c r="X34" s="98" t="s">
        <v>183</v>
      </c>
      <c r="Y34" s="98"/>
      <c r="Z34" s="98"/>
      <c r="AA34" s="98" t="s">
        <v>45</v>
      </c>
      <c r="AB34" s="98" t="s">
        <v>184</v>
      </c>
      <c r="AC34" s="98" t="s">
        <v>97</v>
      </c>
      <c r="AD34" s="97" t="s">
        <v>47</v>
      </c>
      <c r="AE34" s="97"/>
      <c r="AF34" s="97" t="s">
        <v>49</v>
      </c>
      <c r="AG34" s="97" t="s">
        <v>504</v>
      </c>
    </row>
    <row r="35" spans="1:33" ht="343.25" customHeight="1">
      <c r="A35" s="97" t="s">
        <v>505</v>
      </c>
      <c r="B35" s="97" t="s">
        <v>506</v>
      </c>
      <c r="C35" s="97" t="s">
        <v>507</v>
      </c>
      <c r="D35">
        <v>2016</v>
      </c>
      <c r="E35" s="97" t="s">
        <v>508</v>
      </c>
      <c r="F35">
        <v>96</v>
      </c>
      <c r="G35"/>
      <c r="H35"/>
      <c r="I35">
        <v>112</v>
      </c>
      <c r="J35">
        <v>123</v>
      </c>
      <c r="K35" s="93">
        <f>scopus[[#This Row],[Page end]]-scopus[[#This Row],[Page start]]</f>
        <v>11</v>
      </c>
      <c r="L35">
        <v>193</v>
      </c>
      <c r="M35" t="s">
        <v>509</v>
      </c>
      <c r="N35" s="97" t="s">
        <v>510</v>
      </c>
      <c r="O35" s="97" t="s">
        <v>511</v>
      </c>
      <c r="P35" s="97" t="s">
        <v>512</v>
      </c>
      <c r="Q35" s="97" t="s">
        <v>513</v>
      </c>
      <c r="R35" s="97" t="s">
        <v>514</v>
      </c>
      <c r="S35" s="97" t="s">
        <v>515</v>
      </c>
      <c r="T35" s="97" t="s">
        <v>516</v>
      </c>
      <c r="U35" s="97" t="s">
        <v>517</v>
      </c>
      <c r="V35" s="97" t="s">
        <v>62</v>
      </c>
      <c r="W35" s="98">
        <v>18766102</v>
      </c>
      <c r="X35" s="98"/>
      <c r="Y35" s="98"/>
      <c r="Z35" s="98"/>
      <c r="AA35" s="98" t="s">
        <v>45</v>
      </c>
      <c r="AB35" s="98" t="s">
        <v>508</v>
      </c>
      <c r="AC35" s="98" t="s">
        <v>97</v>
      </c>
      <c r="AD35" s="97" t="s">
        <v>47</v>
      </c>
      <c r="AE35" s="97" t="s">
        <v>48</v>
      </c>
      <c r="AF35" s="97" t="s">
        <v>49</v>
      </c>
      <c r="AG35" s="97" t="s">
        <v>518</v>
      </c>
    </row>
    <row r="36" spans="1:33" ht="343.25" customHeight="1">
      <c r="A36" s="97" t="s">
        <v>519</v>
      </c>
      <c r="B36" s="97" t="s">
        <v>520</v>
      </c>
      <c r="C36" s="97" t="s">
        <v>521</v>
      </c>
      <c r="D36">
        <v>2023</v>
      </c>
      <c r="E36" s="97" t="s">
        <v>85</v>
      </c>
      <c r="F36">
        <v>3</v>
      </c>
      <c r="G36"/>
      <c r="H36"/>
      <c r="I36">
        <v>1821</v>
      </c>
      <c r="J36">
        <v>1830</v>
      </c>
      <c r="K36" s="93">
        <f>scopus[[#This Row],[Page end]]-scopus[[#This Row],[Page start]]</f>
        <v>9</v>
      </c>
      <c r="L36">
        <v>0</v>
      </c>
      <c r="M36"/>
      <c r="N36" s="97" t="s">
        <v>522</v>
      </c>
      <c r="O36" s="97" t="s">
        <v>523</v>
      </c>
      <c r="P36" s="97" t="s">
        <v>524</v>
      </c>
      <c r="Q36" s="97" t="s">
        <v>525</v>
      </c>
      <c r="R36" s="97" t="s">
        <v>526</v>
      </c>
      <c r="S36" s="97" t="s">
        <v>527</v>
      </c>
      <c r="T36" s="97"/>
      <c r="U36" s="97" t="s">
        <v>93</v>
      </c>
      <c r="V36" s="97" t="s">
        <v>94</v>
      </c>
      <c r="W36" s="98"/>
      <c r="X36" s="98" t="s">
        <v>95</v>
      </c>
      <c r="Y36" s="98"/>
      <c r="Z36" s="98"/>
      <c r="AA36" s="98" t="s">
        <v>45</v>
      </c>
      <c r="AB36" s="98" t="s">
        <v>96</v>
      </c>
      <c r="AC36" s="98" t="s">
        <v>97</v>
      </c>
      <c r="AD36" s="97" t="s">
        <v>47</v>
      </c>
      <c r="AE36" s="97"/>
      <c r="AF36" s="97" t="s">
        <v>49</v>
      </c>
      <c r="AG36" s="97" t="s">
        <v>528</v>
      </c>
    </row>
    <row r="37" spans="1:33" ht="343.25" customHeight="1">
      <c r="A37" s="97" t="s">
        <v>529</v>
      </c>
      <c r="B37" s="97" t="s">
        <v>530</v>
      </c>
      <c r="C37" s="97" t="s">
        <v>531</v>
      </c>
      <c r="D37">
        <v>2021</v>
      </c>
      <c r="E37" s="97" t="s">
        <v>532</v>
      </c>
      <c r="F37">
        <v>130</v>
      </c>
      <c r="G37"/>
      <c r="H37">
        <v>105766</v>
      </c>
      <c r="I37"/>
      <c r="J37"/>
      <c r="K37" s="93"/>
      <c r="L37">
        <v>54</v>
      </c>
      <c r="M37" t="s">
        <v>533</v>
      </c>
      <c r="N37" s="97" t="s">
        <v>534</v>
      </c>
      <c r="O37" s="97" t="s">
        <v>535</v>
      </c>
      <c r="P37" s="97" t="s">
        <v>536</v>
      </c>
      <c r="Q37" s="97" t="s">
        <v>537</v>
      </c>
      <c r="R37" s="97" t="s">
        <v>538</v>
      </c>
      <c r="S37" s="97" t="s">
        <v>539</v>
      </c>
      <c r="T37" s="97" t="s">
        <v>540</v>
      </c>
      <c r="U37" s="97"/>
      <c r="V37" s="97" t="s">
        <v>62</v>
      </c>
      <c r="W37" s="98">
        <v>13506307</v>
      </c>
      <c r="X37" s="98"/>
      <c r="Y37" s="98" t="s">
        <v>541</v>
      </c>
      <c r="Z37" s="98"/>
      <c r="AA37" s="98" t="s">
        <v>45</v>
      </c>
      <c r="AB37" s="98" t="s">
        <v>542</v>
      </c>
      <c r="AC37" s="98" t="s">
        <v>110</v>
      </c>
      <c r="AD37" s="97" t="s">
        <v>47</v>
      </c>
      <c r="AE37" s="97" t="s">
        <v>543</v>
      </c>
      <c r="AF37" s="97" t="s">
        <v>49</v>
      </c>
      <c r="AG37" s="97" t="s">
        <v>544</v>
      </c>
    </row>
    <row r="38" spans="1:33" ht="343.25" customHeight="1">
      <c r="A38" s="97" t="s">
        <v>545</v>
      </c>
      <c r="B38" s="97" t="s">
        <v>546</v>
      </c>
      <c r="C38" s="97" t="s">
        <v>547</v>
      </c>
      <c r="D38">
        <v>2025</v>
      </c>
      <c r="E38" s="97" t="s">
        <v>174</v>
      </c>
      <c r="F38"/>
      <c r="G38"/>
      <c r="H38"/>
      <c r="I38">
        <v>3557</v>
      </c>
      <c r="J38">
        <v>3565</v>
      </c>
      <c r="K38" s="93">
        <f>scopus[[#This Row],[Page end]]-scopus[[#This Row],[Page start]]</f>
        <v>8</v>
      </c>
      <c r="L38">
        <v>0</v>
      </c>
      <c r="M38" t="s">
        <v>548</v>
      </c>
      <c r="N38" s="97" t="s">
        <v>549</v>
      </c>
      <c r="O38" s="97" t="s">
        <v>550</v>
      </c>
      <c r="P38" s="97" t="s">
        <v>551</v>
      </c>
      <c r="Q38" s="97" t="s">
        <v>552</v>
      </c>
      <c r="R38" s="97" t="s">
        <v>553</v>
      </c>
      <c r="S38" s="97" t="s">
        <v>554</v>
      </c>
      <c r="T38" s="97"/>
      <c r="U38" s="97" t="s">
        <v>182</v>
      </c>
      <c r="V38" s="97" t="s">
        <v>94</v>
      </c>
      <c r="W38" s="98"/>
      <c r="X38" s="98" t="s">
        <v>183</v>
      </c>
      <c r="Y38" s="98"/>
      <c r="Z38" s="98"/>
      <c r="AA38" s="98" t="s">
        <v>45</v>
      </c>
      <c r="AB38" s="98" t="s">
        <v>184</v>
      </c>
      <c r="AC38" s="98" t="s">
        <v>97</v>
      </c>
      <c r="AD38" s="97" t="s">
        <v>47</v>
      </c>
      <c r="AE38" s="97"/>
      <c r="AF38" s="97" t="s">
        <v>49</v>
      </c>
      <c r="AG38" s="97" t="s">
        <v>555</v>
      </c>
    </row>
    <row r="39" spans="1:33" ht="343.25" customHeight="1">
      <c r="A39" s="97" t="s">
        <v>556</v>
      </c>
      <c r="B39" s="97" t="s">
        <v>557</v>
      </c>
      <c r="C39" s="97" t="s">
        <v>558</v>
      </c>
      <c r="D39">
        <v>2021</v>
      </c>
      <c r="E39" s="97" t="s">
        <v>445</v>
      </c>
      <c r="F39">
        <v>243</v>
      </c>
      <c r="G39"/>
      <c r="H39">
        <v>112409</v>
      </c>
      <c r="I39"/>
      <c r="J39"/>
      <c r="K39" s="93"/>
      <c r="L39">
        <v>29</v>
      </c>
      <c r="M39" t="s">
        <v>559</v>
      </c>
      <c r="N39" s="97" t="s">
        <v>560</v>
      </c>
      <c r="O39" s="97" t="s">
        <v>561</v>
      </c>
      <c r="P39" s="97" t="s">
        <v>562</v>
      </c>
      <c r="Q39" s="97" t="s">
        <v>563</v>
      </c>
      <c r="R39" s="97" t="s">
        <v>564</v>
      </c>
      <c r="S39" s="97" t="s">
        <v>565</v>
      </c>
      <c r="T39" s="97" t="s">
        <v>566</v>
      </c>
      <c r="U39" s="97"/>
      <c r="V39" s="97" t="s">
        <v>62</v>
      </c>
      <c r="W39" s="98">
        <v>1410296</v>
      </c>
      <c r="X39" s="98"/>
      <c r="Y39" s="98" t="s">
        <v>454</v>
      </c>
      <c r="Z39" s="98"/>
      <c r="AA39" s="98" t="s">
        <v>45</v>
      </c>
      <c r="AB39" s="98" t="s">
        <v>455</v>
      </c>
      <c r="AC39" s="98" t="s">
        <v>46</v>
      </c>
      <c r="AD39" s="97" t="s">
        <v>47</v>
      </c>
      <c r="AE39" s="97" t="s">
        <v>543</v>
      </c>
      <c r="AF39" s="97" t="s">
        <v>49</v>
      </c>
      <c r="AG39" s="97" t="s">
        <v>567</v>
      </c>
    </row>
    <row r="40" spans="1:33" ht="343.25" customHeight="1">
      <c r="A40" s="97" t="s">
        <v>480</v>
      </c>
      <c r="B40" s="97" t="s">
        <v>481</v>
      </c>
      <c r="C40" s="97" t="s">
        <v>568</v>
      </c>
      <c r="D40">
        <v>2022</v>
      </c>
      <c r="E40" s="97" t="s">
        <v>483</v>
      </c>
      <c r="F40"/>
      <c r="G40"/>
      <c r="H40"/>
      <c r="I40">
        <v>356</v>
      </c>
      <c r="J40">
        <v>363</v>
      </c>
      <c r="K40" s="93">
        <f>scopus[[#This Row],[Page end]]-scopus[[#This Row],[Page start]]</f>
        <v>7</v>
      </c>
      <c r="L40">
        <v>0</v>
      </c>
      <c r="M40" t="s">
        <v>569</v>
      </c>
      <c r="N40" s="97" t="s">
        <v>570</v>
      </c>
      <c r="O40" s="97" t="s">
        <v>486</v>
      </c>
      <c r="P40" s="97" t="s">
        <v>487</v>
      </c>
      <c r="Q40" s="97" t="s">
        <v>571</v>
      </c>
      <c r="R40" s="97"/>
      <c r="S40" s="97" t="s">
        <v>572</v>
      </c>
      <c r="T40" s="97"/>
      <c r="U40" s="97" t="s">
        <v>490</v>
      </c>
      <c r="V40" s="97" t="s">
        <v>298</v>
      </c>
      <c r="W40" s="98"/>
      <c r="X40" s="98" t="s">
        <v>491</v>
      </c>
      <c r="Y40" s="98"/>
      <c r="Z40" s="98"/>
      <c r="AA40" s="98" t="s">
        <v>45</v>
      </c>
      <c r="AB40" s="98" t="s">
        <v>492</v>
      </c>
      <c r="AC40" s="98" t="s">
        <v>97</v>
      </c>
      <c r="AD40" s="97" t="s">
        <v>47</v>
      </c>
      <c r="AE40" s="97"/>
      <c r="AF40" s="97" t="s">
        <v>49</v>
      </c>
      <c r="AG40" s="97" t="s">
        <v>573</v>
      </c>
    </row>
    <row r="41" spans="1:33" ht="343.25" customHeight="1">
      <c r="A41" s="97" t="s">
        <v>574</v>
      </c>
      <c r="B41" s="97" t="s">
        <v>575</v>
      </c>
      <c r="C41" s="97" t="s">
        <v>576</v>
      </c>
      <c r="D41">
        <v>2025</v>
      </c>
      <c r="E41" s="97" t="s">
        <v>577</v>
      </c>
      <c r="F41">
        <v>345</v>
      </c>
      <c r="G41"/>
      <c r="H41">
        <v>116060</v>
      </c>
      <c r="I41"/>
      <c r="J41"/>
      <c r="K41" s="93"/>
      <c r="L41">
        <v>4</v>
      </c>
      <c r="M41" t="s">
        <v>578</v>
      </c>
      <c r="N41" s="97" t="s">
        <v>579</v>
      </c>
      <c r="O41" s="97" t="s">
        <v>192</v>
      </c>
      <c r="P41" s="97" t="s">
        <v>580</v>
      </c>
      <c r="Q41" s="97" t="s">
        <v>581</v>
      </c>
      <c r="R41" s="97" t="s">
        <v>582</v>
      </c>
      <c r="S41" s="97" t="s">
        <v>583</v>
      </c>
      <c r="T41" s="97" t="s">
        <v>197</v>
      </c>
      <c r="U41" s="97"/>
      <c r="V41" s="97" t="s">
        <v>62</v>
      </c>
      <c r="W41" s="98">
        <v>3787788</v>
      </c>
      <c r="X41" s="98"/>
      <c r="Y41" s="98" t="s">
        <v>584</v>
      </c>
      <c r="Z41" s="98"/>
      <c r="AA41" s="98" t="s">
        <v>45</v>
      </c>
      <c r="AB41" s="98" t="s">
        <v>585</v>
      </c>
      <c r="AC41" s="98" t="s">
        <v>46</v>
      </c>
      <c r="AD41" s="97" t="s">
        <v>47</v>
      </c>
      <c r="AE41" s="97"/>
      <c r="AF41" s="97" t="s">
        <v>49</v>
      </c>
      <c r="AG41" s="97" t="s">
        <v>586</v>
      </c>
    </row>
    <row r="42" spans="1:33" ht="343.25" customHeight="1">
      <c r="A42" s="97" t="s">
        <v>587</v>
      </c>
      <c r="B42" s="97" t="s">
        <v>588</v>
      </c>
      <c r="C42" s="97" t="s">
        <v>589</v>
      </c>
      <c r="D42">
        <v>2025</v>
      </c>
      <c r="E42" s="97" t="s">
        <v>115</v>
      </c>
      <c r="F42" t="s">
        <v>590</v>
      </c>
      <c r="G42"/>
      <c r="H42"/>
      <c r="I42">
        <v>583</v>
      </c>
      <c r="J42">
        <v>592</v>
      </c>
      <c r="K42" s="93">
        <f>scopus[[#This Row],[Page end]]-scopus[[#This Row],[Page start]]</f>
        <v>9</v>
      </c>
      <c r="L42">
        <v>0</v>
      </c>
      <c r="M42" t="s">
        <v>591</v>
      </c>
      <c r="N42" s="97" t="s">
        <v>592</v>
      </c>
      <c r="O42" s="97" t="s">
        <v>593</v>
      </c>
      <c r="P42" s="97" t="s">
        <v>594</v>
      </c>
      <c r="Q42" s="97" t="s">
        <v>595</v>
      </c>
      <c r="R42" s="97" t="s">
        <v>596</v>
      </c>
      <c r="S42" s="97" t="s">
        <v>597</v>
      </c>
      <c r="T42" s="97" t="s">
        <v>598</v>
      </c>
      <c r="U42" s="97" t="s">
        <v>599</v>
      </c>
      <c r="V42" s="97" t="s">
        <v>125</v>
      </c>
      <c r="W42" s="98">
        <v>23662557</v>
      </c>
      <c r="X42" s="98" t="s">
        <v>600</v>
      </c>
      <c r="Y42" s="98"/>
      <c r="Z42" s="98"/>
      <c r="AA42" s="98" t="s">
        <v>45</v>
      </c>
      <c r="AB42" s="98" t="s">
        <v>127</v>
      </c>
      <c r="AC42" s="98" t="s">
        <v>97</v>
      </c>
      <c r="AD42" s="97" t="s">
        <v>47</v>
      </c>
      <c r="AE42" s="97"/>
      <c r="AF42" s="97" t="s">
        <v>49</v>
      </c>
      <c r="AG42" s="97" t="s">
        <v>601</v>
      </c>
    </row>
    <row r="43" spans="1:33" ht="343.25" customHeight="1">
      <c r="A43" s="97" t="s">
        <v>602</v>
      </c>
      <c r="B43" s="97" t="s">
        <v>603</v>
      </c>
      <c r="C43" s="97" t="s">
        <v>604</v>
      </c>
      <c r="D43">
        <v>2021</v>
      </c>
      <c r="E43" s="97" t="s">
        <v>406</v>
      </c>
      <c r="F43">
        <v>11</v>
      </c>
      <c r="G43">
        <v>1</v>
      </c>
      <c r="H43">
        <v>9</v>
      </c>
      <c r="I43">
        <v>1</v>
      </c>
      <c r="J43">
        <v>17</v>
      </c>
      <c r="K43" s="93">
        <f>scopus[[#This Row],[Page end]]-scopus[[#This Row],[Page start]]</f>
        <v>16</v>
      </c>
      <c r="L43">
        <v>12</v>
      </c>
      <c r="M43" t="s">
        <v>605</v>
      </c>
      <c r="N43" s="97" t="s">
        <v>606</v>
      </c>
      <c r="O43" s="97" t="s">
        <v>607</v>
      </c>
      <c r="P43" s="97" t="s">
        <v>608</v>
      </c>
      <c r="Q43" s="97" t="s">
        <v>609</v>
      </c>
      <c r="R43" s="97" t="s">
        <v>610</v>
      </c>
      <c r="S43" s="97"/>
      <c r="T43" s="97" t="s">
        <v>611</v>
      </c>
      <c r="U43" s="97"/>
      <c r="V43" s="97" t="s">
        <v>414</v>
      </c>
      <c r="W43" s="98">
        <v>20755309</v>
      </c>
      <c r="X43" s="98"/>
      <c r="Y43" s="98"/>
      <c r="Z43" s="98"/>
      <c r="AA43" s="98" t="s">
        <v>45</v>
      </c>
      <c r="AB43" s="98" t="s">
        <v>406</v>
      </c>
      <c r="AC43" s="98" t="s">
        <v>46</v>
      </c>
      <c r="AD43" s="97" t="s">
        <v>47</v>
      </c>
      <c r="AE43" s="97" t="s">
        <v>48</v>
      </c>
      <c r="AF43" s="97" t="s">
        <v>49</v>
      </c>
      <c r="AG43" s="97" t="s">
        <v>612</v>
      </c>
    </row>
    <row r="44" spans="1:33" ht="343.25" customHeight="1">
      <c r="A44" s="97" t="s">
        <v>613</v>
      </c>
      <c r="B44" s="97" t="s">
        <v>614</v>
      </c>
      <c r="C44" s="97" t="s">
        <v>615</v>
      </c>
      <c r="D44">
        <v>2020</v>
      </c>
      <c r="E44" s="97" t="s">
        <v>616</v>
      </c>
      <c r="F44">
        <v>4</v>
      </c>
      <c r="G44"/>
      <c r="H44">
        <v>100030</v>
      </c>
      <c r="I44"/>
      <c r="J44"/>
      <c r="K44" s="93"/>
      <c r="L44">
        <v>132</v>
      </c>
      <c r="M44" t="s">
        <v>617</v>
      </c>
      <c r="N44" s="97" t="s">
        <v>618</v>
      </c>
      <c r="O44" s="97" t="s">
        <v>619</v>
      </c>
      <c r="P44" s="97" t="s">
        <v>620</v>
      </c>
      <c r="Q44" s="97" t="s">
        <v>621</v>
      </c>
      <c r="R44" s="97" t="s">
        <v>622</v>
      </c>
      <c r="S44" s="97" t="s">
        <v>623</v>
      </c>
      <c r="T44" s="97" t="s">
        <v>624</v>
      </c>
      <c r="U44" s="97"/>
      <c r="V44" s="97" t="s">
        <v>62</v>
      </c>
      <c r="W44" s="98">
        <v>26661659</v>
      </c>
      <c r="X44" s="98"/>
      <c r="Y44" s="98"/>
      <c r="Z44" s="98"/>
      <c r="AA44" s="98" t="s">
        <v>45</v>
      </c>
      <c r="AB44" s="98" t="s">
        <v>625</v>
      </c>
      <c r="AC44" s="98" t="s">
        <v>46</v>
      </c>
      <c r="AD44" s="97" t="s">
        <v>47</v>
      </c>
      <c r="AE44" s="97" t="s">
        <v>48</v>
      </c>
      <c r="AF44" s="97" t="s">
        <v>49</v>
      </c>
      <c r="AG44" s="97" t="s">
        <v>626</v>
      </c>
    </row>
    <row r="45" spans="1:33" ht="343.25" customHeight="1">
      <c r="A45" s="97" t="s">
        <v>627</v>
      </c>
      <c r="B45" s="97" t="s">
        <v>628</v>
      </c>
      <c r="C45" s="97" t="s">
        <v>629</v>
      </c>
      <c r="D45">
        <v>2025</v>
      </c>
      <c r="E45" s="97" t="s">
        <v>630</v>
      </c>
      <c r="F45">
        <v>75</v>
      </c>
      <c r="G45">
        <v>1</v>
      </c>
      <c r="H45"/>
      <c r="I45">
        <v>82</v>
      </c>
      <c r="J45">
        <v>94</v>
      </c>
      <c r="K45" s="93">
        <f>scopus[[#This Row],[Page end]]-scopus[[#This Row],[Page start]]</f>
        <v>12</v>
      </c>
      <c r="L45">
        <v>0</v>
      </c>
      <c r="M45" t="s">
        <v>631</v>
      </c>
      <c r="N45" s="97" t="s">
        <v>632</v>
      </c>
      <c r="O45" s="97" t="s">
        <v>633</v>
      </c>
      <c r="P45" s="97" t="s">
        <v>634</v>
      </c>
      <c r="Q45" s="97" t="s">
        <v>635</v>
      </c>
      <c r="R45" s="97"/>
      <c r="S45" s="97" t="s">
        <v>636</v>
      </c>
      <c r="T45" s="97" t="s">
        <v>637</v>
      </c>
      <c r="U45" s="97"/>
      <c r="V45" s="97" t="s">
        <v>638</v>
      </c>
      <c r="W45" s="98">
        <v>157473</v>
      </c>
      <c r="X45" s="98"/>
      <c r="Y45" s="98" t="s">
        <v>639</v>
      </c>
      <c r="Z45" s="98"/>
      <c r="AA45" s="98" t="s">
        <v>45</v>
      </c>
      <c r="AB45" s="98" t="s">
        <v>640</v>
      </c>
      <c r="AC45" s="98" t="s">
        <v>46</v>
      </c>
      <c r="AD45" s="97" t="s">
        <v>47</v>
      </c>
      <c r="AE45" s="97"/>
      <c r="AF45" s="97" t="s">
        <v>49</v>
      </c>
      <c r="AG45" s="97" t="s">
        <v>641</v>
      </c>
    </row>
    <row r="46" spans="1:33" ht="343.25" customHeight="1">
      <c r="A46" s="97" t="s">
        <v>642</v>
      </c>
      <c r="B46" s="97" t="s">
        <v>643</v>
      </c>
      <c r="C46" s="97" t="s">
        <v>644</v>
      </c>
      <c r="D46">
        <v>2023</v>
      </c>
      <c r="E46" s="97" t="s">
        <v>333</v>
      </c>
      <c r="F46"/>
      <c r="G46"/>
      <c r="H46"/>
      <c r="I46"/>
      <c r="J46"/>
      <c r="K46" s="93"/>
      <c r="L46">
        <v>0</v>
      </c>
      <c r="M46"/>
      <c r="N46" s="97" t="s">
        <v>645</v>
      </c>
      <c r="O46" s="97" t="s">
        <v>646</v>
      </c>
      <c r="P46" s="97" t="s">
        <v>647</v>
      </c>
      <c r="Q46" s="97" t="s">
        <v>648</v>
      </c>
      <c r="R46" s="97" t="s">
        <v>649</v>
      </c>
      <c r="S46" s="97" t="s">
        <v>650</v>
      </c>
      <c r="T46" s="97"/>
      <c r="U46" s="97" t="s">
        <v>340</v>
      </c>
      <c r="V46" s="97" t="s">
        <v>341</v>
      </c>
      <c r="W46" s="98">
        <v>23293675</v>
      </c>
      <c r="X46" s="98" t="s">
        <v>342</v>
      </c>
      <c r="Y46" s="98"/>
      <c r="Z46" s="98"/>
      <c r="AA46" s="98" t="s">
        <v>45</v>
      </c>
      <c r="AB46" s="98" t="s">
        <v>343</v>
      </c>
      <c r="AC46" s="98" t="s">
        <v>97</v>
      </c>
      <c r="AD46" s="97" t="s">
        <v>47</v>
      </c>
      <c r="AE46" s="97"/>
      <c r="AF46" s="97" t="s">
        <v>49</v>
      </c>
      <c r="AG46" s="97" t="s">
        <v>651</v>
      </c>
    </row>
    <row r="47" spans="1:33" ht="343.25" customHeight="1">
      <c r="A47" s="97" t="s">
        <v>556</v>
      </c>
      <c r="B47" s="97" t="s">
        <v>557</v>
      </c>
      <c r="C47" s="97" t="s">
        <v>652</v>
      </c>
      <c r="D47">
        <v>2020</v>
      </c>
      <c r="E47" s="97" t="s">
        <v>445</v>
      </c>
      <c r="F47">
        <v>211</v>
      </c>
      <c r="G47"/>
      <c r="H47">
        <v>110415</v>
      </c>
      <c r="I47"/>
      <c r="J47"/>
      <c r="K47" s="93"/>
      <c r="L47">
        <v>36</v>
      </c>
      <c r="M47" t="s">
        <v>653</v>
      </c>
      <c r="N47" s="97" t="s">
        <v>654</v>
      </c>
      <c r="O47" s="97" t="s">
        <v>655</v>
      </c>
      <c r="P47" s="97" t="s">
        <v>656</v>
      </c>
      <c r="Q47" s="97" t="s">
        <v>657</v>
      </c>
      <c r="R47" s="97" t="s">
        <v>658</v>
      </c>
      <c r="S47" s="97" t="s">
        <v>659</v>
      </c>
      <c r="T47" s="97" t="s">
        <v>660</v>
      </c>
      <c r="U47" s="97"/>
      <c r="V47" s="97" t="s">
        <v>62</v>
      </c>
      <c r="W47" s="98">
        <v>1410296</v>
      </c>
      <c r="X47" s="98"/>
      <c r="Y47" s="98" t="s">
        <v>454</v>
      </c>
      <c r="Z47" s="98"/>
      <c r="AA47" s="98" t="s">
        <v>45</v>
      </c>
      <c r="AB47" s="98" t="s">
        <v>455</v>
      </c>
      <c r="AC47" s="98" t="s">
        <v>46</v>
      </c>
      <c r="AD47" s="97" t="s">
        <v>47</v>
      </c>
      <c r="AE47" s="97"/>
      <c r="AF47" s="97" t="s">
        <v>49</v>
      </c>
      <c r="AG47" s="97" t="s">
        <v>661</v>
      </c>
    </row>
    <row r="48" spans="1:33" ht="343.25" customHeight="1">
      <c r="A48" s="97" t="s">
        <v>662</v>
      </c>
      <c r="B48" s="97" t="s">
        <v>663</v>
      </c>
      <c r="C48" s="97" t="s">
        <v>664</v>
      </c>
      <c r="D48">
        <v>2018</v>
      </c>
      <c r="E48" s="97" t="s">
        <v>577</v>
      </c>
      <c r="F48">
        <v>176</v>
      </c>
      <c r="G48"/>
      <c r="H48"/>
      <c r="I48">
        <v>203</v>
      </c>
      <c r="J48">
        <v>215</v>
      </c>
      <c r="K48" s="93">
        <f>scopus[[#This Row],[Page end]]-scopus[[#This Row],[Page start]]</f>
        <v>12</v>
      </c>
      <c r="L48">
        <v>67</v>
      </c>
      <c r="M48" t="s">
        <v>665</v>
      </c>
      <c r="N48" s="97" t="s">
        <v>666</v>
      </c>
      <c r="O48" s="97" t="s">
        <v>667</v>
      </c>
      <c r="P48" s="97" t="s">
        <v>668</v>
      </c>
      <c r="Q48" s="97" t="s">
        <v>669</v>
      </c>
      <c r="R48" s="97" t="s">
        <v>670</v>
      </c>
      <c r="S48" s="97" t="s">
        <v>671</v>
      </c>
      <c r="T48" s="97" t="s">
        <v>672</v>
      </c>
      <c r="U48" s="97"/>
      <c r="V48" s="97" t="s">
        <v>62</v>
      </c>
      <c r="W48" s="98">
        <v>3787788</v>
      </c>
      <c r="X48" s="98"/>
      <c r="Y48" s="98" t="s">
        <v>584</v>
      </c>
      <c r="Z48" s="98"/>
      <c r="AA48" s="98" t="s">
        <v>45</v>
      </c>
      <c r="AB48" s="98" t="s">
        <v>585</v>
      </c>
      <c r="AC48" s="98" t="s">
        <v>46</v>
      </c>
      <c r="AD48" s="97" t="s">
        <v>47</v>
      </c>
      <c r="AE48" s="97" t="s">
        <v>543</v>
      </c>
      <c r="AF48" s="97" t="s">
        <v>49</v>
      </c>
      <c r="AG48" s="97" t="s">
        <v>673</v>
      </c>
    </row>
    <row r="49" spans="1:33" ht="343.25" customHeight="1">
      <c r="A49" s="97" t="s">
        <v>480</v>
      </c>
      <c r="B49" s="97" t="s">
        <v>481</v>
      </c>
      <c r="C49" s="97" t="s">
        <v>674</v>
      </c>
      <c r="D49">
        <v>2025</v>
      </c>
      <c r="E49" s="97" t="s">
        <v>675</v>
      </c>
      <c r="F49">
        <v>63</v>
      </c>
      <c r="G49"/>
      <c r="H49">
        <v>112170</v>
      </c>
      <c r="I49"/>
      <c r="J49"/>
      <c r="K49" s="93"/>
      <c r="L49">
        <v>1</v>
      </c>
      <c r="M49" t="s">
        <v>676</v>
      </c>
      <c r="N49" s="97" t="s">
        <v>677</v>
      </c>
      <c r="O49" s="97" t="s">
        <v>678</v>
      </c>
      <c r="P49" s="97" t="s">
        <v>679</v>
      </c>
      <c r="Q49" s="97" t="s">
        <v>680</v>
      </c>
      <c r="R49" s="97" t="s">
        <v>681</v>
      </c>
      <c r="S49" s="97" t="s">
        <v>682</v>
      </c>
      <c r="T49" s="97" t="s">
        <v>683</v>
      </c>
      <c r="U49" s="97"/>
      <c r="V49" s="97" t="s">
        <v>684</v>
      </c>
      <c r="W49" s="98">
        <v>23523409</v>
      </c>
      <c r="X49" s="98"/>
      <c r="Y49" s="98"/>
      <c r="Z49" s="98"/>
      <c r="AA49" s="98" t="s">
        <v>45</v>
      </c>
      <c r="AB49" s="98" t="s">
        <v>685</v>
      </c>
      <c r="AC49" s="98" t="s">
        <v>46</v>
      </c>
      <c r="AD49" s="97" t="s">
        <v>47</v>
      </c>
      <c r="AE49" s="97" t="s">
        <v>48</v>
      </c>
      <c r="AF49" s="97" t="s">
        <v>49</v>
      </c>
      <c r="AG49" s="97" t="s">
        <v>686</v>
      </c>
    </row>
    <row r="50" spans="1:33" ht="343.25" customHeight="1">
      <c r="A50" s="97" t="s">
        <v>480</v>
      </c>
      <c r="B50" s="97" t="s">
        <v>481</v>
      </c>
      <c r="C50" s="97" t="s">
        <v>687</v>
      </c>
      <c r="D50">
        <v>2023</v>
      </c>
      <c r="E50" s="97" t="s">
        <v>445</v>
      </c>
      <c r="F50">
        <v>291</v>
      </c>
      <c r="G50"/>
      <c r="H50">
        <v>116395</v>
      </c>
      <c r="I50"/>
      <c r="J50"/>
      <c r="K50" s="93"/>
      <c r="L50">
        <v>9</v>
      </c>
      <c r="M50" t="s">
        <v>688</v>
      </c>
      <c r="N50" s="97" t="s">
        <v>689</v>
      </c>
      <c r="O50" s="97" t="s">
        <v>690</v>
      </c>
      <c r="P50" s="97" t="s">
        <v>691</v>
      </c>
      <c r="Q50" s="97" t="s">
        <v>692</v>
      </c>
      <c r="R50" s="97" t="s">
        <v>693</v>
      </c>
      <c r="S50" s="97" t="s">
        <v>694</v>
      </c>
      <c r="T50" s="97" t="s">
        <v>695</v>
      </c>
      <c r="U50" s="97"/>
      <c r="V50" s="97" t="s">
        <v>62</v>
      </c>
      <c r="W50" s="98">
        <v>1410296</v>
      </c>
      <c r="X50" s="98"/>
      <c r="Y50" s="98" t="s">
        <v>454</v>
      </c>
      <c r="Z50" s="98"/>
      <c r="AA50" s="98" t="s">
        <v>45</v>
      </c>
      <c r="AB50" s="98" t="s">
        <v>455</v>
      </c>
      <c r="AC50" s="98" t="s">
        <v>46</v>
      </c>
      <c r="AD50" s="97" t="s">
        <v>47</v>
      </c>
      <c r="AE50" s="97"/>
      <c r="AF50" s="97" t="s">
        <v>49</v>
      </c>
      <c r="AG50" s="97" t="s">
        <v>696</v>
      </c>
    </row>
    <row r="51" spans="1:33" ht="343.25" customHeight="1">
      <c r="A51" s="97" t="s">
        <v>697</v>
      </c>
      <c r="B51" s="97" t="s">
        <v>698</v>
      </c>
      <c r="C51" s="97" t="s">
        <v>699</v>
      </c>
      <c r="D51">
        <v>2025</v>
      </c>
      <c r="E51" s="97" t="s">
        <v>471</v>
      </c>
      <c r="F51">
        <v>48</v>
      </c>
      <c r="G51"/>
      <c r="H51"/>
      <c r="I51">
        <v>113</v>
      </c>
      <c r="J51">
        <v>122</v>
      </c>
      <c r="K51" s="93">
        <f>scopus[[#This Row],[Page end]]-scopus[[#This Row],[Page start]]</f>
        <v>9</v>
      </c>
      <c r="L51">
        <v>1</v>
      </c>
      <c r="M51" t="s">
        <v>700</v>
      </c>
      <c r="N51" s="97" t="s">
        <v>701</v>
      </c>
      <c r="O51" s="97" t="s">
        <v>702</v>
      </c>
      <c r="P51" s="97" t="s">
        <v>703</v>
      </c>
      <c r="Q51" s="97" t="s">
        <v>704</v>
      </c>
      <c r="R51" s="97" t="s">
        <v>705</v>
      </c>
      <c r="S51" s="97"/>
      <c r="T51" s="97" t="s">
        <v>706</v>
      </c>
      <c r="U51" s="97" t="s">
        <v>474</v>
      </c>
      <c r="V51" s="97" t="s">
        <v>475</v>
      </c>
      <c r="W51" s="98">
        <v>24743941</v>
      </c>
      <c r="X51" s="98" t="s">
        <v>476</v>
      </c>
      <c r="Y51" s="98"/>
      <c r="Z51" s="98"/>
      <c r="AA51" s="98" t="s">
        <v>45</v>
      </c>
      <c r="AB51" s="98" t="s">
        <v>477</v>
      </c>
      <c r="AC51" s="98" t="s">
        <v>97</v>
      </c>
      <c r="AD51" s="97" t="s">
        <v>47</v>
      </c>
      <c r="AE51" s="97" t="s">
        <v>456</v>
      </c>
      <c r="AF51" s="97" t="s">
        <v>49</v>
      </c>
      <c r="AG51" s="97" t="s">
        <v>707</v>
      </c>
    </row>
    <row r="52" spans="1:33" ht="343.25" customHeight="1">
      <c r="A52" s="97" t="s">
        <v>708</v>
      </c>
      <c r="B52" s="97" t="s">
        <v>709</v>
      </c>
      <c r="C52" s="97" t="s">
        <v>710</v>
      </c>
      <c r="D52">
        <v>2017</v>
      </c>
      <c r="E52" s="97" t="s">
        <v>711</v>
      </c>
      <c r="F52">
        <v>138</v>
      </c>
      <c r="G52"/>
      <c r="H52"/>
      <c r="I52">
        <v>823</v>
      </c>
      <c r="J52">
        <v>836</v>
      </c>
      <c r="K52" s="93">
        <f>scopus[[#This Row],[Page end]]-scopus[[#This Row],[Page start]]</f>
        <v>13</v>
      </c>
      <c r="L52">
        <v>113</v>
      </c>
      <c r="M52" t="s">
        <v>712</v>
      </c>
      <c r="N52" s="97" t="s">
        <v>713</v>
      </c>
      <c r="O52" s="97" t="s">
        <v>714</v>
      </c>
      <c r="P52" s="97" t="s">
        <v>715</v>
      </c>
      <c r="Q52" s="97" t="s">
        <v>716</v>
      </c>
      <c r="R52" s="97" t="s">
        <v>717</v>
      </c>
      <c r="S52" s="97" t="s">
        <v>718</v>
      </c>
      <c r="T52" s="97" t="s">
        <v>719</v>
      </c>
      <c r="U52" s="97"/>
      <c r="V52" s="97" t="s">
        <v>62</v>
      </c>
      <c r="W52" s="98" t="s">
        <v>720</v>
      </c>
      <c r="X52" s="98"/>
      <c r="Y52" s="98"/>
      <c r="Z52" s="98"/>
      <c r="AA52" s="98" t="s">
        <v>45</v>
      </c>
      <c r="AB52" s="98" t="s">
        <v>721</v>
      </c>
      <c r="AC52" s="98" t="s">
        <v>46</v>
      </c>
      <c r="AD52" s="97" t="s">
        <v>47</v>
      </c>
      <c r="AE52" s="97"/>
      <c r="AF52" s="97" t="s">
        <v>49</v>
      </c>
      <c r="AG52" s="97" t="s">
        <v>722</v>
      </c>
    </row>
    <row r="53" spans="1:33" ht="343.25" customHeight="1">
      <c r="A53" s="97" t="s">
        <v>723</v>
      </c>
      <c r="B53" s="97" t="s">
        <v>724</v>
      </c>
      <c r="C53" s="97" t="s">
        <v>725</v>
      </c>
      <c r="D53">
        <v>2023</v>
      </c>
      <c r="E53" s="97" t="s">
        <v>85</v>
      </c>
      <c r="F53">
        <v>5</v>
      </c>
      <c r="G53"/>
      <c r="H53"/>
      <c r="I53">
        <v>3121</v>
      </c>
      <c r="J53">
        <v>3126</v>
      </c>
      <c r="K53" s="93">
        <f>scopus[[#This Row],[Page end]]-scopus[[#This Row],[Page start]]</f>
        <v>5</v>
      </c>
      <c r="L53">
        <v>0</v>
      </c>
      <c r="M53" t="s">
        <v>726</v>
      </c>
      <c r="N53" s="97" t="s">
        <v>727</v>
      </c>
      <c r="O53" s="97" t="s">
        <v>728</v>
      </c>
      <c r="P53" s="97" t="s">
        <v>729</v>
      </c>
      <c r="Q53" s="97" t="s">
        <v>730</v>
      </c>
      <c r="R53" s="97" t="s">
        <v>731</v>
      </c>
      <c r="S53" s="97" t="s">
        <v>732</v>
      </c>
      <c r="T53" s="97"/>
      <c r="U53" s="97" t="s">
        <v>93</v>
      </c>
      <c r="V53" s="97" t="s">
        <v>94</v>
      </c>
      <c r="W53" s="98"/>
      <c r="X53" s="98" t="s">
        <v>95</v>
      </c>
      <c r="Y53" s="98"/>
      <c r="Z53" s="98"/>
      <c r="AA53" s="98" t="s">
        <v>45</v>
      </c>
      <c r="AB53" s="98" t="s">
        <v>96</v>
      </c>
      <c r="AC53" s="98" t="s">
        <v>97</v>
      </c>
      <c r="AD53" s="97" t="s">
        <v>47</v>
      </c>
      <c r="AE53" s="97" t="s">
        <v>80</v>
      </c>
      <c r="AF53" s="97" t="s">
        <v>49</v>
      </c>
      <c r="AG53" s="97" t="s">
        <v>733</v>
      </c>
    </row>
    <row r="54" spans="1:33" ht="343.25" customHeight="1">
      <c r="A54" s="97" t="s">
        <v>734</v>
      </c>
      <c r="B54" s="97" t="s">
        <v>735</v>
      </c>
      <c r="C54" s="97" t="s">
        <v>736</v>
      </c>
      <c r="D54">
        <v>2020</v>
      </c>
      <c r="E54" s="97" t="s">
        <v>737</v>
      </c>
      <c r="F54">
        <v>588</v>
      </c>
      <c r="G54">
        <v>2</v>
      </c>
      <c r="H54">
        <v>22068</v>
      </c>
      <c r="I54"/>
      <c r="J54"/>
      <c r="K54" s="93"/>
      <c r="L54">
        <v>13</v>
      </c>
      <c r="M54" t="s">
        <v>738</v>
      </c>
      <c r="N54" s="97" t="s">
        <v>739</v>
      </c>
      <c r="O54" s="97" t="s">
        <v>740</v>
      </c>
      <c r="P54" s="97" t="s">
        <v>741</v>
      </c>
      <c r="Q54" s="97" t="s">
        <v>742</v>
      </c>
      <c r="R54" s="97"/>
      <c r="S54" s="97" t="s">
        <v>743</v>
      </c>
      <c r="T54" s="97" t="s">
        <v>744</v>
      </c>
      <c r="U54" s="97" t="s">
        <v>745</v>
      </c>
      <c r="V54" s="97" t="s">
        <v>746</v>
      </c>
      <c r="W54" s="98">
        <v>17551307</v>
      </c>
      <c r="X54" s="98"/>
      <c r="Y54" s="98"/>
      <c r="Z54" s="98"/>
      <c r="AA54" s="98" t="s">
        <v>45</v>
      </c>
      <c r="AB54" s="98" t="s">
        <v>747</v>
      </c>
      <c r="AC54" s="98" t="s">
        <v>97</v>
      </c>
      <c r="AD54" s="97" t="s">
        <v>47</v>
      </c>
      <c r="AE54" s="97" t="s">
        <v>80</v>
      </c>
      <c r="AF54" s="97" t="s">
        <v>49</v>
      </c>
      <c r="AG54" s="97" t="s">
        <v>748</v>
      </c>
    </row>
    <row r="55" spans="1:33" ht="343.25" customHeight="1">
      <c r="A55" s="97" t="s">
        <v>749</v>
      </c>
      <c r="B55" s="97" t="s">
        <v>750</v>
      </c>
      <c r="C55" s="97" t="s">
        <v>751</v>
      </c>
      <c r="D55">
        <v>2025</v>
      </c>
      <c r="E55" s="97" t="s">
        <v>445</v>
      </c>
      <c r="F55">
        <v>340</v>
      </c>
      <c r="G55"/>
      <c r="H55">
        <v>120783</v>
      </c>
      <c r="I55"/>
      <c r="J55"/>
      <c r="K55" s="93"/>
      <c r="L55">
        <v>3</v>
      </c>
      <c r="M55" t="s">
        <v>752</v>
      </c>
      <c r="N55" s="97" t="s">
        <v>753</v>
      </c>
      <c r="O55" s="97" t="s">
        <v>754</v>
      </c>
      <c r="P55" s="97" t="s">
        <v>755</v>
      </c>
      <c r="Q55" s="97" t="s">
        <v>756</v>
      </c>
      <c r="R55" s="97" t="s">
        <v>757</v>
      </c>
      <c r="S55" s="97" t="s">
        <v>758</v>
      </c>
      <c r="T55" s="97" t="s">
        <v>759</v>
      </c>
      <c r="U55" s="97"/>
      <c r="V55" s="97" t="s">
        <v>62</v>
      </c>
      <c r="W55" s="98">
        <v>1410296</v>
      </c>
      <c r="X55" s="98"/>
      <c r="Y55" s="98" t="s">
        <v>454</v>
      </c>
      <c r="Z55" s="98"/>
      <c r="AA55" s="98" t="s">
        <v>45</v>
      </c>
      <c r="AB55" s="98" t="s">
        <v>455</v>
      </c>
      <c r="AC55" s="98" t="s">
        <v>46</v>
      </c>
      <c r="AD55" s="97" t="s">
        <v>47</v>
      </c>
      <c r="AE55" s="97"/>
      <c r="AF55" s="97" t="s">
        <v>49</v>
      </c>
      <c r="AG55" s="97" t="s">
        <v>760</v>
      </c>
    </row>
    <row r="56" spans="1:33" ht="343.25" customHeight="1">
      <c r="A56" s="97" t="s">
        <v>761</v>
      </c>
      <c r="B56" s="97" t="s">
        <v>762</v>
      </c>
      <c r="C56" s="97" t="s">
        <v>763</v>
      </c>
      <c r="D56">
        <v>2024</v>
      </c>
      <c r="E56" s="97" t="s">
        <v>406</v>
      </c>
      <c r="F56">
        <v>14</v>
      </c>
      <c r="G56">
        <v>3</v>
      </c>
      <c r="H56">
        <v>749</v>
      </c>
      <c r="I56"/>
      <c r="J56"/>
      <c r="K56" s="93"/>
      <c r="L56">
        <v>5</v>
      </c>
      <c r="M56" t="s">
        <v>764</v>
      </c>
      <c r="N56" s="97" t="s">
        <v>765</v>
      </c>
      <c r="O56" s="97" t="s">
        <v>766</v>
      </c>
      <c r="P56" s="97" t="s">
        <v>767</v>
      </c>
      <c r="Q56" s="97" t="s">
        <v>768</v>
      </c>
      <c r="R56" s="97" t="s">
        <v>769</v>
      </c>
      <c r="S56" s="97" t="s">
        <v>770</v>
      </c>
      <c r="T56" s="97" t="s">
        <v>771</v>
      </c>
      <c r="U56" s="97"/>
      <c r="V56" s="97" t="s">
        <v>44</v>
      </c>
      <c r="W56" s="98">
        <v>20755309</v>
      </c>
      <c r="X56" s="98"/>
      <c r="Y56" s="98"/>
      <c r="Z56" s="98"/>
      <c r="AA56" s="98" t="s">
        <v>45</v>
      </c>
      <c r="AB56" s="98" t="s">
        <v>406</v>
      </c>
      <c r="AC56" s="98" t="s">
        <v>46</v>
      </c>
      <c r="AD56" s="97" t="s">
        <v>47</v>
      </c>
      <c r="AE56" s="97" t="s">
        <v>48</v>
      </c>
      <c r="AF56" s="97" t="s">
        <v>49</v>
      </c>
      <c r="AG56" s="97" t="s">
        <v>772</v>
      </c>
    </row>
    <row r="57" spans="1:33" ht="343.25" customHeight="1">
      <c r="A57" s="97" t="s">
        <v>773</v>
      </c>
      <c r="B57" s="97" t="s">
        <v>774</v>
      </c>
      <c r="C57" s="97" t="s">
        <v>775</v>
      </c>
      <c r="D57">
        <v>2016</v>
      </c>
      <c r="E57" s="97" t="s">
        <v>776</v>
      </c>
      <c r="F57"/>
      <c r="G57"/>
      <c r="H57"/>
      <c r="I57">
        <v>983</v>
      </c>
      <c r="J57">
        <v>987</v>
      </c>
      <c r="K57" s="93">
        <f>scopus[[#This Row],[Page end]]-scopus[[#This Row],[Page start]]</f>
        <v>4</v>
      </c>
      <c r="L57">
        <v>5</v>
      </c>
      <c r="M57" t="s">
        <v>777</v>
      </c>
      <c r="N57" s="97" t="s">
        <v>778</v>
      </c>
      <c r="O57" s="97" t="s">
        <v>779</v>
      </c>
      <c r="P57" s="97" t="s">
        <v>780</v>
      </c>
      <c r="Q57" s="97" t="s">
        <v>781</v>
      </c>
      <c r="R57" s="97" t="s">
        <v>782</v>
      </c>
      <c r="S57" s="97" t="s">
        <v>783</v>
      </c>
      <c r="T57" s="97"/>
      <c r="U57" s="97" t="s">
        <v>784</v>
      </c>
      <c r="V57" s="97" t="s">
        <v>785</v>
      </c>
      <c r="W57" s="98"/>
      <c r="X57" s="98" t="s">
        <v>786</v>
      </c>
      <c r="Y57" s="98"/>
      <c r="Z57" s="98"/>
      <c r="AA57" s="98" t="s">
        <v>45</v>
      </c>
      <c r="AB57" s="98" t="s">
        <v>787</v>
      </c>
      <c r="AC57" s="98" t="s">
        <v>97</v>
      </c>
      <c r="AD57" s="97" t="s">
        <v>47</v>
      </c>
      <c r="AE57" s="97"/>
      <c r="AF57" s="97" t="s">
        <v>49</v>
      </c>
      <c r="AG57" s="97" t="s">
        <v>788</v>
      </c>
    </row>
    <row r="58" spans="1:33" ht="343.25" customHeight="1">
      <c r="A58" s="97" t="s">
        <v>789</v>
      </c>
      <c r="B58" s="97" t="s">
        <v>790</v>
      </c>
      <c r="C58" s="97" t="s">
        <v>791</v>
      </c>
      <c r="D58">
        <v>2023</v>
      </c>
      <c r="E58" s="97" t="s">
        <v>792</v>
      </c>
      <c r="F58">
        <v>185</v>
      </c>
      <c r="G58"/>
      <c r="H58">
        <v>113604</v>
      </c>
      <c r="I58"/>
      <c r="J58"/>
      <c r="K58" s="93"/>
      <c r="L58">
        <v>38</v>
      </c>
      <c r="M58" t="s">
        <v>793</v>
      </c>
      <c r="N58" s="97" t="s">
        <v>794</v>
      </c>
      <c r="O58" s="97" t="s">
        <v>795</v>
      </c>
      <c r="P58" s="97" t="s">
        <v>796</v>
      </c>
      <c r="Q58" s="97" t="s">
        <v>797</v>
      </c>
      <c r="R58" s="97" t="s">
        <v>798</v>
      </c>
      <c r="S58" s="97" t="s">
        <v>799</v>
      </c>
      <c r="T58" s="97" t="s">
        <v>197</v>
      </c>
      <c r="U58" s="97"/>
      <c r="V58" s="97" t="s">
        <v>62</v>
      </c>
      <c r="W58" s="98">
        <v>13640321</v>
      </c>
      <c r="X58" s="98"/>
      <c r="Y58" s="98" t="s">
        <v>800</v>
      </c>
      <c r="Z58" s="98"/>
      <c r="AA58" s="98" t="s">
        <v>45</v>
      </c>
      <c r="AB58" s="98" t="s">
        <v>801</v>
      </c>
      <c r="AC58" s="98" t="s">
        <v>46</v>
      </c>
      <c r="AD58" s="97" t="s">
        <v>47</v>
      </c>
      <c r="AE58" s="97"/>
      <c r="AF58" s="97" t="s">
        <v>49</v>
      </c>
      <c r="AG58" s="97" t="s">
        <v>802</v>
      </c>
    </row>
    <row r="59" spans="1:33" ht="343.25" customHeight="1">
      <c r="A59" s="97" t="s">
        <v>229</v>
      </c>
      <c r="B59" s="97" t="s">
        <v>230</v>
      </c>
      <c r="C59" s="97" t="s">
        <v>803</v>
      </c>
      <c r="D59">
        <v>2018</v>
      </c>
      <c r="E59" s="97" t="s">
        <v>804</v>
      </c>
      <c r="F59"/>
      <c r="G59"/>
      <c r="H59"/>
      <c r="I59"/>
      <c r="J59"/>
      <c r="K59" s="93"/>
      <c r="L59">
        <v>4</v>
      </c>
      <c r="M59"/>
      <c r="N59" s="97" t="s">
        <v>805</v>
      </c>
      <c r="O59" s="97" t="s">
        <v>806</v>
      </c>
      <c r="P59" s="97" t="s">
        <v>807</v>
      </c>
      <c r="Q59" s="97" t="s">
        <v>808</v>
      </c>
      <c r="R59" s="97" t="s">
        <v>809</v>
      </c>
      <c r="S59" s="97" t="s">
        <v>810</v>
      </c>
      <c r="T59" s="97"/>
      <c r="U59" s="97"/>
      <c r="V59" s="97" t="s">
        <v>94</v>
      </c>
      <c r="W59" s="98"/>
      <c r="X59" s="98"/>
      <c r="Y59" s="98"/>
      <c r="Z59" s="98"/>
      <c r="AA59" s="98" t="s">
        <v>45</v>
      </c>
      <c r="AB59" s="98" t="s">
        <v>811</v>
      </c>
      <c r="AC59" s="98" t="s">
        <v>97</v>
      </c>
      <c r="AD59" s="97" t="s">
        <v>47</v>
      </c>
      <c r="AE59" s="97"/>
      <c r="AF59" s="97" t="s">
        <v>49</v>
      </c>
      <c r="AG59" s="97" t="s">
        <v>812</v>
      </c>
    </row>
    <row r="60" spans="1:33" ht="343.25" customHeight="1">
      <c r="A60" s="97" t="s">
        <v>813</v>
      </c>
      <c r="B60" s="97" t="s">
        <v>814</v>
      </c>
      <c r="C60" s="97" t="s">
        <v>815</v>
      </c>
      <c r="D60">
        <v>2024</v>
      </c>
      <c r="E60" s="97" t="s">
        <v>333</v>
      </c>
      <c r="F60"/>
      <c r="G60"/>
      <c r="H60"/>
      <c r="I60"/>
      <c r="J60"/>
      <c r="K60" s="93"/>
      <c r="L60">
        <v>0</v>
      </c>
      <c r="M60"/>
      <c r="N60" s="97" t="s">
        <v>816</v>
      </c>
      <c r="O60" s="97" t="s">
        <v>817</v>
      </c>
      <c r="P60" s="97" t="s">
        <v>818</v>
      </c>
      <c r="Q60" s="97" t="s">
        <v>819</v>
      </c>
      <c r="R60" s="97" t="s">
        <v>820</v>
      </c>
      <c r="S60" s="97" t="s">
        <v>821</v>
      </c>
      <c r="T60" s="97"/>
      <c r="U60" s="97" t="s">
        <v>822</v>
      </c>
      <c r="V60" s="97" t="s">
        <v>341</v>
      </c>
      <c r="W60" s="98">
        <v>23293675</v>
      </c>
      <c r="X60" s="98" t="s">
        <v>823</v>
      </c>
      <c r="Y60" s="98"/>
      <c r="Z60" s="98"/>
      <c r="AA60" s="98" t="s">
        <v>45</v>
      </c>
      <c r="AB60" s="98" t="s">
        <v>343</v>
      </c>
      <c r="AC60" s="98" t="s">
        <v>97</v>
      </c>
      <c r="AD60" s="97" t="s">
        <v>47</v>
      </c>
      <c r="AE60" s="97"/>
      <c r="AF60" s="97" t="s">
        <v>49</v>
      </c>
      <c r="AG60" s="97" t="s">
        <v>824</v>
      </c>
    </row>
    <row r="61" spans="1:33" ht="343.25" customHeight="1">
      <c r="A61" s="97" t="s">
        <v>825</v>
      </c>
      <c r="B61" s="97" t="s">
        <v>826</v>
      </c>
      <c r="C61" s="97" t="s">
        <v>827</v>
      </c>
      <c r="D61">
        <v>2015</v>
      </c>
      <c r="E61" s="97" t="s">
        <v>828</v>
      </c>
      <c r="F61"/>
      <c r="G61"/>
      <c r="H61"/>
      <c r="I61">
        <v>252</v>
      </c>
      <c r="J61">
        <v>253</v>
      </c>
      <c r="K61" s="93">
        <f>scopus[[#This Row],[Page end]]-scopus[[#This Row],[Page start]]</f>
        <v>1</v>
      </c>
      <c r="L61">
        <v>5</v>
      </c>
      <c r="M61"/>
      <c r="N61" s="97" t="s">
        <v>829</v>
      </c>
      <c r="O61" s="97" t="s">
        <v>830</v>
      </c>
      <c r="P61" s="97" t="s">
        <v>831</v>
      </c>
      <c r="Q61" s="97" t="s">
        <v>832</v>
      </c>
      <c r="R61" s="97" t="s">
        <v>833</v>
      </c>
      <c r="S61" s="97" t="s">
        <v>834</v>
      </c>
      <c r="T61" s="97"/>
      <c r="U61" s="97"/>
      <c r="V61" s="97" t="s">
        <v>835</v>
      </c>
      <c r="W61" s="98"/>
      <c r="X61" s="98" t="s">
        <v>836</v>
      </c>
      <c r="Y61" s="98"/>
      <c r="Z61" s="98"/>
      <c r="AA61" s="98" t="s">
        <v>45</v>
      </c>
      <c r="AB61" s="98" t="s">
        <v>837</v>
      </c>
      <c r="AC61" s="98" t="s">
        <v>97</v>
      </c>
      <c r="AD61" s="97" t="s">
        <v>47</v>
      </c>
      <c r="AE61" s="97"/>
      <c r="AF61" s="97" t="s">
        <v>49</v>
      </c>
      <c r="AG61" s="97" t="s">
        <v>838</v>
      </c>
    </row>
    <row r="62" spans="1:33" ht="343.25" customHeight="1">
      <c r="A62" s="97" t="s">
        <v>839</v>
      </c>
      <c r="B62" s="97" t="s">
        <v>840</v>
      </c>
      <c r="C62" s="97" t="s">
        <v>841</v>
      </c>
      <c r="D62">
        <v>2024</v>
      </c>
      <c r="E62" s="97" t="s">
        <v>289</v>
      </c>
      <c r="F62">
        <v>150</v>
      </c>
      <c r="G62">
        <v>6</v>
      </c>
      <c r="H62">
        <v>4024060</v>
      </c>
      <c r="I62"/>
      <c r="J62"/>
      <c r="K62" s="93"/>
      <c r="L62">
        <v>10</v>
      </c>
      <c r="M62" t="s">
        <v>842</v>
      </c>
      <c r="N62" s="97" t="s">
        <v>843</v>
      </c>
      <c r="O62" s="97" t="s">
        <v>844</v>
      </c>
      <c r="P62" s="97" t="s">
        <v>845</v>
      </c>
      <c r="Q62" s="97" t="s">
        <v>846</v>
      </c>
      <c r="R62" s="97" t="s">
        <v>847</v>
      </c>
      <c r="S62" s="97" t="s">
        <v>848</v>
      </c>
      <c r="T62" s="97" t="s">
        <v>849</v>
      </c>
      <c r="U62" s="97"/>
      <c r="V62" s="97" t="s">
        <v>298</v>
      </c>
      <c r="W62" s="98">
        <v>7339445</v>
      </c>
      <c r="X62" s="98"/>
      <c r="Y62" s="98" t="s">
        <v>299</v>
      </c>
      <c r="Z62" s="98"/>
      <c r="AA62" s="98" t="s">
        <v>45</v>
      </c>
      <c r="AB62" s="98" t="s">
        <v>300</v>
      </c>
      <c r="AC62" s="98" t="s">
        <v>46</v>
      </c>
      <c r="AD62" s="97" t="s">
        <v>47</v>
      </c>
      <c r="AE62" s="97"/>
      <c r="AF62" s="97" t="s">
        <v>49</v>
      </c>
      <c r="AG62" s="97" t="s">
        <v>850</v>
      </c>
    </row>
    <row r="63" spans="1:33" ht="343.25" customHeight="1">
      <c r="A63" s="97" t="s">
        <v>851</v>
      </c>
      <c r="B63" s="97" t="s">
        <v>852</v>
      </c>
      <c r="C63" s="97" t="s">
        <v>853</v>
      </c>
      <c r="D63">
        <v>2025</v>
      </c>
      <c r="E63" s="97" t="s">
        <v>115</v>
      </c>
      <c r="F63" t="s">
        <v>590</v>
      </c>
      <c r="G63"/>
      <c r="H63"/>
      <c r="I63">
        <v>632</v>
      </c>
      <c r="J63">
        <v>641</v>
      </c>
      <c r="K63" s="93">
        <f>scopus[[#This Row],[Page end]]-scopus[[#This Row],[Page start]]</f>
        <v>9</v>
      </c>
      <c r="L63">
        <v>0</v>
      </c>
      <c r="M63" t="s">
        <v>854</v>
      </c>
      <c r="N63" s="97" t="s">
        <v>855</v>
      </c>
      <c r="O63" s="97" t="s">
        <v>856</v>
      </c>
      <c r="P63" s="97" t="s">
        <v>857</v>
      </c>
      <c r="Q63" s="97" t="s">
        <v>858</v>
      </c>
      <c r="R63" s="97" t="s">
        <v>859</v>
      </c>
      <c r="S63" s="97" t="s">
        <v>860</v>
      </c>
      <c r="T63" s="97" t="s">
        <v>861</v>
      </c>
      <c r="U63" s="97" t="s">
        <v>599</v>
      </c>
      <c r="V63" s="97" t="s">
        <v>125</v>
      </c>
      <c r="W63" s="98">
        <v>23662557</v>
      </c>
      <c r="X63" s="98" t="s">
        <v>600</v>
      </c>
      <c r="Y63" s="98"/>
      <c r="Z63" s="98"/>
      <c r="AA63" s="98" t="s">
        <v>45</v>
      </c>
      <c r="AB63" s="98" t="s">
        <v>127</v>
      </c>
      <c r="AC63" s="98" t="s">
        <v>97</v>
      </c>
      <c r="AD63" s="97" t="s">
        <v>47</v>
      </c>
      <c r="AE63" s="97"/>
      <c r="AF63" s="97" t="s">
        <v>49</v>
      </c>
      <c r="AG63" s="97" t="s">
        <v>862</v>
      </c>
    </row>
    <row r="64" spans="1:33" ht="343.25" customHeight="1">
      <c r="A64" s="97" t="s">
        <v>863</v>
      </c>
      <c r="B64" s="97" t="s">
        <v>864</v>
      </c>
      <c r="C64" s="97" t="s">
        <v>865</v>
      </c>
      <c r="D64">
        <v>2024</v>
      </c>
      <c r="E64" s="97" t="s">
        <v>406</v>
      </c>
      <c r="F64">
        <v>14</v>
      </c>
      <c r="G64">
        <v>4</v>
      </c>
      <c r="H64">
        <v>1151</v>
      </c>
      <c r="I64"/>
      <c r="J64"/>
      <c r="K64" s="93"/>
      <c r="L64">
        <v>6</v>
      </c>
      <c r="M64" t="s">
        <v>866</v>
      </c>
      <c r="N64" s="97" t="s">
        <v>867</v>
      </c>
      <c r="O64" s="97" t="s">
        <v>868</v>
      </c>
      <c r="P64" s="97" t="s">
        <v>869</v>
      </c>
      <c r="Q64" s="97" t="s">
        <v>870</v>
      </c>
      <c r="R64" s="97" t="s">
        <v>871</v>
      </c>
      <c r="S64" s="97" t="s">
        <v>872</v>
      </c>
      <c r="T64" s="97" t="s">
        <v>873</v>
      </c>
      <c r="U64" s="97"/>
      <c r="V64" s="97" t="s">
        <v>44</v>
      </c>
      <c r="W64" s="98">
        <v>20755309</v>
      </c>
      <c r="X64" s="98"/>
      <c r="Y64" s="98"/>
      <c r="Z64" s="98"/>
      <c r="AA64" s="98" t="s">
        <v>45</v>
      </c>
      <c r="AB64" s="98" t="s">
        <v>406</v>
      </c>
      <c r="AC64" s="98" t="s">
        <v>46</v>
      </c>
      <c r="AD64" s="97" t="s">
        <v>47</v>
      </c>
      <c r="AE64" s="97" t="s">
        <v>48</v>
      </c>
      <c r="AF64" s="97" t="s">
        <v>49</v>
      </c>
      <c r="AG64" s="97" t="s">
        <v>874</v>
      </c>
    </row>
    <row r="65" spans="1:33" ht="343.25" customHeight="1">
      <c r="A65" s="97" t="s">
        <v>875</v>
      </c>
      <c r="B65" s="97" t="s">
        <v>876</v>
      </c>
      <c r="C65" s="97" t="s">
        <v>877</v>
      </c>
      <c r="D65">
        <v>2023</v>
      </c>
      <c r="E65" s="97" t="s">
        <v>85</v>
      </c>
      <c r="F65">
        <v>2</v>
      </c>
      <c r="G65"/>
      <c r="H65"/>
      <c r="I65">
        <v>1009</v>
      </c>
      <c r="J65">
        <v>1016</v>
      </c>
      <c r="K65" s="93">
        <f>scopus[[#This Row],[Page end]]-scopus[[#This Row],[Page start]]</f>
        <v>7</v>
      </c>
      <c r="L65">
        <v>6</v>
      </c>
      <c r="M65" t="s">
        <v>878</v>
      </c>
      <c r="N65" s="97" t="s">
        <v>879</v>
      </c>
      <c r="O65" s="97" t="s">
        <v>880</v>
      </c>
      <c r="P65" s="97" t="s">
        <v>881</v>
      </c>
      <c r="Q65" s="97" t="s">
        <v>882</v>
      </c>
      <c r="R65" s="97" t="s">
        <v>883</v>
      </c>
      <c r="S65" s="97" t="s">
        <v>884</v>
      </c>
      <c r="T65" s="97"/>
      <c r="U65" s="97" t="s">
        <v>93</v>
      </c>
      <c r="V65" s="97" t="s">
        <v>94</v>
      </c>
      <c r="W65" s="98"/>
      <c r="X65" s="98" t="s">
        <v>95</v>
      </c>
      <c r="Y65" s="98"/>
      <c r="Z65" s="98"/>
      <c r="AA65" s="98" t="s">
        <v>45</v>
      </c>
      <c r="AB65" s="98" t="s">
        <v>96</v>
      </c>
      <c r="AC65" s="98" t="s">
        <v>97</v>
      </c>
      <c r="AD65" s="97" t="s">
        <v>47</v>
      </c>
      <c r="AE65" s="97" t="s">
        <v>80</v>
      </c>
      <c r="AF65" s="97" t="s">
        <v>49</v>
      </c>
      <c r="AG65" s="97" t="s">
        <v>885</v>
      </c>
    </row>
    <row r="66" spans="1:33" ht="343.25" customHeight="1">
      <c r="A66" s="97" t="s">
        <v>886</v>
      </c>
      <c r="B66" s="97" t="s">
        <v>887</v>
      </c>
      <c r="C66" s="97" t="s">
        <v>888</v>
      </c>
      <c r="D66">
        <v>2025</v>
      </c>
      <c r="E66" s="97" t="s">
        <v>174</v>
      </c>
      <c r="F66"/>
      <c r="G66"/>
      <c r="H66"/>
      <c r="I66">
        <v>3272</v>
      </c>
      <c r="J66">
        <v>3279</v>
      </c>
      <c r="K66" s="93">
        <f>scopus[[#This Row],[Page end]]-scopus[[#This Row],[Page start]]</f>
        <v>7</v>
      </c>
      <c r="L66">
        <v>0</v>
      </c>
      <c r="M66" t="s">
        <v>889</v>
      </c>
      <c r="N66" s="97" t="s">
        <v>890</v>
      </c>
      <c r="O66" s="97" t="s">
        <v>891</v>
      </c>
      <c r="P66" s="97" t="s">
        <v>892</v>
      </c>
      <c r="Q66" s="97" t="s">
        <v>893</v>
      </c>
      <c r="R66" s="97" t="s">
        <v>894</v>
      </c>
      <c r="S66" s="97" t="s">
        <v>895</v>
      </c>
      <c r="T66" s="97" t="s">
        <v>896</v>
      </c>
      <c r="U66" s="97" t="s">
        <v>182</v>
      </c>
      <c r="V66" s="97" t="s">
        <v>94</v>
      </c>
      <c r="W66" s="98"/>
      <c r="X66" s="98" t="s">
        <v>183</v>
      </c>
      <c r="Y66" s="98"/>
      <c r="Z66" s="98"/>
      <c r="AA66" s="98" t="s">
        <v>45</v>
      </c>
      <c r="AB66" s="98" t="s">
        <v>184</v>
      </c>
      <c r="AC66" s="98" t="s">
        <v>97</v>
      </c>
      <c r="AD66" s="97" t="s">
        <v>47</v>
      </c>
      <c r="AE66" s="97"/>
      <c r="AF66" s="97" t="s">
        <v>49</v>
      </c>
      <c r="AG66" s="97" t="s">
        <v>897</v>
      </c>
    </row>
    <row r="67" spans="1:33" ht="343.25" customHeight="1">
      <c r="A67" s="97" t="s">
        <v>316</v>
      </c>
      <c r="B67" s="97" t="s">
        <v>317</v>
      </c>
      <c r="C67" s="97" t="s">
        <v>898</v>
      </c>
      <c r="D67">
        <v>2020</v>
      </c>
      <c r="E67" s="97" t="s">
        <v>232</v>
      </c>
      <c r="F67">
        <v>262</v>
      </c>
      <c r="G67"/>
      <c r="H67">
        <v>120885</v>
      </c>
      <c r="I67"/>
      <c r="J67"/>
      <c r="K67" s="93"/>
      <c r="L67">
        <v>11</v>
      </c>
      <c r="M67" t="s">
        <v>899</v>
      </c>
      <c r="N67" s="97" t="s">
        <v>900</v>
      </c>
      <c r="O67" s="97" t="s">
        <v>901</v>
      </c>
      <c r="P67" s="97" t="s">
        <v>902</v>
      </c>
      <c r="Q67" s="97" t="s">
        <v>903</v>
      </c>
      <c r="R67" s="97" t="s">
        <v>904</v>
      </c>
      <c r="S67" s="97" t="s">
        <v>905</v>
      </c>
      <c r="T67" s="97" t="s">
        <v>906</v>
      </c>
      <c r="U67" s="97"/>
      <c r="V67" s="97" t="s">
        <v>62</v>
      </c>
      <c r="W67" s="98">
        <v>9500618</v>
      </c>
      <c r="X67" s="98"/>
      <c r="Y67" s="98" t="s">
        <v>241</v>
      </c>
      <c r="Z67" s="98"/>
      <c r="AA67" s="98" t="s">
        <v>45</v>
      </c>
      <c r="AB67" s="98" t="s">
        <v>242</v>
      </c>
      <c r="AC67" s="98" t="s">
        <v>46</v>
      </c>
      <c r="AD67" s="97" t="s">
        <v>47</v>
      </c>
      <c r="AE67" s="97"/>
      <c r="AF67" s="97" t="s">
        <v>49</v>
      </c>
      <c r="AG67" s="97" t="s">
        <v>907</v>
      </c>
    </row>
    <row r="68" spans="1:33" ht="343.25" customHeight="1">
      <c r="A68" s="97" t="s">
        <v>908</v>
      </c>
      <c r="B68" s="97" t="s">
        <v>909</v>
      </c>
      <c r="C68" s="97" t="s">
        <v>910</v>
      </c>
      <c r="D68">
        <v>2025</v>
      </c>
      <c r="E68" s="97" t="s">
        <v>174</v>
      </c>
      <c r="F68"/>
      <c r="G68"/>
      <c r="H68"/>
      <c r="I68">
        <v>3534</v>
      </c>
      <c r="J68">
        <v>3540</v>
      </c>
      <c r="K68" s="93">
        <f>scopus[[#This Row],[Page end]]-scopus[[#This Row],[Page start]]</f>
        <v>6</v>
      </c>
      <c r="L68">
        <v>0</v>
      </c>
      <c r="M68" t="s">
        <v>911</v>
      </c>
      <c r="N68" s="97" t="s">
        <v>912</v>
      </c>
      <c r="O68" s="97" t="s">
        <v>913</v>
      </c>
      <c r="P68" s="97" t="s">
        <v>914</v>
      </c>
      <c r="Q68" s="97" t="s">
        <v>915</v>
      </c>
      <c r="R68" s="97" t="s">
        <v>916</v>
      </c>
      <c r="S68" s="97" t="s">
        <v>917</v>
      </c>
      <c r="T68" s="97"/>
      <c r="U68" s="97" t="s">
        <v>182</v>
      </c>
      <c r="V68" s="97" t="s">
        <v>94</v>
      </c>
      <c r="W68" s="98"/>
      <c r="X68" s="98" t="s">
        <v>183</v>
      </c>
      <c r="Y68" s="98"/>
      <c r="Z68" s="98"/>
      <c r="AA68" s="98" t="s">
        <v>45</v>
      </c>
      <c r="AB68" s="98" t="s">
        <v>184</v>
      </c>
      <c r="AC68" s="98" t="s">
        <v>97</v>
      </c>
      <c r="AD68" s="97" t="s">
        <v>47</v>
      </c>
      <c r="AE68" s="97"/>
      <c r="AF68" s="97" t="s">
        <v>49</v>
      </c>
      <c r="AG68" s="97" t="s">
        <v>918</v>
      </c>
    </row>
    <row r="69" spans="1:33" ht="343.25" customHeight="1">
      <c r="A69" s="97" t="s">
        <v>919</v>
      </c>
      <c r="B69" s="97" t="s">
        <v>920</v>
      </c>
      <c r="C69" s="97" t="s">
        <v>921</v>
      </c>
      <c r="D69">
        <v>2025</v>
      </c>
      <c r="E69" s="97" t="s">
        <v>232</v>
      </c>
      <c r="F69">
        <v>492</v>
      </c>
      <c r="G69"/>
      <c r="H69">
        <v>142753</v>
      </c>
      <c r="I69"/>
      <c r="J69"/>
      <c r="K69" s="93"/>
      <c r="L69">
        <v>2</v>
      </c>
      <c r="M69" t="s">
        <v>922</v>
      </c>
      <c r="N69" s="97" t="s">
        <v>923</v>
      </c>
      <c r="O69" s="97" t="s">
        <v>924</v>
      </c>
      <c r="P69" s="97" t="s">
        <v>925</v>
      </c>
      <c r="Q69" s="97" t="s">
        <v>926</v>
      </c>
      <c r="R69" s="97" t="s">
        <v>927</v>
      </c>
      <c r="S69" s="97" t="s">
        <v>928</v>
      </c>
      <c r="T69" s="97" t="s">
        <v>929</v>
      </c>
      <c r="U69" s="97"/>
      <c r="V69" s="97" t="s">
        <v>62</v>
      </c>
      <c r="W69" s="98">
        <v>9500618</v>
      </c>
      <c r="X69" s="98"/>
      <c r="Y69" s="98" t="s">
        <v>241</v>
      </c>
      <c r="Z69" s="98"/>
      <c r="AA69" s="98" t="s">
        <v>45</v>
      </c>
      <c r="AB69" s="98" t="s">
        <v>242</v>
      </c>
      <c r="AC69" s="98" t="s">
        <v>46</v>
      </c>
      <c r="AD69" s="97" t="s">
        <v>47</v>
      </c>
      <c r="AE69" s="97" t="s">
        <v>930</v>
      </c>
      <c r="AF69" s="97" t="s">
        <v>49</v>
      </c>
      <c r="AG69" s="97" t="s">
        <v>931</v>
      </c>
    </row>
    <row r="70" spans="1:33" ht="343.25" customHeight="1">
      <c r="A70" s="97" t="s">
        <v>229</v>
      </c>
      <c r="B70" s="97" t="s">
        <v>230</v>
      </c>
      <c r="C70" s="97" t="s">
        <v>932</v>
      </c>
      <c r="D70">
        <v>2020</v>
      </c>
      <c r="E70" s="97" t="s">
        <v>445</v>
      </c>
      <c r="F70">
        <v>207</v>
      </c>
      <c r="G70"/>
      <c r="H70">
        <v>110215</v>
      </c>
      <c r="I70"/>
      <c r="J70"/>
      <c r="K70" s="93"/>
      <c r="L70">
        <v>40</v>
      </c>
      <c r="M70" t="s">
        <v>933</v>
      </c>
      <c r="N70" s="97" t="s">
        <v>934</v>
      </c>
      <c r="O70" s="97" t="s">
        <v>235</v>
      </c>
      <c r="P70" s="97" t="s">
        <v>236</v>
      </c>
      <c r="Q70" s="97" t="s">
        <v>935</v>
      </c>
      <c r="R70" s="97" t="s">
        <v>936</v>
      </c>
      <c r="S70" s="97" t="s">
        <v>937</v>
      </c>
      <c r="T70" s="97" t="s">
        <v>240</v>
      </c>
      <c r="U70" s="97"/>
      <c r="V70" s="97" t="s">
        <v>62</v>
      </c>
      <c r="W70" s="98">
        <v>1410296</v>
      </c>
      <c r="X70" s="98"/>
      <c r="Y70" s="98" t="s">
        <v>454</v>
      </c>
      <c r="Z70" s="98"/>
      <c r="AA70" s="98" t="s">
        <v>45</v>
      </c>
      <c r="AB70" s="98" t="s">
        <v>455</v>
      </c>
      <c r="AC70" s="98" t="s">
        <v>46</v>
      </c>
      <c r="AD70" s="97" t="s">
        <v>47</v>
      </c>
      <c r="AE70" s="97"/>
      <c r="AF70" s="97" t="s">
        <v>49</v>
      </c>
      <c r="AG70" s="97" t="s">
        <v>938</v>
      </c>
    </row>
    <row r="71" spans="1:33" ht="343.25" customHeight="1">
      <c r="A71" s="97" t="s">
        <v>939</v>
      </c>
      <c r="B71" s="97" t="s">
        <v>940</v>
      </c>
      <c r="C71" s="97" t="s">
        <v>941</v>
      </c>
      <c r="D71">
        <v>2022</v>
      </c>
      <c r="E71" s="97" t="s">
        <v>942</v>
      </c>
      <c r="F71"/>
      <c r="G71"/>
      <c r="H71"/>
      <c r="I71">
        <v>1284</v>
      </c>
      <c r="J71">
        <v>1293</v>
      </c>
      <c r="K71" s="93">
        <f>scopus[[#This Row],[Page end]]-scopus[[#This Row],[Page start]]</f>
        <v>9</v>
      </c>
      <c r="L71">
        <v>0</v>
      </c>
      <c r="M71"/>
      <c r="N71" s="97" t="s">
        <v>943</v>
      </c>
      <c r="O71" s="97" t="s">
        <v>944</v>
      </c>
      <c r="P71" s="97" t="s">
        <v>945</v>
      </c>
      <c r="Q71" s="97" t="s">
        <v>946</v>
      </c>
      <c r="R71" s="97"/>
      <c r="S71" s="97" t="s">
        <v>947</v>
      </c>
      <c r="T71" s="97"/>
      <c r="U71" s="97" t="s">
        <v>948</v>
      </c>
      <c r="V71" s="97" t="s">
        <v>949</v>
      </c>
      <c r="W71" s="98">
        <v>26174820</v>
      </c>
      <c r="X71" s="98" t="s">
        <v>950</v>
      </c>
      <c r="Y71" s="98"/>
      <c r="Z71" s="98"/>
      <c r="AA71" s="98" t="s">
        <v>45</v>
      </c>
      <c r="AB71" s="98" t="s">
        <v>951</v>
      </c>
      <c r="AC71" s="98" t="s">
        <v>97</v>
      </c>
      <c r="AD71" s="97" t="s">
        <v>47</v>
      </c>
      <c r="AE71" s="97"/>
      <c r="AF71" s="97" t="s">
        <v>49</v>
      </c>
      <c r="AG71" s="97" t="s">
        <v>952</v>
      </c>
    </row>
    <row r="72" spans="1:33" ht="343.25" customHeight="1">
      <c r="A72" s="97" t="s">
        <v>953</v>
      </c>
      <c r="B72" s="97" t="s">
        <v>954</v>
      </c>
      <c r="C72" s="97" t="s">
        <v>955</v>
      </c>
      <c r="D72">
        <v>2023</v>
      </c>
      <c r="E72" s="97" t="s">
        <v>85</v>
      </c>
      <c r="F72">
        <v>3</v>
      </c>
      <c r="G72"/>
      <c r="H72"/>
      <c r="I72">
        <v>1814</v>
      </c>
      <c r="J72">
        <v>1820</v>
      </c>
      <c r="K72" s="93">
        <f>scopus[[#This Row],[Page end]]-scopus[[#This Row],[Page start]]</f>
        <v>6</v>
      </c>
      <c r="L72">
        <v>0</v>
      </c>
      <c r="M72"/>
      <c r="N72" s="97" t="s">
        <v>956</v>
      </c>
      <c r="O72" s="97" t="s">
        <v>523</v>
      </c>
      <c r="P72" s="97" t="s">
        <v>957</v>
      </c>
      <c r="Q72" s="97" t="s">
        <v>958</v>
      </c>
      <c r="R72" s="97" t="s">
        <v>959</v>
      </c>
      <c r="S72" s="97" t="s">
        <v>960</v>
      </c>
      <c r="T72" s="97"/>
      <c r="U72" s="97" t="s">
        <v>93</v>
      </c>
      <c r="V72" s="97" t="s">
        <v>94</v>
      </c>
      <c r="W72" s="98"/>
      <c r="X72" s="98" t="s">
        <v>95</v>
      </c>
      <c r="Y72" s="98"/>
      <c r="Z72" s="98"/>
      <c r="AA72" s="98" t="s">
        <v>45</v>
      </c>
      <c r="AB72" s="98" t="s">
        <v>96</v>
      </c>
      <c r="AC72" s="98" t="s">
        <v>97</v>
      </c>
      <c r="AD72" s="97" t="s">
        <v>47</v>
      </c>
      <c r="AE72" s="97"/>
      <c r="AF72" s="97" t="s">
        <v>49</v>
      </c>
      <c r="AG72" s="97" t="s">
        <v>961</v>
      </c>
    </row>
    <row r="73" spans="1:33" ht="343.25" customHeight="1">
      <c r="A73" s="97" t="s">
        <v>962</v>
      </c>
      <c r="B73" s="97" t="s">
        <v>963</v>
      </c>
      <c r="C73" s="97" t="s">
        <v>964</v>
      </c>
      <c r="D73">
        <v>2021</v>
      </c>
      <c r="E73" s="97" t="s">
        <v>204</v>
      </c>
      <c r="F73">
        <v>2021</v>
      </c>
      <c r="G73"/>
      <c r="H73" t="s">
        <v>965</v>
      </c>
      <c r="I73"/>
      <c r="J73"/>
      <c r="K73" s="93"/>
      <c r="L73">
        <v>0</v>
      </c>
      <c r="M73"/>
      <c r="N73" s="97" t="s">
        <v>966</v>
      </c>
      <c r="O73" s="97" t="s">
        <v>967</v>
      </c>
      <c r="P73" s="97" t="s">
        <v>968</v>
      </c>
      <c r="Q73" s="97" t="s">
        <v>969</v>
      </c>
      <c r="R73" s="97" t="s">
        <v>970</v>
      </c>
      <c r="S73" s="97" t="s">
        <v>971</v>
      </c>
      <c r="T73" s="97"/>
      <c r="U73" s="97"/>
      <c r="V73" s="97" t="s">
        <v>210</v>
      </c>
      <c r="W73" s="98">
        <v>30065933</v>
      </c>
      <c r="X73" s="98"/>
      <c r="Y73" s="98"/>
      <c r="Z73" s="98"/>
      <c r="AA73" s="98" t="s">
        <v>45</v>
      </c>
      <c r="AB73" s="98" t="s">
        <v>211</v>
      </c>
      <c r="AC73" s="98" t="s">
        <v>212</v>
      </c>
      <c r="AD73" s="97" t="s">
        <v>47</v>
      </c>
      <c r="AE73" s="97"/>
      <c r="AF73" s="97" t="s">
        <v>49</v>
      </c>
      <c r="AG73" s="97" t="s">
        <v>972</v>
      </c>
    </row>
    <row r="74" spans="1:33" ht="343.25" customHeight="1">
      <c r="A74" s="97" t="s">
        <v>973</v>
      </c>
      <c r="B74" s="97" t="s">
        <v>974</v>
      </c>
      <c r="C74" s="97" t="s">
        <v>975</v>
      </c>
      <c r="D74">
        <v>2021</v>
      </c>
      <c r="E74" s="97" t="s">
        <v>976</v>
      </c>
      <c r="F74"/>
      <c r="G74"/>
      <c r="H74"/>
      <c r="I74"/>
      <c r="J74"/>
      <c r="K74" s="93"/>
      <c r="L74">
        <v>2</v>
      </c>
      <c r="M74"/>
      <c r="N74" s="97" t="s">
        <v>977</v>
      </c>
      <c r="O74" s="97" t="s">
        <v>978</v>
      </c>
      <c r="P74" s="97" t="s">
        <v>979</v>
      </c>
      <c r="Q74" s="97" t="s">
        <v>980</v>
      </c>
      <c r="R74" s="97" t="s">
        <v>981</v>
      </c>
      <c r="S74" s="97" t="s">
        <v>982</v>
      </c>
      <c r="T74" s="97"/>
      <c r="U74" s="97"/>
      <c r="V74" s="97" t="s">
        <v>94</v>
      </c>
      <c r="W74" s="98"/>
      <c r="X74" s="98"/>
      <c r="Y74" s="98"/>
      <c r="Z74" s="98"/>
      <c r="AA74" s="98" t="s">
        <v>45</v>
      </c>
      <c r="AB74" s="98" t="s">
        <v>96</v>
      </c>
      <c r="AC74" s="98" t="s">
        <v>97</v>
      </c>
      <c r="AD74" s="97" t="s">
        <v>47</v>
      </c>
      <c r="AE74" s="97"/>
      <c r="AF74" s="97" t="s">
        <v>49</v>
      </c>
      <c r="AG74" s="97" t="s">
        <v>983</v>
      </c>
    </row>
    <row r="75" spans="1:33" ht="343.25" customHeight="1">
      <c r="A75" s="97" t="s">
        <v>984</v>
      </c>
      <c r="B75" s="97" t="s">
        <v>985</v>
      </c>
      <c r="C75" s="97" t="s">
        <v>986</v>
      </c>
      <c r="D75">
        <v>2023</v>
      </c>
      <c r="E75" s="97" t="s">
        <v>85</v>
      </c>
      <c r="F75">
        <v>3</v>
      </c>
      <c r="G75"/>
      <c r="H75"/>
      <c r="I75">
        <v>1807</v>
      </c>
      <c r="J75">
        <v>1813</v>
      </c>
      <c r="K75" s="93">
        <f>scopus[[#This Row],[Page end]]-scopus[[#This Row],[Page start]]</f>
        <v>6</v>
      </c>
      <c r="L75">
        <v>1</v>
      </c>
      <c r="M75"/>
      <c r="N75" s="97" t="s">
        <v>987</v>
      </c>
      <c r="O75" s="97" t="s">
        <v>523</v>
      </c>
      <c r="P75" s="97" t="s">
        <v>988</v>
      </c>
      <c r="Q75" s="97" t="s">
        <v>989</v>
      </c>
      <c r="R75" s="97" t="s">
        <v>990</v>
      </c>
      <c r="S75" s="97" t="s">
        <v>991</v>
      </c>
      <c r="T75" s="97"/>
      <c r="U75" s="97" t="s">
        <v>93</v>
      </c>
      <c r="V75" s="97" t="s">
        <v>94</v>
      </c>
      <c r="W75" s="98"/>
      <c r="X75" s="98" t="s">
        <v>95</v>
      </c>
      <c r="Y75" s="98"/>
      <c r="Z75" s="98"/>
      <c r="AA75" s="98" t="s">
        <v>45</v>
      </c>
      <c r="AB75" s="98" t="s">
        <v>96</v>
      </c>
      <c r="AC75" s="98" t="s">
        <v>97</v>
      </c>
      <c r="AD75" s="97" t="s">
        <v>47</v>
      </c>
      <c r="AE75" s="97"/>
      <c r="AF75" s="97" t="s">
        <v>49</v>
      </c>
      <c r="AG75" s="97" t="s">
        <v>992</v>
      </c>
    </row>
    <row r="76" spans="1:33" ht="343.25" customHeight="1">
      <c r="A76" s="97" t="s">
        <v>993</v>
      </c>
      <c r="B76" s="97" t="s">
        <v>994</v>
      </c>
      <c r="C76" s="97" t="s">
        <v>995</v>
      </c>
      <c r="D76">
        <v>2025</v>
      </c>
      <c r="E76" s="97" t="s">
        <v>996</v>
      </c>
      <c r="F76">
        <v>81</v>
      </c>
      <c r="G76"/>
      <c r="H76">
        <v>110204</v>
      </c>
      <c r="I76"/>
      <c r="J76"/>
      <c r="K76" s="93"/>
      <c r="L76">
        <v>2</v>
      </c>
      <c r="M76" t="s">
        <v>997</v>
      </c>
      <c r="N76" s="97" t="s">
        <v>998</v>
      </c>
      <c r="O76" s="97" t="s">
        <v>999</v>
      </c>
      <c r="P76" s="97" t="s">
        <v>1000</v>
      </c>
      <c r="Q76" s="97" t="s">
        <v>1001</v>
      </c>
      <c r="R76" s="97" t="s">
        <v>1002</v>
      </c>
      <c r="S76" s="97" t="s">
        <v>1003</v>
      </c>
      <c r="T76" s="97" t="s">
        <v>1004</v>
      </c>
      <c r="U76" s="97"/>
      <c r="V76" s="97" t="s">
        <v>62</v>
      </c>
      <c r="W76" s="98">
        <v>23520124</v>
      </c>
      <c r="X76" s="98"/>
      <c r="Y76" s="98"/>
      <c r="Z76" s="98"/>
      <c r="AA76" s="98" t="s">
        <v>45</v>
      </c>
      <c r="AB76" s="98" t="s">
        <v>996</v>
      </c>
      <c r="AC76" s="98" t="s">
        <v>46</v>
      </c>
      <c r="AD76" s="97" t="s">
        <v>47</v>
      </c>
      <c r="AE76" s="97" t="s">
        <v>456</v>
      </c>
      <c r="AF76" s="97" t="s">
        <v>49</v>
      </c>
      <c r="AG76" s="97" t="s">
        <v>1005</v>
      </c>
    </row>
    <row r="77" spans="1:33" ht="343.25" customHeight="1">
      <c r="A77" s="97" t="s">
        <v>1006</v>
      </c>
      <c r="B77" s="97" t="s">
        <v>1007</v>
      </c>
      <c r="C77" s="97" t="s">
        <v>1008</v>
      </c>
      <c r="D77">
        <v>2025</v>
      </c>
      <c r="E77" s="97" t="s">
        <v>1009</v>
      </c>
      <c r="F77"/>
      <c r="G77"/>
      <c r="H77"/>
      <c r="I77">
        <v>1727</v>
      </c>
      <c r="J77">
        <v>1733</v>
      </c>
      <c r="K77" s="93">
        <f>scopus[[#This Row],[Page end]]-scopus[[#This Row],[Page start]]</f>
        <v>6</v>
      </c>
      <c r="L77">
        <v>0</v>
      </c>
      <c r="M77" t="s">
        <v>1010</v>
      </c>
      <c r="N77" s="97" t="s">
        <v>1011</v>
      </c>
      <c r="O77" s="97" t="s">
        <v>1012</v>
      </c>
      <c r="P77" s="97" t="s">
        <v>1013</v>
      </c>
      <c r="Q77" s="97" t="s">
        <v>1014</v>
      </c>
      <c r="R77" s="97" t="s">
        <v>1015</v>
      </c>
      <c r="S77" s="97" t="s">
        <v>1016</v>
      </c>
      <c r="T77" s="97" t="s">
        <v>1017</v>
      </c>
      <c r="U77" s="97"/>
      <c r="V77" s="97" t="s">
        <v>835</v>
      </c>
      <c r="W77" s="98"/>
      <c r="X77" s="98" t="s">
        <v>1018</v>
      </c>
      <c r="Y77" s="98"/>
      <c r="Z77" s="98"/>
      <c r="AA77" s="98" t="s">
        <v>45</v>
      </c>
      <c r="AB77" s="98" t="s">
        <v>1019</v>
      </c>
      <c r="AC77" s="98" t="s">
        <v>97</v>
      </c>
      <c r="AD77" s="97" t="s">
        <v>47</v>
      </c>
      <c r="AE77" s="97"/>
      <c r="AF77" s="97" t="s">
        <v>49</v>
      </c>
      <c r="AG77" s="97" t="s">
        <v>1020</v>
      </c>
    </row>
    <row r="78" spans="1:33" ht="343.25" customHeight="1">
      <c r="A78" s="97" t="s">
        <v>1021</v>
      </c>
      <c r="B78" s="97" t="s">
        <v>1022</v>
      </c>
      <c r="C78" s="97" t="s">
        <v>1023</v>
      </c>
      <c r="D78">
        <v>2021</v>
      </c>
      <c r="E78" s="97" t="s">
        <v>976</v>
      </c>
      <c r="F78"/>
      <c r="G78"/>
      <c r="H78"/>
      <c r="I78"/>
      <c r="J78"/>
      <c r="K78" s="93"/>
      <c r="L78">
        <v>4</v>
      </c>
      <c r="M78"/>
      <c r="N78" s="97" t="s">
        <v>1024</v>
      </c>
      <c r="O78" s="97" t="s">
        <v>1025</v>
      </c>
      <c r="P78" s="97" t="s">
        <v>1026</v>
      </c>
      <c r="Q78" s="97" t="s">
        <v>1027</v>
      </c>
      <c r="R78" s="97" t="s">
        <v>1028</v>
      </c>
      <c r="S78" s="97" t="s">
        <v>1029</v>
      </c>
      <c r="T78" s="97" t="s">
        <v>1030</v>
      </c>
      <c r="U78" s="97"/>
      <c r="V78" s="97" t="s">
        <v>94</v>
      </c>
      <c r="W78" s="98"/>
      <c r="X78" s="98"/>
      <c r="Y78" s="98"/>
      <c r="Z78" s="98"/>
      <c r="AA78" s="98" t="s">
        <v>45</v>
      </c>
      <c r="AB78" s="98" t="s">
        <v>96</v>
      </c>
      <c r="AC78" s="98" t="s">
        <v>97</v>
      </c>
      <c r="AD78" s="97" t="s">
        <v>47</v>
      </c>
      <c r="AE78" s="97"/>
      <c r="AF78" s="97" t="s">
        <v>49</v>
      </c>
      <c r="AG78" s="97" t="s">
        <v>1031</v>
      </c>
    </row>
    <row r="79" spans="1:33" ht="343.25" customHeight="1">
      <c r="A79" s="97" t="s">
        <v>1032</v>
      </c>
      <c r="B79" s="97" t="s">
        <v>1033</v>
      </c>
      <c r="C79" s="97" t="s">
        <v>1034</v>
      </c>
      <c r="D79">
        <v>2024</v>
      </c>
      <c r="E79" s="97" t="s">
        <v>1035</v>
      </c>
      <c r="F79"/>
      <c r="G79"/>
      <c r="H79"/>
      <c r="I79"/>
      <c r="J79"/>
      <c r="K79" s="93"/>
      <c r="L79">
        <v>1</v>
      </c>
      <c r="M79" t="s">
        <v>1036</v>
      </c>
      <c r="N79" s="97" t="s">
        <v>1037</v>
      </c>
      <c r="O79" s="97" t="s">
        <v>1038</v>
      </c>
      <c r="P79" s="97" t="s">
        <v>1039</v>
      </c>
      <c r="Q79" s="97" t="s">
        <v>1040</v>
      </c>
      <c r="R79" s="97" t="s">
        <v>1041</v>
      </c>
      <c r="S79" s="97" t="s">
        <v>1042</v>
      </c>
      <c r="T79" s="97"/>
      <c r="U79" s="97"/>
      <c r="V79" s="97" t="s">
        <v>1043</v>
      </c>
      <c r="W79" s="98"/>
      <c r="X79" s="98"/>
      <c r="Y79" s="98"/>
      <c r="Z79" s="98"/>
      <c r="AA79" s="98" t="s">
        <v>45</v>
      </c>
      <c r="AB79" s="98" t="s">
        <v>1044</v>
      </c>
      <c r="AC79" s="98" t="s">
        <v>97</v>
      </c>
      <c r="AD79" s="97" t="s">
        <v>47</v>
      </c>
      <c r="AE79" s="97" t="s">
        <v>80</v>
      </c>
      <c r="AF79" s="97" t="s">
        <v>49</v>
      </c>
      <c r="AG79" s="97" t="s">
        <v>1045</v>
      </c>
    </row>
    <row r="80" spans="1:33" ht="343.25" customHeight="1">
      <c r="A80" s="97" t="s">
        <v>1046</v>
      </c>
      <c r="B80" s="97" t="s">
        <v>1047</v>
      </c>
      <c r="C80" s="97" t="s">
        <v>1048</v>
      </c>
      <c r="D80">
        <v>2021</v>
      </c>
      <c r="E80" s="97" t="s">
        <v>289</v>
      </c>
      <c r="F80">
        <v>147</v>
      </c>
      <c r="G80">
        <v>10</v>
      </c>
      <c r="H80">
        <v>4021148</v>
      </c>
      <c r="I80"/>
      <c r="J80"/>
      <c r="K80" s="93"/>
      <c r="L80">
        <v>13</v>
      </c>
      <c r="M80" t="s">
        <v>1049</v>
      </c>
      <c r="N80" s="97" t="s">
        <v>1050</v>
      </c>
      <c r="O80" s="97" t="s">
        <v>1051</v>
      </c>
      <c r="P80" s="97" t="s">
        <v>1052</v>
      </c>
      <c r="Q80" s="97" t="s">
        <v>1053</v>
      </c>
      <c r="R80" s="97" t="s">
        <v>1054</v>
      </c>
      <c r="S80" s="97" t="s">
        <v>1055</v>
      </c>
      <c r="T80" s="97" t="s">
        <v>1056</v>
      </c>
      <c r="U80" s="97"/>
      <c r="V80" s="97" t="s">
        <v>298</v>
      </c>
      <c r="W80" s="98">
        <v>7339445</v>
      </c>
      <c r="X80" s="98"/>
      <c r="Y80" s="98" t="s">
        <v>299</v>
      </c>
      <c r="Z80" s="98"/>
      <c r="AA80" s="98" t="s">
        <v>45</v>
      </c>
      <c r="AB80" s="98" t="s">
        <v>300</v>
      </c>
      <c r="AC80" s="98" t="s">
        <v>46</v>
      </c>
      <c r="AD80" s="97" t="s">
        <v>47</v>
      </c>
      <c r="AE80" s="97"/>
      <c r="AF80" s="97" t="s">
        <v>49</v>
      </c>
      <c r="AG80" s="97" t="s">
        <v>1057</v>
      </c>
    </row>
    <row r="81" spans="1:33" ht="343.25" customHeight="1">
      <c r="A81" s="97" t="s">
        <v>1058</v>
      </c>
      <c r="B81" s="97" t="s">
        <v>1059</v>
      </c>
      <c r="C81" s="97" t="s">
        <v>1060</v>
      </c>
      <c r="D81">
        <v>2025</v>
      </c>
      <c r="E81" s="97" t="s">
        <v>174</v>
      </c>
      <c r="F81"/>
      <c r="G81"/>
      <c r="H81"/>
      <c r="I81">
        <v>211</v>
      </c>
      <c r="J81">
        <v>219</v>
      </c>
      <c r="K81" s="93">
        <f>scopus[[#This Row],[Page end]]-scopus[[#This Row],[Page start]]</f>
        <v>8</v>
      </c>
      <c r="L81">
        <v>0</v>
      </c>
      <c r="M81" t="s">
        <v>1061</v>
      </c>
      <c r="N81" s="97" t="s">
        <v>1062</v>
      </c>
      <c r="O81" s="97" t="s">
        <v>1063</v>
      </c>
      <c r="P81" s="97" t="s">
        <v>1064</v>
      </c>
      <c r="Q81" s="97" t="s">
        <v>1065</v>
      </c>
      <c r="R81" s="97" t="s">
        <v>1066</v>
      </c>
      <c r="S81" s="97" t="s">
        <v>1067</v>
      </c>
      <c r="T81" s="97"/>
      <c r="U81" s="97" t="s">
        <v>182</v>
      </c>
      <c r="V81" s="97" t="s">
        <v>94</v>
      </c>
      <c r="W81" s="98"/>
      <c r="X81" s="98" t="s">
        <v>183</v>
      </c>
      <c r="Y81" s="98"/>
      <c r="Z81" s="98"/>
      <c r="AA81" s="98" t="s">
        <v>45</v>
      </c>
      <c r="AB81" s="98" t="s">
        <v>184</v>
      </c>
      <c r="AC81" s="98" t="s">
        <v>97</v>
      </c>
      <c r="AD81" s="97" t="s">
        <v>47</v>
      </c>
      <c r="AE81" s="97"/>
      <c r="AF81" s="97" t="s">
        <v>49</v>
      </c>
      <c r="AG81" s="97" t="s">
        <v>1068</v>
      </c>
    </row>
    <row r="82" spans="1:33" ht="343.25" customHeight="1">
      <c r="A82" s="97" t="s">
        <v>1069</v>
      </c>
      <c r="B82" s="97" t="s">
        <v>1070</v>
      </c>
      <c r="C82" s="97" t="s">
        <v>1071</v>
      </c>
      <c r="D82">
        <v>2022</v>
      </c>
      <c r="E82" s="97" t="s">
        <v>392</v>
      </c>
      <c r="F82">
        <v>9</v>
      </c>
      <c r="G82">
        <v>1</v>
      </c>
      <c r="H82"/>
      <c r="I82">
        <v>1</v>
      </c>
      <c r="J82">
        <v>13</v>
      </c>
      <c r="K82" s="93">
        <f>scopus[[#This Row],[Page end]]-scopus[[#This Row],[Page start]]</f>
        <v>12</v>
      </c>
      <c r="L82">
        <v>2</v>
      </c>
      <c r="M82" t="s">
        <v>1072</v>
      </c>
      <c r="N82" s="97" t="s">
        <v>1073</v>
      </c>
      <c r="O82" s="97" t="s">
        <v>1074</v>
      </c>
      <c r="P82" s="97" t="s">
        <v>1075</v>
      </c>
      <c r="Q82" s="97" t="s">
        <v>1076</v>
      </c>
      <c r="R82" s="97" t="s">
        <v>1077</v>
      </c>
      <c r="S82" s="97"/>
      <c r="T82" s="97"/>
      <c r="U82" s="97" t="s">
        <v>1078</v>
      </c>
      <c r="V82" s="97" t="s">
        <v>400</v>
      </c>
      <c r="W82" s="98" t="s">
        <v>401</v>
      </c>
      <c r="X82" s="98"/>
      <c r="Y82" s="98"/>
      <c r="Z82" s="98"/>
      <c r="AA82" s="98" t="s">
        <v>45</v>
      </c>
      <c r="AB82" s="98" t="s">
        <v>392</v>
      </c>
      <c r="AC82" s="98" t="s">
        <v>97</v>
      </c>
      <c r="AD82" s="97" t="s">
        <v>47</v>
      </c>
      <c r="AE82" s="97" t="s">
        <v>543</v>
      </c>
      <c r="AF82" s="97" t="s">
        <v>49</v>
      </c>
      <c r="AG82" s="97" t="s">
        <v>1079</v>
      </c>
    </row>
    <row r="83" spans="1:33" ht="343.25" customHeight="1">
      <c r="A83" s="97" t="s">
        <v>1080</v>
      </c>
      <c r="B83" s="97" t="s">
        <v>1081</v>
      </c>
      <c r="C83" s="97" t="s">
        <v>1082</v>
      </c>
      <c r="D83">
        <v>2025</v>
      </c>
      <c r="E83" s="97" t="s">
        <v>174</v>
      </c>
      <c r="F83"/>
      <c r="G83"/>
      <c r="H83"/>
      <c r="I83">
        <v>2016</v>
      </c>
      <c r="J83">
        <v>2025</v>
      </c>
      <c r="K83" s="93">
        <f>scopus[[#This Row],[Page end]]-scopus[[#This Row],[Page start]]</f>
        <v>9</v>
      </c>
      <c r="L83">
        <v>0</v>
      </c>
      <c r="M83" t="s">
        <v>1083</v>
      </c>
      <c r="N83" s="97" t="s">
        <v>1084</v>
      </c>
      <c r="O83" s="97" t="s">
        <v>1085</v>
      </c>
      <c r="P83" s="97" t="s">
        <v>1086</v>
      </c>
      <c r="Q83" s="97" t="s">
        <v>1087</v>
      </c>
      <c r="R83" s="97" t="s">
        <v>1088</v>
      </c>
      <c r="S83" s="97" t="s">
        <v>1089</v>
      </c>
      <c r="T83" s="97"/>
      <c r="U83" s="97" t="s">
        <v>182</v>
      </c>
      <c r="V83" s="97" t="s">
        <v>94</v>
      </c>
      <c r="W83" s="98"/>
      <c r="X83" s="98" t="s">
        <v>183</v>
      </c>
      <c r="Y83" s="98"/>
      <c r="Z83" s="98"/>
      <c r="AA83" s="98" t="s">
        <v>45</v>
      </c>
      <c r="AB83" s="98" t="s">
        <v>184</v>
      </c>
      <c r="AC83" s="98" t="s">
        <v>97</v>
      </c>
      <c r="AD83" s="97" t="s">
        <v>47</v>
      </c>
      <c r="AE83" s="97"/>
      <c r="AF83" s="97" t="s">
        <v>49</v>
      </c>
      <c r="AG83" s="97" t="s">
        <v>1090</v>
      </c>
    </row>
    <row r="84" spans="1:33" ht="343.25" customHeight="1">
      <c r="A84" s="97" t="s">
        <v>1091</v>
      </c>
      <c r="B84" s="97" t="s">
        <v>1092</v>
      </c>
      <c r="C84" s="97" t="s">
        <v>1093</v>
      </c>
      <c r="D84">
        <v>2022</v>
      </c>
      <c r="E84" s="97" t="s">
        <v>1094</v>
      </c>
      <c r="F84">
        <v>10</v>
      </c>
      <c r="G84">
        <v>1</v>
      </c>
      <c r="H84"/>
      <c r="I84">
        <v>89</v>
      </c>
      <c r="J84">
        <v>104</v>
      </c>
      <c r="K84" s="93">
        <f>scopus[[#This Row],[Page end]]-scopus[[#This Row],[Page start]]</f>
        <v>15</v>
      </c>
      <c r="L84">
        <v>6</v>
      </c>
      <c r="M84" t="s">
        <v>1095</v>
      </c>
      <c r="N84" s="97" t="s">
        <v>1096</v>
      </c>
      <c r="O84" s="97" t="s">
        <v>1097</v>
      </c>
      <c r="P84" s="97" t="s">
        <v>1098</v>
      </c>
      <c r="Q84" s="97" t="s">
        <v>1099</v>
      </c>
      <c r="R84" s="97" t="s">
        <v>1100</v>
      </c>
      <c r="S84" s="97" t="s">
        <v>1101</v>
      </c>
      <c r="T84" s="97" t="s">
        <v>1102</v>
      </c>
      <c r="U84" s="97"/>
      <c r="V84" s="97" t="s">
        <v>1103</v>
      </c>
      <c r="W84" s="98">
        <v>21646325</v>
      </c>
      <c r="X84" s="98"/>
      <c r="Y84" s="98"/>
      <c r="Z84" s="98"/>
      <c r="AA84" s="98" t="s">
        <v>45</v>
      </c>
      <c r="AB84" s="98" t="s">
        <v>1104</v>
      </c>
      <c r="AC84" s="98" t="s">
        <v>46</v>
      </c>
      <c r="AD84" s="97" t="s">
        <v>47</v>
      </c>
      <c r="AE84" s="97" t="s">
        <v>456</v>
      </c>
      <c r="AF84" s="97" t="s">
        <v>49</v>
      </c>
      <c r="AG84" s="97" t="s">
        <v>1105</v>
      </c>
    </row>
    <row r="85" spans="1:33" ht="343.25" customHeight="1">
      <c r="A85" s="97" t="s">
        <v>1106</v>
      </c>
      <c r="B85" s="97" t="s">
        <v>985</v>
      </c>
      <c r="C85" s="97" t="s">
        <v>1107</v>
      </c>
      <c r="D85">
        <v>2024</v>
      </c>
      <c r="E85" s="97" t="s">
        <v>115</v>
      </c>
      <c r="F85">
        <v>367</v>
      </c>
      <c r="G85"/>
      <c r="H85"/>
      <c r="I85">
        <v>215</v>
      </c>
      <c r="J85">
        <v>227</v>
      </c>
      <c r="K85" s="93">
        <f>scopus[[#This Row],[Page end]]-scopus[[#This Row],[Page start]]</f>
        <v>12</v>
      </c>
      <c r="L85">
        <v>0</v>
      </c>
      <c r="M85" t="s">
        <v>1108</v>
      </c>
      <c r="N85" s="97" t="s">
        <v>1109</v>
      </c>
      <c r="O85" s="97" t="s">
        <v>1110</v>
      </c>
      <c r="P85" s="97" t="s">
        <v>1111</v>
      </c>
      <c r="Q85" s="97" t="s">
        <v>1112</v>
      </c>
      <c r="R85" s="97" t="s">
        <v>1113</v>
      </c>
      <c r="S85" s="97" t="s">
        <v>1114</v>
      </c>
      <c r="T85" s="97" t="s">
        <v>1115</v>
      </c>
      <c r="U85" s="97" t="s">
        <v>1116</v>
      </c>
      <c r="V85" s="97" t="s">
        <v>125</v>
      </c>
      <c r="W85" s="98">
        <v>23662557</v>
      </c>
      <c r="X85" s="98" t="s">
        <v>1117</v>
      </c>
      <c r="Y85" s="98"/>
      <c r="Z85" s="98"/>
      <c r="AA85" s="98" t="s">
        <v>45</v>
      </c>
      <c r="AB85" s="98" t="s">
        <v>127</v>
      </c>
      <c r="AC85" s="98" t="s">
        <v>97</v>
      </c>
      <c r="AD85" s="97" t="s">
        <v>47</v>
      </c>
      <c r="AE85" s="97"/>
      <c r="AF85" s="97" t="s">
        <v>49</v>
      </c>
      <c r="AG85" s="97" t="s">
        <v>1118</v>
      </c>
    </row>
    <row r="86" spans="1:33" ht="343.25" customHeight="1">
      <c r="A86" s="97" t="s">
        <v>1119</v>
      </c>
      <c r="B86" s="97" t="s">
        <v>1120</v>
      </c>
      <c r="C86" s="97" t="s">
        <v>1121</v>
      </c>
      <c r="D86">
        <v>2024</v>
      </c>
      <c r="E86" s="97" t="s">
        <v>377</v>
      </c>
      <c r="F86">
        <v>30</v>
      </c>
      <c r="G86">
        <v>4</v>
      </c>
      <c r="H86">
        <v>4024035</v>
      </c>
      <c r="I86"/>
      <c r="J86"/>
      <c r="K86" s="93"/>
      <c r="L86">
        <v>4</v>
      </c>
      <c r="M86" t="s">
        <v>1122</v>
      </c>
      <c r="N86" s="97" t="s">
        <v>1123</v>
      </c>
      <c r="O86" s="97" t="s">
        <v>1124</v>
      </c>
      <c r="P86" s="97" t="s">
        <v>1125</v>
      </c>
      <c r="Q86" s="97" t="s">
        <v>1126</v>
      </c>
      <c r="R86" s="97" t="s">
        <v>1127</v>
      </c>
      <c r="S86" s="97" t="s">
        <v>1128</v>
      </c>
      <c r="T86" s="97" t="s">
        <v>1129</v>
      </c>
      <c r="U86" s="97"/>
      <c r="V86" s="97" t="s">
        <v>298</v>
      </c>
      <c r="W86" s="98">
        <v>10760431</v>
      </c>
      <c r="X86" s="98"/>
      <c r="Y86" s="98" t="s">
        <v>386</v>
      </c>
      <c r="Z86" s="98"/>
      <c r="AA86" s="98" t="s">
        <v>45</v>
      </c>
      <c r="AB86" s="98" t="s">
        <v>387</v>
      </c>
      <c r="AC86" s="98" t="s">
        <v>46</v>
      </c>
      <c r="AD86" s="97" t="s">
        <v>47</v>
      </c>
      <c r="AE86" s="97"/>
      <c r="AF86" s="97" t="s">
        <v>49</v>
      </c>
      <c r="AG86" s="97" t="s">
        <v>1130</v>
      </c>
    </row>
    <row r="87" spans="1:33" ht="343.25" customHeight="1">
      <c r="A87" s="97" t="s">
        <v>1131</v>
      </c>
      <c r="B87" s="97" t="s">
        <v>1132</v>
      </c>
      <c r="C87" s="97" t="s">
        <v>1133</v>
      </c>
      <c r="D87">
        <v>2024</v>
      </c>
      <c r="E87" s="97" t="s">
        <v>232</v>
      </c>
      <c r="F87">
        <v>425</v>
      </c>
      <c r="G87"/>
      <c r="H87">
        <v>135982</v>
      </c>
      <c r="I87"/>
      <c r="J87"/>
      <c r="K87" s="93"/>
      <c r="L87">
        <v>9</v>
      </c>
      <c r="M87" t="s">
        <v>1134</v>
      </c>
      <c r="N87" s="97" t="s">
        <v>1135</v>
      </c>
      <c r="O87" s="97" t="s">
        <v>1136</v>
      </c>
      <c r="P87" s="97" t="s">
        <v>1137</v>
      </c>
      <c r="Q87" s="97" t="s">
        <v>1138</v>
      </c>
      <c r="R87" s="97" t="s">
        <v>1139</v>
      </c>
      <c r="S87" s="97" t="s">
        <v>1140</v>
      </c>
      <c r="T87" s="97" t="s">
        <v>1141</v>
      </c>
      <c r="U87" s="97"/>
      <c r="V87" s="97" t="s">
        <v>62</v>
      </c>
      <c r="W87" s="98">
        <v>9500618</v>
      </c>
      <c r="X87" s="98"/>
      <c r="Y87" s="98" t="s">
        <v>241</v>
      </c>
      <c r="Z87" s="98"/>
      <c r="AA87" s="98" t="s">
        <v>45</v>
      </c>
      <c r="AB87" s="98" t="s">
        <v>242</v>
      </c>
      <c r="AC87" s="98" t="s">
        <v>46</v>
      </c>
      <c r="AD87" s="97" t="s">
        <v>47</v>
      </c>
      <c r="AE87" s="97" t="s">
        <v>456</v>
      </c>
      <c r="AF87" s="97" t="s">
        <v>49</v>
      </c>
      <c r="AG87" s="97" t="s">
        <v>1142</v>
      </c>
    </row>
    <row r="88" spans="1:33" ht="343.25" customHeight="1">
      <c r="A88" s="97" t="s">
        <v>1143</v>
      </c>
      <c r="B88" s="97" t="s">
        <v>1144</v>
      </c>
      <c r="C88" s="97" t="s">
        <v>1145</v>
      </c>
      <c r="D88">
        <v>2022</v>
      </c>
      <c r="E88" s="97" t="s">
        <v>1146</v>
      </c>
      <c r="F88">
        <v>15</v>
      </c>
      <c r="G88">
        <v>1</v>
      </c>
      <c r="H88">
        <v>165</v>
      </c>
      <c r="I88"/>
      <c r="J88"/>
      <c r="K88" s="93"/>
      <c r="L88">
        <v>13</v>
      </c>
      <c r="M88" t="s">
        <v>1147</v>
      </c>
      <c r="N88" s="97" t="s">
        <v>1148</v>
      </c>
      <c r="O88" s="97" t="s">
        <v>1149</v>
      </c>
      <c r="P88" s="97" t="s">
        <v>1150</v>
      </c>
      <c r="Q88" s="97" t="s">
        <v>1151</v>
      </c>
      <c r="R88" s="97" t="s">
        <v>1152</v>
      </c>
      <c r="S88" s="97" t="s">
        <v>1153</v>
      </c>
      <c r="T88" s="97" t="s">
        <v>1154</v>
      </c>
      <c r="U88" s="97"/>
      <c r="V88" s="97" t="s">
        <v>440</v>
      </c>
      <c r="W88" s="98">
        <v>19961073</v>
      </c>
      <c r="X88" s="98"/>
      <c r="Y88" s="98"/>
      <c r="Z88" s="98"/>
      <c r="AA88" s="98" t="s">
        <v>45</v>
      </c>
      <c r="AB88" s="98" t="s">
        <v>1146</v>
      </c>
      <c r="AC88" s="98" t="s">
        <v>46</v>
      </c>
      <c r="AD88" s="97" t="s">
        <v>47</v>
      </c>
      <c r="AE88" s="97" t="s">
        <v>48</v>
      </c>
      <c r="AF88" s="97" t="s">
        <v>49</v>
      </c>
      <c r="AG88" s="97" t="s">
        <v>1155</v>
      </c>
    </row>
    <row r="89" spans="1:33" ht="343.25" customHeight="1">
      <c r="A89" s="97" t="s">
        <v>1156</v>
      </c>
      <c r="B89" s="97" t="s">
        <v>1157</v>
      </c>
      <c r="C89" s="97" t="s">
        <v>1158</v>
      </c>
      <c r="D89">
        <v>2025</v>
      </c>
      <c r="E89" s="97" t="s">
        <v>445</v>
      </c>
      <c r="F89">
        <v>330</v>
      </c>
      <c r="G89"/>
      <c r="H89">
        <v>119918</v>
      </c>
      <c r="I89"/>
      <c r="J89"/>
      <c r="K89" s="93"/>
      <c r="L89">
        <v>5</v>
      </c>
      <c r="M89" t="s">
        <v>1159</v>
      </c>
      <c r="N89" s="97" t="s">
        <v>1160</v>
      </c>
      <c r="O89" s="97" t="s">
        <v>1161</v>
      </c>
      <c r="P89" s="97" t="s">
        <v>1162</v>
      </c>
      <c r="Q89" s="97" t="s">
        <v>1163</v>
      </c>
      <c r="R89" s="97" t="s">
        <v>1164</v>
      </c>
      <c r="S89" s="97" t="s">
        <v>1165</v>
      </c>
      <c r="T89" s="97" t="s">
        <v>1166</v>
      </c>
      <c r="U89" s="97"/>
      <c r="V89" s="97" t="s">
        <v>62</v>
      </c>
      <c r="W89" s="98">
        <v>1410296</v>
      </c>
      <c r="X89" s="98"/>
      <c r="Y89" s="98" t="s">
        <v>454</v>
      </c>
      <c r="Z89" s="98"/>
      <c r="AA89" s="98" t="s">
        <v>45</v>
      </c>
      <c r="AB89" s="98" t="s">
        <v>455</v>
      </c>
      <c r="AC89" s="98" t="s">
        <v>46</v>
      </c>
      <c r="AD89" s="97" t="s">
        <v>47</v>
      </c>
      <c r="AE89" s="97" t="s">
        <v>456</v>
      </c>
      <c r="AF89" s="97" t="s">
        <v>49</v>
      </c>
      <c r="AG89" s="97" t="s">
        <v>1167</v>
      </c>
    </row>
    <row r="90" spans="1:33" ht="343.25" customHeight="1">
      <c r="A90" s="97" t="s">
        <v>1168</v>
      </c>
      <c r="B90" s="97" t="s">
        <v>1169</v>
      </c>
      <c r="C90" s="97" t="s">
        <v>1170</v>
      </c>
      <c r="D90">
        <v>2016</v>
      </c>
      <c r="E90" s="97" t="s">
        <v>319</v>
      </c>
      <c r="F90"/>
      <c r="G90"/>
      <c r="H90"/>
      <c r="I90"/>
      <c r="J90"/>
      <c r="K90" s="93"/>
      <c r="L90">
        <v>13</v>
      </c>
      <c r="M90"/>
      <c r="N90" s="97" t="s">
        <v>1171</v>
      </c>
      <c r="O90" s="97" t="s">
        <v>1172</v>
      </c>
      <c r="P90" s="97" t="s">
        <v>1173</v>
      </c>
      <c r="Q90" s="97" t="s">
        <v>1174</v>
      </c>
      <c r="R90" s="97" t="s">
        <v>1175</v>
      </c>
      <c r="S90" s="97" t="s">
        <v>1176</v>
      </c>
      <c r="T90" s="97"/>
      <c r="U90" s="97"/>
      <c r="V90" s="97" t="s">
        <v>326</v>
      </c>
      <c r="W90" s="98"/>
      <c r="X90" s="98" t="s">
        <v>327</v>
      </c>
      <c r="Y90" s="98"/>
      <c r="Z90" s="98"/>
      <c r="AA90" s="98" t="s">
        <v>45</v>
      </c>
      <c r="AB90" s="98" t="s">
        <v>328</v>
      </c>
      <c r="AC90" s="98" t="s">
        <v>97</v>
      </c>
      <c r="AD90" s="97" t="s">
        <v>47</v>
      </c>
      <c r="AE90" s="97"/>
      <c r="AF90" s="97" t="s">
        <v>49</v>
      </c>
      <c r="AG90" s="97" t="s">
        <v>1177</v>
      </c>
    </row>
    <row r="91" spans="1:33" ht="343.25" customHeight="1">
      <c r="A91" s="97" t="s">
        <v>1178</v>
      </c>
      <c r="B91" s="97" t="s">
        <v>1179</v>
      </c>
      <c r="C91" s="97" t="s">
        <v>1180</v>
      </c>
      <c r="D91">
        <v>2012</v>
      </c>
      <c r="E91" s="97" t="s">
        <v>1181</v>
      </c>
      <c r="F91">
        <v>2</v>
      </c>
      <c r="G91"/>
      <c r="H91"/>
      <c r="I91">
        <v>269</v>
      </c>
      <c r="J91">
        <v>275</v>
      </c>
      <c r="K91" s="93">
        <f>scopus[[#This Row],[Page end]]-scopus[[#This Row],[Page start]]</f>
        <v>6</v>
      </c>
      <c r="L91">
        <v>15</v>
      </c>
      <c r="M91"/>
      <c r="N91" s="97" t="s">
        <v>1182</v>
      </c>
      <c r="O91" s="97" t="s">
        <v>1183</v>
      </c>
      <c r="P91" s="97" t="s">
        <v>1184</v>
      </c>
      <c r="Q91" s="97" t="s">
        <v>1185</v>
      </c>
      <c r="R91" s="97" t="s">
        <v>1186</v>
      </c>
      <c r="S91" s="97" t="s">
        <v>1187</v>
      </c>
      <c r="T91" s="97" t="s">
        <v>1188</v>
      </c>
      <c r="U91" s="97"/>
      <c r="V91" s="97"/>
      <c r="W91" s="98"/>
      <c r="X91" s="98" t="s">
        <v>1189</v>
      </c>
      <c r="Y91" s="98"/>
      <c r="Z91" s="98"/>
      <c r="AA91" s="98" t="s">
        <v>45</v>
      </c>
      <c r="AB91" s="98" t="s">
        <v>96</v>
      </c>
      <c r="AC91" s="98" t="s">
        <v>97</v>
      </c>
      <c r="AD91" s="97" t="s">
        <v>47</v>
      </c>
      <c r="AE91" s="97"/>
      <c r="AF91" s="97" t="s">
        <v>49</v>
      </c>
      <c r="AG91" s="97" t="s">
        <v>1190</v>
      </c>
    </row>
    <row r="92" spans="1:33" ht="343.25" customHeight="1">
      <c r="A92" s="97" t="s">
        <v>1191</v>
      </c>
      <c r="B92" s="97" t="s">
        <v>1192</v>
      </c>
      <c r="C92" s="97" t="s">
        <v>1193</v>
      </c>
      <c r="D92">
        <v>2015</v>
      </c>
      <c r="E92" s="97" t="s">
        <v>1194</v>
      </c>
      <c r="F92"/>
      <c r="G92"/>
      <c r="H92"/>
      <c r="I92">
        <v>1663</v>
      </c>
      <c r="J92">
        <v>1670</v>
      </c>
      <c r="K92" s="93">
        <f>scopus[[#This Row],[Page end]]-scopus[[#This Row],[Page start]]</f>
        <v>7</v>
      </c>
      <c r="L92">
        <v>0</v>
      </c>
      <c r="M92"/>
      <c r="N92" s="97" t="s">
        <v>1195</v>
      </c>
      <c r="O92" s="97" t="s">
        <v>1196</v>
      </c>
      <c r="P92" s="97" t="s">
        <v>1197</v>
      </c>
      <c r="Q92" s="97" t="s">
        <v>1198</v>
      </c>
      <c r="R92" s="97" t="s">
        <v>1199</v>
      </c>
      <c r="S92" s="97" t="s">
        <v>1200</v>
      </c>
      <c r="T92" s="97" t="s">
        <v>1201</v>
      </c>
      <c r="U92" s="97"/>
      <c r="V92" s="97" t="s">
        <v>835</v>
      </c>
      <c r="W92" s="98"/>
      <c r="X92" s="98" t="s">
        <v>1202</v>
      </c>
      <c r="Y92" s="98"/>
      <c r="Z92" s="98"/>
      <c r="AA92" s="98" t="s">
        <v>45</v>
      </c>
      <c r="AB92" s="98" t="s">
        <v>1203</v>
      </c>
      <c r="AC92" s="98" t="s">
        <v>97</v>
      </c>
      <c r="AD92" s="97" t="s">
        <v>47</v>
      </c>
      <c r="AE92" s="97"/>
      <c r="AF92" s="97" t="s">
        <v>49</v>
      </c>
      <c r="AG92" s="97" t="s">
        <v>1204</v>
      </c>
    </row>
    <row r="93" spans="1:33" ht="343.25" customHeight="1">
      <c r="A93" s="97" t="s">
        <v>1205</v>
      </c>
      <c r="B93" s="97" t="s">
        <v>1206</v>
      </c>
      <c r="C93" s="97" t="s">
        <v>1207</v>
      </c>
      <c r="D93">
        <v>2017</v>
      </c>
      <c r="E93" s="97" t="s">
        <v>1208</v>
      </c>
      <c r="F93">
        <v>22</v>
      </c>
      <c r="G93"/>
      <c r="H93" t="s">
        <v>1209</v>
      </c>
      <c r="I93"/>
      <c r="J93"/>
      <c r="K93" s="93"/>
      <c r="L93">
        <v>9</v>
      </c>
      <c r="M93" t="s">
        <v>1210</v>
      </c>
      <c r="N93" s="97" t="s">
        <v>1211</v>
      </c>
      <c r="O93" s="97" t="s">
        <v>1212</v>
      </c>
      <c r="P93" s="97" t="s">
        <v>1213</v>
      </c>
      <c r="Q93" s="97" t="s">
        <v>1214</v>
      </c>
      <c r="R93" s="97" t="s">
        <v>1215</v>
      </c>
      <c r="S93" s="97"/>
      <c r="T93" s="97"/>
      <c r="U93" s="97"/>
      <c r="V93" s="97" t="s">
        <v>1216</v>
      </c>
      <c r="W93" s="98">
        <v>15177076</v>
      </c>
      <c r="X93" s="98"/>
      <c r="Y93" s="98"/>
      <c r="Z93" s="98"/>
      <c r="AA93" s="98" t="s">
        <v>1217</v>
      </c>
      <c r="AB93" s="98" t="s">
        <v>1218</v>
      </c>
      <c r="AC93" s="98" t="s">
        <v>46</v>
      </c>
      <c r="AD93" s="97" t="s">
        <v>47</v>
      </c>
      <c r="AE93" s="97" t="s">
        <v>48</v>
      </c>
      <c r="AF93" s="97" t="s">
        <v>49</v>
      </c>
      <c r="AG93" s="97" t="s">
        <v>1219</v>
      </c>
    </row>
    <row r="94" spans="1:33" ht="343.25" customHeight="1">
      <c r="A94" s="97" t="s">
        <v>1220</v>
      </c>
      <c r="B94" s="97" t="s">
        <v>1221</v>
      </c>
      <c r="C94" s="97" t="s">
        <v>1222</v>
      </c>
      <c r="D94">
        <v>2012</v>
      </c>
      <c r="E94" s="97" t="s">
        <v>1181</v>
      </c>
      <c r="F94">
        <v>3</v>
      </c>
      <c r="G94"/>
      <c r="H94"/>
      <c r="I94">
        <v>396</v>
      </c>
      <c r="J94">
        <v>401</v>
      </c>
      <c r="K94" s="93">
        <f>scopus[[#This Row],[Page end]]-scopus[[#This Row],[Page start]]</f>
        <v>5</v>
      </c>
      <c r="L94">
        <v>4</v>
      </c>
      <c r="M94"/>
      <c r="N94" s="97" t="s">
        <v>1223</v>
      </c>
      <c r="O94" s="97" t="s">
        <v>1224</v>
      </c>
      <c r="P94" s="97" t="s">
        <v>1225</v>
      </c>
      <c r="Q94" s="97" t="s">
        <v>1226</v>
      </c>
      <c r="R94" s="97" t="s">
        <v>1227</v>
      </c>
      <c r="S94" s="97" t="s">
        <v>1228</v>
      </c>
      <c r="T94" s="97" t="s">
        <v>1229</v>
      </c>
      <c r="U94" s="97"/>
      <c r="V94" s="97"/>
      <c r="W94" s="98"/>
      <c r="X94" s="98" t="s">
        <v>1189</v>
      </c>
      <c r="Y94" s="98"/>
      <c r="Z94" s="98"/>
      <c r="AA94" s="98" t="s">
        <v>45</v>
      </c>
      <c r="AB94" s="98" t="s">
        <v>96</v>
      </c>
      <c r="AC94" s="98" t="s">
        <v>97</v>
      </c>
      <c r="AD94" s="97" t="s">
        <v>47</v>
      </c>
      <c r="AE94" s="97"/>
      <c r="AF94" s="97" t="s">
        <v>49</v>
      </c>
      <c r="AG94" s="97" t="s">
        <v>1230</v>
      </c>
    </row>
    <row r="95" spans="1:33" ht="343.25" customHeight="1">
      <c r="A95" s="97" t="s">
        <v>1231</v>
      </c>
      <c r="B95" s="97">
        <v>55178554200</v>
      </c>
      <c r="C95" s="97" t="s">
        <v>1232</v>
      </c>
      <c r="D95">
        <v>2015</v>
      </c>
      <c r="E95" s="97" t="s">
        <v>1233</v>
      </c>
      <c r="F95"/>
      <c r="G95"/>
      <c r="H95"/>
      <c r="I95"/>
      <c r="J95"/>
      <c r="K95" s="93"/>
      <c r="L95">
        <v>4</v>
      </c>
      <c r="M95"/>
      <c r="N95" s="97" t="s">
        <v>1234</v>
      </c>
      <c r="O95" s="97" t="s">
        <v>1235</v>
      </c>
      <c r="P95" s="97" t="s">
        <v>1236</v>
      </c>
      <c r="Q95" s="97" t="s">
        <v>1237</v>
      </c>
      <c r="R95" s="97"/>
      <c r="S95" s="97" t="s">
        <v>1238</v>
      </c>
      <c r="T95" s="97" t="s">
        <v>1239</v>
      </c>
      <c r="U95" s="97" t="s">
        <v>1240</v>
      </c>
      <c r="V95" s="97" t="s">
        <v>1241</v>
      </c>
      <c r="W95" s="98"/>
      <c r="X95" s="98"/>
      <c r="Y95" s="98"/>
      <c r="Z95" s="98"/>
      <c r="AA95" s="98" t="s">
        <v>45</v>
      </c>
      <c r="AB95" s="98" t="s">
        <v>1242</v>
      </c>
      <c r="AC95" s="98" t="s">
        <v>97</v>
      </c>
      <c r="AD95" s="97" t="s">
        <v>47</v>
      </c>
      <c r="AE95" s="97"/>
      <c r="AF95" s="97" t="s">
        <v>49</v>
      </c>
      <c r="AG95" s="97" t="s">
        <v>1243</v>
      </c>
    </row>
    <row r="96" spans="1:33" ht="343.25" customHeight="1">
      <c r="A96" s="97" t="s">
        <v>1244</v>
      </c>
      <c r="B96" s="97" t="s">
        <v>1245</v>
      </c>
      <c r="C96" s="97" t="s">
        <v>1246</v>
      </c>
      <c r="D96">
        <v>2025</v>
      </c>
      <c r="E96" s="97" t="s">
        <v>54</v>
      </c>
      <c r="F96">
        <v>111</v>
      </c>
      <c r="G96"/>
      <c r="H96">
        <v>113216</v>
      </c>
      <c r="I96"/>
      <c r="J96"/>
      <c r="K96" s="93"/>
      <c r="L96">
        <v>4</v>
      </c>
      <c r="M96" t="s">
        <v>1247</v>
      </c>
      <c r="N96" s="97" t="s">
        <v>1248</v>
      </c>
      <c r="O96" s="97" t="s">
        <v>1249</v>
      </c>
      <c r="P96" s="97" t="s">
        <v>1250</v>
      </c>
      <c r="Q96" s="97" t="s">
        <v>1251</v>
      </c>
      <c r="R96" s="97" t="s">
        <v>1252</v>
      </c>
      <c r="S96" s="97" t="s">
        <v>1253</v>
      </c>
      <c r="T96" s="97" t="s">
        <v>1254</v>
      </c>
      <c r="U96" s="97"/>
      <c r="V96" s="97" t="s">
        <v>62</v>
      </c>
      <c r="W96" s="98">
        <v>23527102</v>
      </c>
      <c r="X96" s="98"/>
      <c r="Y96" s="98"/>
      <c r="Z96" s="98"/>
      <c r="AA96" s="98" t="s">
        <v>45</v>
      </c>
      <c r="AB96" s="98" t="s">
        <v>63</v>
      </c>
      <c r="AC96" s="98" t="s">
        <v>46</v>
      </c>
      <c r="AD96" s="97" t="s">
        <v>47</v>
      </c>
      <c r="AE96" s="97"/>
      <c r="AF96" s="97" t="s">
        <v>49</v>
      </c>
      <c r="AG96" s="97" t="s">
        <v>1255</v>
      </c>
    </row>
    <row r="97" spans="1:33" ht="343.25" customHeight="1">
      <c r="A97" s="97" t="s">
        <v>1256</v>
      </c>
      <c r="B97" s="97" t="s">
        <v>1257</v>
      </c>
      <c r="C97" s="97" t="s">
        <v>1258</v>
      </c>
      <c r="D97">
        <v>2024</v>
      </c>
      <c r="E97" s="97" t="s">
        <v>406</v>
      </c>
      <c r="F97">
        <v>14</v>
      </c>
      <c r="G97">
        <v>5</v>
      </c>
      <c r="H97">
        <v>1455</v>
      </c>
      <c r="I97"/>
      <c r="J97"/>
      <c r="K97" s="93"/>
      <c r="L97">
        <v>3</v>
      </c>
      <c r="M97" t="s">
        <v>1259</v>
      </c>
      <c r="N97" s="97" t="s">
        <v>1260</v>
      </c>
      <c r="O97" s="97" t="s">
        <v>39</v>
      </c>
      <c r="P97" s="97" t="s">
        <v>1261</v>
      </c>
      <c r="Q97" s="97" t="s">
        <v>1262</v>
      </c>
      <c r="R97" s="97" t="s">
        <v>1263</v>
      </c>
      <c r="S97" s="97" t="s">
        <v>1264</v>
      </c>
      <c r="T97" s="97" t="s">
        <v>43</v>
      </c>
      <c r="U97" s="97"/>
      <c r="V97" s="97" t="s">
        <v>44</v>
      </c>
      <c r="W97" s="98">
        <v>20755309</v>
      </c>
      <c r="X97" s="98"/>
      <c r="Y97" s="98"/>
      <c r="Z97" s="98"/>
      <c r="AA97" s="98" t="s">
        <v>45</v>
      </c>
      <c r="AB97" s="98" t="s">
        <v>406</v>
      </c>
      <c r="AC97" s="98" t="s">
        <v>46</v>
      </c>
      <c r="AD97" s="97" t="s">
        <v>47</v>
      </c>
      <c r="AE97" s="97" t="s">
        <v>48</v>
      </c>
      <c r="AF97" s="97" t="s">
        <v>49</v>
      </c>
      <c r="AG97" s="97" t="s">
        <v>1265</v>
      </c>
    </row>
    <row r="98" spans="1:33" ht="343.25" customHeight="1">
      <c r="A98" s="97" t="s">
        <v>1266</v>
      </c>
      <c r="B98" s="97" t="s">
        <v>1267</v>
      </c>
      <c r="C98" s="97" t="s">
        <v>1268</v>
      </c>
      <c r="D98">
        <v>2025</v>
      </c>
      <c r="E98" s="97" t="s">
        <v>1269</v>
      </c>
      <c r="F98"/>
      <c r="G98"/>
      <c r="H98"/>
      <c r="I98"/>
      <c r="J98"/>
      <c r="K98" s="93"/>
      <c r="L98">
        <v>1</v>
      </c>
      <c r="M98" t="s">
        <v>1270</v>
      </c>
      <c r="N98" s="97" t="s">
        <v>1271</v>
      </c>
      <c r="O98" s="97" t="s">
        <v>1272</v>
      </c>
      <c r="P98" s="97" t="s">
        <v>1273</v>
      </c>
      <c r="Q98" s="97" t="s">
        <v>1274</v>
      </c>
      <c r="R98" s="97" t="s">
        <v>1275</v>
      </c>
      <c r="S98" s="97" t="s">
        <v>1276</v>
      </c>
      <c r="T98" s="97" t="s">
        <v>1277</v>
      </c>
      <c r="U98" s="97"/>
      <c r="V98" s="97" t="s">
        <v>1278</v>
      </c>
      <c r="W98" s="98">
        <v>20952635</v>
      </c>
      <c r="X98" s="98"/>
      <c r="Y98" s="98"/>
      <c r="Z98" s="98"/>
      <c r="AA98" s="98" t="s">
        <v>45</v>
      </c>
      <c r="AB98" s="98" t="s">
        <v>1279</v>
      </c>
      <c r="AC98" s="98" t="s">
        <v>46</v>
      </c>
      <c r="AD98" s="97" t="s">
        <v>1280</v>
      </c>
      <c r="AE98" s="97" t="s">
        <v>80</v>
      </c>
      <c r="AF98" s="97" t="s">
        <v>49</v>
      </c>
      <c r="AG98" s="97" t="s">
        <v>1281</v>
      </c>
    </row>
    <row r="99" spans="1:33" ht="343.25" customHeight="1">
      <c r="A99" s="97" t="s">
        <v>1282</v>
      </c>
      <c r="B99" s="97" t="s">
        <v>1283</v>
      </c>
      <c r="C99" s="97" t="s">
        <v>1284</v>
      </c>
      <c r="D99">
        <v>2025</v>
      </c>
      <c r="E99" s="97" t="s">
        <v>289</v>
      </c>
      <c r="F99">
        <v>151</v>
      </c>
      <c r="G99">
        <v>1</v>
      </c>
      <c r="H99">
        <v>4024186</v>
      </c>
      <c r="I99"/>
      <c r="J99"/>
      <c r="K99" s="93"/>
      <c r="L99">
        <v>2</v>
      </c>
      <c r="M99" t="s">
        <v>1285</v>
      </c>
      <c r="N99" s="97" t="s">
        <v>1286</v>
      </c>
      <c r="O99" s="97" t="s">
        <v>1287</v>
      </c>
      <c r="P99" s="97" t="s">
        <v>1288</v>
      </c>
      <c r="Q99" s="97" t="s">
        <v>1289</v>
      </c>
      <c r="R99" s="97" t="s">
        <v>1290</v>
      </c>
      <c r="S99" s="97" t="s">
        <v>1291</v>
      </c>
      <c r="T99" s="97" t="s">
        <v>1292</v>
      </c>
      <c r="U99" s="97"/>
      <c r="V99" s="97" t="s">
        <v>298</v>
      </c>
      <c r="W99" s="98">
        <v>7339445</v>
      </c>
      <c r="X99" s="98"/>
      <c r="Y99" s="98" t="s">
        <v>299</v>
      </c>
      <c r="Z99" s="98"/>
      <c r="AA99" s="98" t="s">
        <v>45</v>
      </c>
      <c r="AB99" s="98" t="s">
        <v>300</v>
      </c>
      <c r="AC99" s="98" t="s">
        <v>46</v>
      </c>
      <c r="AD99" s="97" t="s">
        <v>47</v>
      </c>
      <c r="AE99" s="97" t="s">
        <v>456</v>
      </c>
      <c r="AF99" s="97" t="s">
        <v>49</v>
      </c>
      <c r="AG99" s="97" t="s">
        <v>1293</v>
      </c>
    </row>
    <row r="100" spans="1:33" ht="343.25" customHeight="1">
      <c r="A100" s="97" t="s">
        <v>1294</v>
      </c>
      <c r="B100" s="97" t="s">
        <v>1295</v>
      </c>
      <c r="C100" s="97" t="s">
        <v>1296</v>
      </c>
      <c r="D100">
        <v>2023</v>
      </c>
      <c r="E100" s="97" t="s">
        <v>445</v>
      </c>
      <c r="F100">
        <v>295</v>
      </c>
      <c r="G100"/>
      <c r="H100">
        <v>116810</v>
      </c>
      <c r="I100"/>
      <c r="J100"/>
      <c r="K100" s="93"/>
      <c r="L100">
        <v>7</v>
      </c>
      <c r="M100" t="s">
        <v>1297</v>
      </c>
      <c r="N100" s="97" t="s">
        <v>1298</v>
      </c>
      <c r="O100" s="97" t="s">
        <v>1299</v>
      </c>
      <c r="P100" s="97" t="s">
        <v>1300</v>
      </c>
      <c r="Q100" s="97" t="s">
        <v>1301</v>
      </c>
      <c r="R100" s="97" t="s">
        <v>1302</v>
      </c>
      <c r="S100" s="97" t="s">
        <v>1303</v>
      </c>
      <c r="T100" s="97" t="s">
        <v>1304</v>
      </c>
      <c r="U100" s="97"/>
      <c r="V100" s="97" t="s">
        <v>62</v>
      </c>
      <c r="W100" s="98">
        <v>1410296</v>
      </c>
      <c r="X100" s="98"/>
      <c r="Y100" s="98" t="s">
        <v>454</v>
      </c>
      <c r="Z100" s="98"/>
      <c r="AA100" s="98" t="s">
        <v>45</v>
      </c>
      <c r="AB100" s="98" t="s">
        <v>455</v>
      </c>
      <c r="AC100" s="98" t="s">
        <v>46</v>
      </c>
      <c r="AD100" s="97" t="s">
        <v>47</v>
      </c>
      <c r="AE100" s="97"/>
      <c r="AF100" s="97" t="s">
        <v>49</v>
      </c>
      <c r="AG100" s="97" t="s">
        <v>1305</v>
      </c>
    </row>
    <row r="101" spans="1:33" ht="343.25" customHeight="1">
      <c r="A101" s="97" t="s">
        <v>1306</v>
      </c>
      <c r="B101" s="97" t="s">
        <v>1307</v>
      </c>
      <c r="C101" s="97" t="s">
        <v>1308</v>
      </c>
      <c r="D101">
        <v>2025</v>
      </c>
      <c r="E101" s="97" t="s">
        <v>1309</v>
      </c>
      <c r="F101">
        <v>30</v>
      </c>
      <c r="G101">
        <v>3</v>
      </c>
      <c r="H101">
        <v>5025003</v>
      </c>
      <c r="I101"/>
      <c r="J101"/>
      <c r="K101" s="93"/>
      <c r="L101">
        <v>0</v>
      </c>
      <c r="M101" t="s">
        <v>1310</v>
      </c>
      <c r="N101" s="97" t="s">
        <v>1311</v>
      </c>
      <c r="O101" s="97" t="s">
        <v>1312</v>
      </c>
      <c r="P101" s="97" t="s">
        <v>1313</v>
      </c>
      <c r="Q101" s="97" t="s">
        <v>1314</v>
      </c>
      <c r="R101" s="97"/>
      <c r="S101" s="97" t="s">
        <v>1315</v>
      </c>
      <c r="T101" s="97" t="s">
        <v>1316</v>
      </c>
      <c r="U101" s="97"/>
      <c r="V101" s="97" t="s">
        <v>298</v>
      </c>
      <c r="W101" s="98">
        <v>29965136</v>
      </c>
      <c r="X101" s="98"/>
      <c r="Y101" s="98"/>
      <c r="Z101" s="98"/>
      <c r="AA101" s="98" t="s">
        <v>45</v>
      </c>
      <c r="AB101" s="98" t="s">
        <v>1317</v>
      </c>
      <c r="AC101" s="98" t="s">
        <v>46</v>
      </c>
      <c r="AD101" s="97" t="s">
        <v>47</v>
      </c>
      <c r="AE101" s="97"/>
      <c r="AF101" s="97" t="s">
        <v>49</v>
      </c>
      <c r="AG101" s="97" t="s">
        <v>1318</v>
      </c>
    </row>
    <row r="102" spans="1:33" ht="343.25" customHeight="1">
      <c r="A102" s="97" t="s">
        <v>1319</v>
      </c>
      <c r="B102" s="97" t="s">
        <v>1320</v>
      </c>
      <c r="C102" s="97" t="s">
        <v>1321</v>
      </c>
      <c r="D102">
        <v>2026</v>
      </c>
      <c r="E102" s="97" t="s">
        <v>1322</v>
      </c>
      <c r="F102">
        <v>21</v>
      </c>
      <c r="G102">
        <v>1</v>
      </c>
      <c r="H102"/>
      <c r="I102">
        <v>2101</v>
      </c>
      <c r="J102">
        <v>2122</v>
      </c>
      <c r="K102" s="93">
        <f>scopus[[#This Row],[Page end]]-scopus[[#This Row],[Page start]]</f>
        <v>21</v>
      </c>
      <c r="L102">
        <v>0</v>
      </c>
      <c r="M102" t="s">
        <v>1323</v>
      </c>
      <c r="N102" s="97" t="s">
        <v>1324</v>
      </c>
      <c r="O102" s="97" t="s">
        <v>1325</v>
      </c>
      <c r="P102" s="97" t="s">
        <v>1326</v>
      </c>
      <c r="Q102" s="97" t="s">
        <v>1327</v>
      </c>
      <c r="R102" s="97" t="s">
        <v>1328</v>
      </c>
      <c r="S102" s="97" t="s">
        <v>1329</v>
      </c>
      <c r="T102" s="97" t="s">
        <v>1330</v>
      </c>
      <c r="U102" s="97"/>
      <c r="V102" s="97" t="s">
        <v>1331</v>
      </c>
      <c r="W102" s="98">
        <v>19302126</v>
      </c>
      <c r="X102" s="98"/>
      <c r="Y102" s="98"/>
      <c r="Z102" s="98"/>
      <c r="AA102" s="98" t="s">
        <v>45</v>
      </c>
      <c r="AB102" s="98" t="s">
        <v>1332</v>
      </c>
      <c r="AC102" s="98" t="s">
        <v>110</v>
      </c>
      <c r="AD102" s="97" t="s">
        <v>47</v>
      </c>
      <c r="AE102" s="97"/>
      <c r="AF102" s="97" t="s">
        <v>49</v>
      </c>
      <c r="AG102" s="97" t="s">
        <v>1333</v>
      </c>
    </row>
    <row r="103" spans="1:33" ht="343.25" customHeight="1">
      <c r="A103" s="97" t="s">
        <v>1334</v>
      </c>
      <c r="B103" s="97" t="s">
        <v>1335</v>
      </c>
      <c r="C103" s="97" t="s">
        <v>1336</v>
      </c>
      <c r="D103">
        <v>2021</v>
      </c>
      <c r="E103" s="97" t="s">
        <v>1337</v>
      </c>
      <c r="F103"/>
      <c r="G103"/>
      <c r="H103"/>
      <c r="I103"/>
      <c r="J103"/>
      <c r="K103" s="93"/>
      <c r="L103">
        <v>0</v>
      </c>
      <c r="M103" t="s">
        <v>1338</v>
      </c>
      <c r="N103" s="97" t="s">
        <v>1339</v>
      </c>
      <c r="O103" s="97" t="s">
        <v>1340</v>
      </c>
      <c r="P103" s="97" t="s">
        <v>1341</v>
      </c>
      <c r="Q103" s="97" t="s">
        <v>1342</v>
      </c>
      <c r="R103" s="97"/>
      <c r="S103" s="97" t="s">
        <v>1343</v>
      </c>
      <c r="T103" s="97"/>
      <c r="U103" s="97" t="s">
        <v>1344</v>
      </c>
      <c r="V103" s="97" t="s">
        <v>1241</v>
      </c>
      <c r="W103" s="98"/>
      <c r="X103" s="98" t="s">
        <v>1345</v>
      </c>
      <c r="Y103" s="98"/>
      <c r="Z103" s="98"/>
      <c r="AA103" s="98" t="s">
        <v>45</v>
      </c>
      <c r="AB103" s="98" t="s">
        <v>1346</v>
      </c>
      <c r="AC103" s="98" t="s">
        <v>97</v>
      </c>
      <c r="AD103" s="97" t="s">
        <v>47</v>
      </c>
      <c r="AE103" s="97"/>
      <c r="AF103" s="97" t="s">
        <v>49</v>
      </c>
      <c r="AG103" s="97" t="s">
        <v>1347</v>
      </c>
    </row>
    <row r="104" spans="1:33" ht="343.25" customHeight="1">
      <c r="A104" s="97" t="s">
        <v>1348</v>
      </c>
      <c r="B104" s="97" t="s">
        <v>1349</v>
      </c>
      <c r="C104" s="97" t="s">
        <v>1350</v>
      </c>
      <c r="D104">
        <v>2024</v>
      </c>
      <c r="E104" s="97" t="s">
        <v>1351</v>
      </c>
      <c r="F104"/>
      <c r="G104"/>
      <c r="H104"/>
      <c r="I104">
        <v>263</v>
      </c>
      <c r="J104">
        <v>273</v>
      </c>
      <c r="K104" s="93">
        <f>scopus[[#This Row],[Page end]]-scopus[[#This Row],[Page start]]</f>
        <v>10</v>
      </c>
      <c r="L104">
        <v>1</v>
      </c>
      <c r="M104" t="s">
        <v>1352</v>
      </c>
      <c r="N104" s="97" t="s">
        <v>1353</v>
      </c>
      <c r="O104" s="97" t="s">
        <v>1354</v>
      </c>
      <c r="P104" s="97" t="s">
        <v>1355</v>
      </c>
      <c r="Q104" s="97" t="s">
        <v>1356</v>
      </c>
      <c r="R104" s="97" t="s">
        <v>1357</v>
      </c>
      <c r="S104" s="97" t="s">
        <v>1358</v>
      </c>
      <c r="T104" s="97" t="s">
        <v>1359</v>
      </c>
      <c r="U104" s="97" t="s">
        <v>1360</v>
      </c>
      <c r="V104" s="97" t="s">
        <v>125</v>
      </c>
      <c r="W104" s="98">
        <v>21954356</v>
      </c>
      <c r="X104" s="98" t="s">
        <v>1361</v>
      </c>
      <c r="Y104" s="98"/>
      <c r="Z104" s="98"/>
      <c r="AA104" s="98" t="s">
        <v>45</v>
      </c>
      <c r="AB104" s="98" t="s">
        <v>1362</v>
      </c>
      <c r="AC104" s="98" t="s">
        <v>97</v>
      </c>
      <c r="AD104" s="97" t="s">
        <v>47</v>
      </c>
      <c r="AE104" s="97"/>
      <c r="AF104" s="97" t="s">
        <v>49</v>
      </c>
      <c r="AG104" s="97" t="s">
        <v>1363</v>
      </c>
    </row>
    <row r="105" spans="1:33" ht="343.25" customHeight="1">
      <c r="A105" s="97" t="s">
        <v>1364</v>
      </c>
      <c r="B105" s="97" t="s">
        <v>1365</v>
      </c>
      <c r="C105" s="97" t="s">
        <v>1366</v>
      </c>
      <c r="D105">
        <v>2019</v>
      </c>
      <c r="E105" s="97" t="s">
        <v>377</v>
      </c>
      <c r="F105">
        <v>25</v>
      </c>
      <c r="G105">
        <v>2</v>
      </c>
      <c r="H105">
        <v>4019008</v>
      </c>
      <c r="I105"/>
      <c r="J105"/>
      <c r="K105" s="93"/>
      <c r="L105">
        <v>3</v>
      </c>
      <c r="M105" t="s">
        <v>1367</v>
      </c>
      <c r="N105" s="97" t="s">
        <v>1368</v>
      </c>
      <c r="O105" s="97" t="s">
        <v>1369</v>
      </c>
      <c r="P105" s="97" t="s">
        <v>1370</v>
      </c>
      <c r="Q105" s="97" t="s">
        <v>1371</v>
      </c>
      <c r="R105" s="97" t="s">
        <v>1372</v>
      </c>
      <c r="S105" s="97" t="s">
        <v>1373</v>
      </c>
      <c r="T105" s="97" t="s">
        <v>1374</v>
      </c>
      <c r="U105" s="97"/>
      <c r="V105" s="97" t="s">
        <v>298</v>
      </c>
      <c r="W105" s="98">
        <v>10760431</v>
      </c>
      <c r="X105" s="98"/>
      <c r="Y105" s="98" t="s">
        <v>386</v>
      </c>
      <c r="Z105" s="98"/>
      <c r="AA105" s="98" t="s">
        <v>45</v>
      </c>
      <c r="AB105" s="98" t="s">
        <v>387</v>
      </c>
      <c r="AC105" s="98" t="s">
        <v>110</v>
      </c>
      <c r="AD105" s="97" t="s">
        <v>47</v>
      </c>
      <c r="AE105" s="97"/>
      <c r="AF105" s="97" t="s">
        <v>49</v>
      </c>
      <c r="AG105" s="97" t="s">
        <v>1375</v>
      </c>
    </row>
    <row r="106" spans="1:33" ht="343.25" customHeight="1">
      <c r="A106" s="97" t="s">
        <v>1376</v>
      </c>
      <c r="B106" s="97" t="s">
        <v>1377</v>
      </c>
      <c r="C106" s="97" t="s">
        <v>1378</v>
      </c>
      <c r="D106">
        <v>2026</v>
      </c>
      <c r="E106" s="97" t="s">
        <v>737</v>
      </c>
      <c r="F106">
        <v>1582</v>
      </c>
      <c r="G106">
        <v>1</v>
      </c>
      <c r="H106">
        <v>12098</v>
      </c>
      <c r="I106"/>
      <c r="J106"/>
      <c r="K106" s="93"/>
      <c r="L106">
        <v>0</v>
      </c>
      <c r="M106" t="s">
        <v>1379</v>
      </c>
      <c r="N106" s="97" t="s">
        <v>1380</v>
      </c>
      <c r="O106" s="97" t="s">
        <v>1381</v>
      </c>
      <c r="P106" s="97" t="s">
        <v>1382</v>
      </c>
      <c r="Q106" s="97" t="s">
        <v>1383</v>
      </c>
      <c r="R106" s="97"/>
      <c r="S106" s="97"/>
      <c r="T106" s="97" t="s">
        <v>1384</v>
      </c>
      <c r="U106" s="97"/>
      <c r="V106" s="97" t="s">
        <v>168</v>
      </c>
      <c r="W106" s="98">
        <v>17551307</v>
      </c>
      <c r="X106" s="98"/>
      <c r="Y106" s="98"/>
      <c r="Z106" s="98"/>
      <c r="AA106" s="98" t="s">
        <v>45</v>
      </c>
      <c r="AB106" s="98" t="s">
        <v>747</v>
      </c>
      <c r="AC106" s="98" t="s">
        <v>97</v>
      </c>
      <c r="AD106" s="97" t="s">
        <v>47</v>
      </c>
      <c r="AE106" s="97" t="s">
        <v>80</v>
      </c>
      <c r="AF106" s="97" t="s">
        <v>49</v>
      </c>
      <c r="AG106" s="97" t="s">
        <v>1385</v>
      </c>
    </row>
    <row r="107" spans="1:33" ht="343.25" customHeight="1">
      <c r="A107" s="97" t="s">
        <v>1386</v>
      </c>
      <c r="B107" s="97" t="s">
        <v>1387</v>
      </c>
      <c r="C107" s="97" t="s">
        <v>1388</v>
      </c>
      <c r="D107">
        <v>2021</v>
      </c>
      <c r="E107" s="97" t="s">
        <v>289</v>
      </c>
      <c r="F107">
        <v>147</v>
      </c>
      <c r="G107">
        <v>2</v>
      </c>
      <c r="H107">
        <v>4020338</v>
      </c>
      <c r="I107"/>
      <c r="J107"/>
      <c r="K107" s="93"/>
      <c r="L107">
        <v>18</v>
      </c>
      <c r="M107" t="s">
        <v>1389</v>
      </c>
      <c r="N107" s="97" t="s">
        <v>1390</v>
      </c>
      <c r="O107" s="97" t="s">
        <v>1391</v>
      </c>
      <c r="P107" s="97" t="s">
        <v>1392</v>
      </c>
      <c r="Q107" s="97" t="s">
        <v>1393</v>
      </c>
      <c r="R107" s="97" t="s">
        <v>1394</v>
      </c>
      <c r="S107" s="97" t="s">
        <v>1395</v>
      </c>
      <c r="T107" s="97" t="s">
        <v>1396</v>
      </c>
      <c r="U107" s="97"/>
      <c r="V107" s="97" t="s">
        <v>298</v>
      </c>
      <c r="W107" s="98">
        <v>7339445</v>
      </c>
      <c r="X107" s="98"/>
      <c r="Y107" s="98" t="s">
        <v>299</v>
      </c>
      <c r="Z107" s="98"/>
      <c r="AA107" s="98" t="s">
        <v>45</v>
      </c>
      <c r="AB107" s="98" t="s">
        <v>300</v>
      </c>
      <c r="AC107" s="98" t="s">
        <v>46</v>
      </c>
      <c r="AD107" s="97" t="s">
        <v>47</v>
      </c>
      <c r="AE107" s="97"/>
      <c r="AF107" s="97" t="s">
        <v>49</v>
      </c>
      <c r="AG107" s="97" t="s">
        <v>1397</v>
      </c>
    </row>
    <row r="108" spans="1:33" ht="343.25" customHeight="1">
      <c r="A108" s="97" t="s">
        <v>1398</v>
      </c>
      <c r="B108" s="97" t="s">
        <v>1399</v>
      </c>
      <c r="C108" s="97" t="s">
        <v>1400</v>
      </c>
      <c r="D108">
        <v>2026</v>
      </c>
      <c r="E108" s="97" t="s">
        <v>996</v>
      </c>
      <c r="F108">
        <v>88</v>
      </c>
      <c r="G108"/>
      <c r="H108">
        <v>111857</v>
      </c>
      <c r="I108"/>
      <c r="J108"/>
      <c r="K108" s="93"/>
      <c r="L108">
        <v>0</v>
      </c>
      <c r="M108" t="s">
        <v>1401</v>
      </c>
      <c r="N108" s="97" t="s">
        <v>1402</v>
      </c>
      <c r="O108" s="97" t="s">
        <v>1403</v>
      </c>
      <c r="P108" s="97" t="s">
        <v>1404</v>
      </c>
      <c r="Q108" s="97" t="s">
        <v>1405</v>
      </c>
      <c r="R108" s="97" t="s">
        <v>1406</v>
      </c>
      <c r="S108" s="97" t="s">
        <v>1407</v>
      </c>
      <c r="T108" s="97" t="s">
        <v>1408</v>
      </c>
      <c r="U108" s="97"/>
      <c r="V108" s="97" t="s">
        <v>62</v>
      </c>
      <c r="W108" s="98">
        <v>23520124</v>
      </c>
      <c r="X108" s="98"/>
      <c r="Y108" s="98"/>
      <c r="Z108" s="98"/>
      <c r="AA108" s="98" t="s">
        <v>45</v>
      </c>
      <c r="AB108" s="98" t="s">
        <v>996</v>
      </c>
      <c r="AC108" s="98" t="s">
        <v>46</v>
      </c>
      <c r="AD108" s="97" t="s">
        <v>47</v>
      </c>
      <c r="AE108" s="97" t="s">
        <v>456</v>
      </c>
      <c r="AF108" s="97" t="s">
        <v>49</v>
      </c>
      <c r="AG108" s="97" t="s">
        <v>1409</v>
      </c>
    </row>
    <row r="109" spans="1:33" ht="343.25" customHeight="1">
      <c r="A109" s="97" t="s">
        <v>1410</v>
      </c>
      <c r="B109" s="97" t="s">
        <v>1411</v>
      </c>
      <c r="C109" s="97" t="s">
        <v>1412</v>
      </c>
      <c r="D109">
        <v>2021</v>
      </c>
      <c r="E109" s="97" t="s">
        <v>976</v>
      </c>
      <c r="F109"/>
      <c r="G109"/>
      <c r="H109"/>
      <c r="I109"/>
      <c r="J109"/>
      <c r="K109" s="93"/>
      <c r="L109">
        <v>0</v>
      </c>
      <c r="M109"/>
      <c r="N109" s="97" t="s">
        <v>1413</v>
      </c>
      <c r="O109" s="97" t="s">
        <v>1414</v>
      </c>
      <c r="P109" s="97" t="s">
        <v>1415</v>
      </c>
      <c r="Q109" s="97" t="s">
        <v>1416</v>
      </c>
      <c r="R109" s="97" t="s">
        <v>1417</v>
      </c>
      <c r="S109" s="97" t="s">
        <v>1418</v>
      </c>
      <c r="T109" s="97"/>
      <c r="U109" s="97"/>
      <c r="V109" s="97" t="s">
        <v>94</v>
      </c>
      <c r="W109" s="98"/>
      <c r="X109" s="98"/>
      <c r="Y109" s="98"/>
      <c r="Z109" s="98"/>
      <c r="AA109" s="98" t="s">
        <v>45</v>
      </c>
      <c r="AB109" s="98" t="s">
        <v>96</v>
      </c>
      <c r="AC109" s="98" t="s">
        <v>97</v>
      </c>
      <c r="AD109" s="97" t="s">
        <v>47</v>
      </c>
      <c r="AE109" s="97"/>
      <c r="AF109" s="97" t="s">
        <v>49</v>
      </c>
      <c r="AG109" s="97" t="s">
        <v>1419</v>
      </c>
    </row>
    <row r="110" spans="1:33" ht="343.25" customHeight="1">
      <c r="A110" s="97" t="s">
        <v>1420</v>
      </c>
      <c r="B110" s="97" t="s">
        <v>1421</v>
      </c>
      <c r="C110" s="97" t="s">
        <v>1422</v>
      </c>
      <c r="D110">
        <v>2026</v>
      </c>
      <c r="E110" s="97" t="s">
        <v>1423</v>
      </c>
      <c r="F110">
        <v>33</v>
      </c>
      <c r="G110">
        <v>1</v>
      </c>
      <c r="H110">
        <v>2641810</v>
      </c>
      <c r="I110"/>
      <c r="J110"/>
      <c r="K110" s="93"/>
      <c r="L110">
        <v>0</v>
      </c>
      <c r="M110" t="s">
        <v>1424</v>
      </c>
      <c r="N110" s="97" t="s">
        <v>1425</v>
      </c>
      <c r="O110" s="97" t="s">
        <v>1426</v>
      </c>
      <c r="P110" s="97" t="s">
        <v>1427</v>
      </c>
      <c r="Q110" s="97" t="s">
        <v>1428</v>
      </c>
      <c r="R110" s="97" t="s">
        <v>1429</v>
      </c>
      <c r="S110" s="97" t="s">
        <v>1430</v>
      </c>
      <c r="T110" s="97" t="s">
        <v>1431</v>
      </c>
      <c r="U110" s="97"/>
      <c r="V110" s="97" t="s">
        <v>226</v>
      </c>
      <c r="W110" s="98">
        <v>15376494</v>
      </c>
      <c r="X110" s="98"/>
      <c r="Y110" s="98"/>
      <c r="Z110" s="98"/>
      <c r="AA110" s="98" t="s">
        <v>45</v>
      </c>
      <c r="AB110" s="98" t="s">
        <v>1432</v>
      </c>
      <c r="AC110" s="98" t="s">
        <v>46</v>
      </c>
      <c r="AD110" s="97" t="s">
        <v>47</v>
      </c>
      <c r="AE110" s="97"/>
      <c r="AF110" s="97" t="s">
        <v>49</v>
      </c>
      <c r="AG110" s="97" t="s">
        <v>1433</v>
      </c>
    </row>
    <row r="111" spans="1:33" ht="343.25" customHeight="1">
      <c r="A111" s="97" t="s">
        <v>1434</v>
      </c>
      <c r="B111" s="97" t="s">
        <v>1435</v>
      </c>
      <c r="C111" s="97" t="s">
        <v>1436</v>
      </c>
      <c r="D111">
        <v>2022</v>
      </c>
      <c r="E111" s="97" t="s">
        <v>406</v>
      </c>
      <c r="F111">
        <v>12</v>
      </c>
      <c r="G111">
        <v>2</v>
      </c>
      <c r="H111">
        <v>158</v>
      </c>
      <c r="I111"/>
      <c r="J111"/>
      <c r="K111" s="93"/>
      <c r="L111">
        <v>6</v>
      </c>
      <c r="M111" t="s">
        <v>1437</v>
      </c>
      <c r="N111" s="97" t="s">
        <v>1438</v>
      </c>
      <c r="O111" s="97" t="s">
        <v>1439</v>
      </c>
      <c r="P111" s="97" t="s">
        <v>1440</v>
      </c>
      <c r="Q111" s="97" t="s">
        <v>1441</v>
      </c>
      <c r="R111" s="97" t="s">
        <v>1442</v>
      </c>
      <c r="S111" s="97"/>
      <c r="T111" s="97" t="s">
        <v>1443</v>
      </c>
      <c r="U111" s="97"/>
      <c r="V111" s="97" t="s">
        <v>440</v>
      </c>
      <c r="W111" s="98">
        <v>20755309</v>
      </c>
      <c r="X111" s="98"/>
      <c r="Y111" s="98"/>
      <c r="Z111" s="98"/>
      <c r="AA111" s="98" t="s">
        <v>45</v>
      </c>
      <c r="AB111" s="98" t="s">
        <v>406</v>
      </c>
      <c r="AC111" s="98" t="s">
        <v>46</v>
      </c>
      <c r="AD111" s="97" t="s">
        <v>47</v>
      </c>
      <c r="AE111" s="97" t="s">
        <v>48</v>
      </c>
      <c r="AF111" s="97" t="s">
        <v>49</v>
      </c>
      <c r="AG111" s="97" t="s">
        <v>1444</v>
      </c>
    </row>
    <row r="112" spans="1:33" ht="343.25" customHeight="1">
      <c r="A112" s="97" t="s">
        <v>1445</v>
      </c>
      <c r="B112" s="97" t="s">
        <v>1446</v>
      </c>
      <c r="C112" s="97" t="s">
        <v>1447</v>
      </c>
      <c r="D112">
        <v>2021</v>
      </c>
      <c r="E112" s="97" t="s">
        <v>1448</v>
      </c>
      <c r="F112">
        <v>9</v>
      </c>
      <c r="G112">
        <v>5</v>
      </c>
      <c r="H112"/>
      <c r="I112">
        <v>1395</v>
      </c>
      <c r="J112">
        <v>1408</v>
      </c>
      <c r="K112" s="93">
        <f>scopus[[#This Row],[Page end]]-scopus[[#This Row],[Page start]]</f>
        <v>13</v>
      </c>
      <c r="L112">
        <v>18</v>
      </c>
      <c r="M112" t="s">
        <v>1449</v>
      </c>
      <c r="N112" s="97" t="s">
        <v>1450</v>
      </c>
      <c r="O112" s="97" t="s">
        <v>39</v>
      </c>
      <c r="P112" s="97" t="s">
        <v>1451</v>
      </c>
      <c r="Q112" s="97" t="s">
        <v>1452</v>
      </c>
      <c r="R112" s="97" t="s">
        <v>1453</v>
      </c>
      <c r="S112" s="97"/>
      <c r="T112" s="97"/>
      <c r="U112" s="97"/>
      <c r="V112" s="97" t="s">
        <v>1454</v>
      </c>
      <c r="W112" s="98">
        <v>23321091</v>
      </c>
      <c r="X112" s="98"/>
      <c r="Y112" s="98"/>
      <c r="Z112" s="98"/>
      <c r="AA112" s="98" t="s">
        <v>45</v>
      </c>
      <c r="AB112" s="98" t="s">
        <v>1455</v>
      </c>
      <c r="AC112" s="98" t="s">
        <v>46</v>
      </c>
      <c r="AD112" s="97" t="s">
        <v>47</v>
      </c>
      <c r="AE112" s="97" t="s">
        <v>48</v>
      </c>
      <c r="AF112" s="97" t="s">
        <v>49</v>
      </c>
      <c r="AG112" s="97" t="s">
        <v>1456</v>
      </c>
    </row>
    <row r="113" spans="1:33" ht="343.25" customHeight="1">
      <c r="A113" s="97" t="s">
        <v>1457</v>
      </c>
      <c r="B113" s="97" t="s">
        <v>1458</v>
      </c>
      <c r="C113" s="97" t="s">
        <v>1459</v>
      </c>
      <c r="D113">
        <v>2025</v>
      </c>
      <c r="E113" s="97" t="s">
        <v>1460</v>
      </c>
      <c r="F113">
        <v>15</v>
      </c>
      <c r="G113">
        <v>8</v>
      </c>
      <c r="H113"/>
      <c r="I113">
        <v>3675</v>
      </c>
      <c r="J113">
        <v>3693</v>
      </c>
      <c r="K113" s="93">
        <f>scopus[[#This Row],[Page end]]-scopus[[#This Row],[Page start]]</f>
        <v>18</v>
      </c>
      <c r="L113">
        <v>0</v>
      </c>
      <c r="M113" t="s">
        <v>1461</v>
      </c>
      <c r="N113" s="97" t="s">
        <v>1462</v>
      </c>
      <c r="O113" s="97" t="s">
        <v>1463</v>
      </c>
      <c r="P113" s="97" t="s">
        <v>1464</v>
      </c>
      <c r="Q113" s="97" t="s">
        <v>1465</v>
      </c>
      <c r="R113" s="97" t="s">
        <v>1466</v>
      </c>
      <c r="S113" s="97" t="s">
        <v>1467</v>
      </c>
      <c r="T113" s="97" t="s">
        <v>1468</v>
      </c>
      <c r="U113" s="97"/>
      <c r="V113" s="97" t="s">
        <v>125</v>
      </c>
      <c r="W113" s="98">
        <v>21905452</v>
      </c>
      <c r="X113" s="98"/>
      <c r="Y113" s="98"/>
      <c r="Z113" s="98"/>
      <c r="AA113" s="98" t="s">
        <v>45</v>
      </c>
      <c r="AB113" s="98" t="s">
        <v>1469</v>
      </c>
      <c r="AC113" s="98" t="s">
        <v>46</v>
      </c>
      <c r="AD113" s="97" t="s">
        <v>47</v>
      </c>
      <c r="AE113" s="97"/>
      <c r="AF113" s="97" t="s">
        <v>49</v>
      </c>
      <c r="AG113" s="97" t="s">
        <v>1470</v>
      </c>
    </row>
    <row r="114" spans="1:33" ht="343.25" customHeight="1">
      <c r="A114" s="97" t="s">
        <v>1471</v>
      </c>
      <c r="B114" s="97" t="s">
        <v>1472</v>
      </c>
      <c r="C114" s="97" t="s">
        <v>1473</v>
      </c>
      <c r="D114">
        <v>2017</v>
      </c>
      <c r="E114" s="97" t="s">
        <v>1474</v>
      </c>
      <c r="F114">
        <v>5</v>
      </c>
      <c r="G114">
        <v>6</v>
      </c>
      <c r="H114"/>
      <c r="I114">
        <v>905</v>
      </c>
      <c r="J114">
        <v>916</v>
      </c>
      <c r="K114" s="93">
        <f>scopus[[#This Row],[Page end]]-scopus[[#This Row],[Page start]]</f>
        <v>11</v>
      </c>
      <c r="L114">
        <v>6</v>
      </c>
      <c r="M114" t="s">
        <v>1475</v>
      </c>
      <c r="N114" s="97" t="s">
        <v>1476</v>
      </c>
      <c r="O114" s="97" t="s">
        <v>1477</v>
      </c>
      <c r="P114" s="97" t="s">
        <v>1478</v>
      </c>
      <c r="Q114" s="97" t="s">
        <v>1479</v>
      </c>
      <c r="R114" s="97" t="s">
        <v>1480</v>
      </c>
      <c r="S114" s="97"/>
      <c r="T114" s="97"/>
      <c r="U114" s="97"/>
      <c r="V114" s="97" t="s">
        <v>1481</v>
      </c>
      <c r="W114" s="98">
        <v>20460546</v>
      </c>
      <c r="X114" s="98"/>
      <c r="Y114" s="98"/>
      <c r="Z114" s="98"/>
      <c r="AA114" s="98" t="s">
        <v>45</v>
      </c>
      <c r="AB114" s="98" t="s">
        <v>1482</v>
      </c>
      <c r="AC114" s="98" t="s">
        <v>46</v>
      </c>
      <c r="AD114" s="97" t="s">
        <v>47</v>
      </c>
      <c r="AE114" s="97" t="s">
        <v>80</v>
      </c>
      <c r="AF114" s="97" t="s">
        <v>49</v>
      </c>
      <c r="AG114" s="97" t="s">
        <v>1483</v>
      </c>
    </row>
    <row r="115" spans="1:33" ht="343.25" customHeight="1">
      <c r="A115" s="97" t="s">
        <v>1484</v>
      </c>
      <c r="B115" s="97" t="s">
        <v>1485</v>
      </c>
      <c r="C115" s="97" t="s">
        <v>1486</v>
      </c>
      <c r="D115">
        <v>2025</v>
      </c>
      <c r="E115" s="97" t="s">
        <v>1487</v>
      </c>
      <c r="F115">
        <v>32</v>
      </c>
      <c r="G115">
        <v>3</v>
      </c>
      <c r="H115"/>
      <c r="I115">
        <v>339</v>
      </c>
      <c r="J115">
        <v>357</v>
      </c>
      <c r="K115" s="93">
        <f>scopus[[#This Row],[Page end]]-scopus[[#This Row],[Page start]]</f>
        <v>18</v>
      </c>
      <c r="L115">
        <v>0</v>
      </c>
      <c r="M115" t="s">
        <v>1488</v>
      </c>
      <c r="N115" s="97" t="s">
        <v>1489</v>
      </c>
      <c r="O115" s="97" t="s">
        <v>1490</v>
      </c>
      <c r="P115" s="97" t="s">
        <v>1491</v>
      </c>
      <c r="Q115" s="97" t="s">
        <v>1492</v>
      </c>
      <c r="R115" s="97" t="s">
        <v>1493</v>
      </c>
      <c r="S115" s="97" t="s">
        <v>1494</v>
      </c>
      <c r="T115" s="97" t="s">
        <v>1495</v>
      </c>
      <c r="U115" s="97"/>
      <c r="V115" s="97" t="s">
        <v>1496</v>
      </c>
      <c r="W115" s="98" t="s">
        <v>1497</v>
      </c>
      <c r="X115" s="98"/>
      <c r="Y115" s="98"/>
      <c r="Z115" s="98"/>
      <c r="AA115" s="98" t="s">
        <v>45</v>
      </c>
      <c r="AB115" s="98" t="s">
        <v>1498</v>
      </c>
      <c r="AC115" s="98" t="s">
        <v>46</v>
      </c>
      <c r="AD115" s="97" t="s">
        <v>47</v>
      </c>
      <c r="AE115" s="97" t="s">
        <v>930</v>
      </c>
      <c r="AF115" s="97" t="s">
        <v>49</v>
      </c>
      <c r="AG115" s="97" t="s">
        <v>1499</v>
      </c>
    </row>
    <row r="116" spans="1:33" ht="343.25" customHeight="1">
      <c r="A116" s="97" t="s">
        <v>1500</v>
      </c>
      <c r="B116" s="97" t="s">
        <v>1501</v>
      </c>
      <c r="C116" s="97" t="s">
        <v>1502</v>
      </c>
      <c r="D116">
        <v>2025</v>
      </c>
      <c r="E116" s="97" t="s">
        <v>1503</v>
      </c>
      <c r="F116"/>
      <c r="G116"/>
      <c r="H116"/>
      <c r="I116">
        <v>821</v>
      </c>
      <c r="J116">
        <v>826</v>
      </c>
      <c r="K116" s="93">
        <f>scopus[[#This Row],[Page end]]-scopus[[#This Row],[Page start]]</f>
        <v>5</v>
      </c>
      <c r="L116">
        <v>0</v>
      </c>
      <c r="M116" t="s">
        <v>1504</v>
      </c>
      <c r="N116" s="97" t="s">
        <v>1505</v>
      </c>
      <c r="O116" s="97" t="s">
        <v>1506</v>
      </c>
      <c r="P116" s="97" t="s">
        <v>1507</v>
      </c>
      <c r="Q116" s="97" t="s">
        <v>1508</v>
      </c>
      <c r="R116" s="97"/>
      <c r="S116" s="97" t="s">
        <v>1509</v>
      </c>
      <c r="T116" s="97"/>
      <c r="U116" s="97"/>
      <c r="V116" s="97" t="s">
        <v>1510</v>
      </c>
      <c r="W116" s="98"/>
      <c r="X116" s="98" t="s">
        <v>1511</v>
      </c>
      <c r="Y116" s="98"/>
      <c r="Z116" s="98"/>
      <c r="AA116" s="98" t="s">
        <v>45</v>
      </c>
      <c r="AB116" s="98" t="s">
        <v>1512</v>
      </c>
      <c r="AC116" s="98" t="s">
        <v>212</v>
      </c>
      <c r="AD116" s="97" t="s">
        <v>47</v>
      </c>
      <c r="AE116" s="97"/>
      <c r="AF116" s="97" t="s">
        <v>49</v>
      </c>
      <c r="AG116" s="97" t="s">
        <v>1513</v>
      </c>
    </row>
    <row r="117" spans="1:33" ht="343.25" customHeight="1">
      <c r="A117" s="97" t="s">
        <v>1514</v>
      </c>
      <c r="B117" s="97" t="s">
        <v>1515</v>
      </c>
      <c r="C117" s="97" t="s">
        <v>1516</v>
      </c>
      <c r="D117">
        <v>2025</v>
      </c>
      <c r="E117" s="97" t="s">
        <v>174</v>
      </c>
      <c r="F117"/>
      <c r="G117"/>
      <c r="H117"/>
      <c r="I117">
        <v>1595</v>
      </c>
      <c r="J117">
        <v>1604</v>
      </c>
      <c r="K117" s="93">
        <f>scopus[[#This Row],[Page end]]-scopus[[#This Row],[Page start]]</f>
        <v>9</v>
      </c>
      <c r="L117">
        <v>0</v>
      </c>
      <c r="M117" t="s">
        <v>1517</v>
      </c>
      <c r="N117" s="97" t="s">
        <v>1518</v>
      </c>
      <c r="O117" s="97" t="s">
        <v>1519</v>
      </c>
      <c r="P117" s="97" t="s">
        <v>1520</v>
      </c>
      <c r="Q117" s="97" t="s">
        <v>1521</v>
      </c>
      <c r="R117" s="97" t="s">
        <v>1522</v>
      </c>
      <c r="S117" s="97" t="s">
        <v>1523</v>
      </c>
      <c r="T117" s="97"/>
      <c r="U117" s="97" t="s">
        <v>182</v>
      </c>
      <c r="V117" s="97" t="s">
        <v>94</v>
      </c>
      <c r="W117" s="98"/>
      <c r="X117" s="98" t="s">
        <v>183</v>
      </c>
      <c r="Y117" s="98"/>
      <c r="Z117" s="98"/>
      <c r="AA117" s="98" t="s">
        <v>45</v>
      </c>
      <c r="AB117" s="98" t="s">
        <v>184</v>
      </c>
      <c r="AC117" s="98" t="s">
        <v>97</v>
      </c>
      <c r="AD117" s="97" t="s">
        <v>47</v>
      </c>
      <c r="AE117" s="97"/>
      <c r="AF117" s="97" t="s">
        <v>49</v>
      </c>
      <c r="AG117" s="97" t="s">
        <v>1524</v>
      </c>
    </row>
    <row r="118" spans="1:33" ht="343.25" customHeight="1">
      <c r="A118" s="97" t="s">
        <v>1525</v>
      </c>
      <c r="B118" s="97" t="s">
        <v>1526</v>
      </c>
      <c r="C118" s="97" t="s">
        <v>1527</v>
      </c>
      <c r="D118">
        <v>2016</v>
      </c>
      <c r="E118" s="97" t="s">
        <v>1528</v>
      </c>
      <c r="F118">
        <v>28</v>
      </c>
      <c r="G118">
        <v>1</v>
      </c>
      <c r="H118">
        <v>15016</v>
      </c>
      <c r="I118"/>
      <c r="J118"/>
      <c r="K118" s="93">
        <f>scopus[[#This Row],[Page end]]-scopus[[#This Row],[Page start]]</f>
        <v>0</v>
      </c>
      <c r="L118">
        <v>30</v>
      </c>
      <c r="M118" t="s">
        <v>1529</v>
      </c>
      <c r="N118" s="97" t="s">
        <v>1530</v>
      </c>
      <c r="O118" s="97" t="s">
        <v>1531</v>
      </c>
      <c r="P118" s="97" t="s">
        <v>1532</v>
      </c>
      <c r="Q118" s="97" t="s">
        <v>1533</v>
      </c>
      <c r="R118" s="97"/>
      <c r="S118" s="97" t="s">
        <v>1534</v>
      </c>
      <c r="T118" s="97"/>
      <c r="U118" s="97"/>
      <c r="V118" s="97" t="s">
        <v>1535</v>
      </c>
      <c r="W118" s="98" t="s">
        <v>1536</v>
      </c>
      <c r="X118" s="98"/>
      <c r="Y118" s="98"/>
      <c r="Z118" s="98"/>
      <c r="AA118" s="98" t="s">
        <v>45</v>
      </c>
      <c r="AB118" s="98" t="s">
        <v>1537</v>
      </c>
      <c r="AC118" s="98" t="s">
        <v>97</v>
      </c>
      <c r="AD118" s="97" t="s">
        <v>47</v>
      </c>
      <c r="AE118" s="97" t="s">
        <v>1538</v>
      </c>
      <c r="AF118" s="97" t="s">
        <v>49</v>
      </c>
      <c r="AG118" s="97" t="s">
        <v>1539</v>
      </c>
    </row>
    <row r="119" spans="1:33" ht="343.25" customHeight="1">
      <c r="A119" s="97" t="s">
        <v>1540</v>
      </c>
      <c r="B119" s="97" t="s">
        <v>1541</v>
      </c>
      <c r="C119" s="97" t="s">
        <v>1542</v>
      </c>
      <c r="D119">
        <v>2018</v>
      </c>
      <c r="E119" s="97" t="s">
        <v>232</v>
      </c>
      <c r="F119">
        <v>170</v>
      </c>
      <c r="G119"/>
      <c r="H119"/>
      <c r="I119">
        <v>55</v>
      </c>
      <c r="J119">
        <v>65</v>
      </c>
      <c r="K119" s="93">
        <f>scopus[[#This Row],[Page end]]-scopus[[#This Row],[Page start]]</f>
        <v>10</v>
      </c>
      <c r="L119">
        <v>92</v>
      </c>
      <c r="M119" t="s">
        <v>1543</v>
      </c>
      <c r="N119" s="97" t="s">
        <v>1544</v>
      </c>
      <c r="O119" s="97" t="s">
        <v>1545</v>
      </c>
      <c r="P119" s="97" t="s">
        <v>1546</v>
      </c>
      <c r="Q119" s="97" t="s">
        <v>1547</v>
      </c>
      <c r="R119" s="97" t="s">
        <v>1548</v>
      </c>
      <c r="S119" s="97" t="s">
        <v>1549</v>
      </c>
      <c r="T119" s="97" t="s">
        <v>1550</v>
      </c>
      <c r="U119" s="97"/>
      <c r="V119" s="97" t="s">
        <v>62</v>
      </c>
      <c r="W119" s="98">
        <v>9500618</v>
      </c>
      <c r="X119" s="98"/>
      <c r="Y119" s="98" t="s">
        <v>241</v>
      </c>
      <c r="Z119" s="98"/>
      <c r="AA119" s="98" t="s">
        <v>45</v>
      </c>
      <c r="AB119" s="98" t="s">
        <v>242</v>
      </c>
      <c r="AC119" s="98" t="s">
        <v>46</v>
      </c>
      <c r="AD119" s="97" t="s">
        <v>47</v>
      </c>
      <c r="AE119" s="97"/>
      <c r="AF119" s="97" t="s">
        <v>49</v>
      </c>
      <c r="AG119" s="97" t="s">
        <v>1551</v>
      </c>
    </row>
    <row r="120" spans="1:33" ht="343.25" customHeight="1">
      <c r="A120" s="97" t="s">
        <v>1552</v>
      </c>
      <c r="B120" s="97" t="s">
        <v>1553</v>
      </c>
      <c r="C120" s="97" t="s">
        <v>1554</v>
      </c>
      <c r="D120">
        <v>2022</v>
      </c>
      <c r="E120" s="97" t="s">
        <v>392</v>
      </c>
      <c r="F120">
        <v>9</v>
      </c>
      <c r="G120">
        <v>1</v>
      </c>
      <c r="H120"/>
      <c r="I120">
        <v>1</v>
      </c>
      <c r="J120">
        <v>21</v>
      </c>
      <c r="K120" s="93">
        <f>scopus[[#This Row],[Page end]]-scopus[[#This Row],[Page start]]</f>
        <v>20</v>
      </c>
      <c r="L120">
        <v>6</v>
      </c>
      <c r="M120" t="s">
        <v>1555</v>
      </c>
      <c r="N120" s="97" t="s">
        <v>1556</v>
      </c>
      <c r="O120" s="97" t="s">
        <v>1557</v>
      </c>
      <c r="P120" s="97" t="s">
        <v>1558</v>
      </c>
      <c r="Q120" s="97" t="s">
        <v>1559</v>
      </c>
      <c r="R120" s="97" t="s">
        <v>1560</v>
      </c>
      <c r="S120" s="97"/>
      <c r="T120" s="97"/>
      <c r="U120" s="97" t="s">
        <v>1078</v>
      </c>
      <c r="V120" s="97" t="s">
        <v>400</v>
      </c>
      <c r="W120" s="98" t="s">
        <v>401</v>
      </c>
      <c r="X120" s="98"/>
      <c r="Y120" s="98"/>
      <c r="Z120" s="98"/>
      <c r="AA120" s="98" t="s">
        <v>45</v>
      </c>
      <c r="AB120" s="98" t="s">
        <v>392</v>
      </c>
      <c r="AC120" s="98" t="s">
        <v>97</v>
      </c>
      <c r="AD120" s="97" t="s">
        <v>47</v>
      </c>
      <c r="AE120" s="97"/>
      <c r="AF120" s="97" t="s">
        <v>49</v>
      </c>
      <c r="AG120" s="97" t="s">
        <v>1561</v>
      </c>
    </row>
    <row r="121" spans="1:33" ht="343.25" customHeight="1">
      <c r="A121" s="97" t="s">
        <v>1562</v>
      </c>
      <c r="B121" s="97" t="s">
        <v>1563</v>
      </c>
      <c r="C121" s="97" t="s">
        <v>1564</v>
      </c>
      <c r="D121">
        <v>2025</v>
      </c>
      <c r="E121" s="97" t="s">
        <v>445</v>
      </c>
      <c r="F121">
        <v>330</v>
      </c>
      <c r="G121"/>
      <c r="H121">
        <v>119916</v>
      </c>
      <c r="I121"/>
      <c r="J121"/>
      <c r="K121" s="93"/>
      <c r="L121">
        <v>10</v>
      </c>
      <c r="M121" t="s">
        <v>1565</v>
      </c>
      <c r="N121" s="97" t="s">
        <v>1566</v>
      </c>
      <c r="O121" s="97" t="s">
        <v>1567</v>
      </c>
      <c r="P121" s="97" t="s">
        <v>1568</v>
      </c>
      <c r="Q121" s="97" t="s">
        <v>1569</v>
      </c>
      <c r="R121" s="97" t="s">
        <v>1570</v>
      </c>
      <c r="S121" s="97" t="s">
        <v>1571</v>
      </c>
      <c r="T121" s="97" t="s">
        <v>1572</v>
      </c>
      <c r="U121" s="97"/>
      <c r="V121" s="97" t="s">
        <v>62</v>
      </c>
      <c r="W121" s="98">
        <v>1410296</v>
      </c>
      <c r="X121" s="98"/>
      <c r="Y121" s="98" t="s">
        <v>454</v>
      </c>
      <c r="Z121" s="98"/>
      <c r="AA121" s="98" t="s">
        <v>45</v>
      </c>
      <c r="AB121" s="98" t="s">
        <v>455</v>
      </c>
      <c r="AC121" s="98" t="s">
        <v>46</v>
      </c>
      <c r="AD121" s="97" t="s">
        <v>47</v>
      </c>
      <c r="AE121" s="97" t="s">
        <v>456</v>
      </c>
      <c r="AF121" s="97" t="s">
        <v>49</v>
      </c>
      <c r="AG121" s="97" t="s">
        <v>1573</v>
      </c>
    </row>
    <row r="122" spans="1:33" ht="343.25" customHeight="1">
      <c r="A122" s="97" t="s">
        <v>519</v>
      </c>
      <c r="B122" s="97" t="s">
        <v>520</v>
      </c>
      <c r="C122" s="97" t="s">
        <v>1574</v>
      </c>
      <c r="D122">
        <v>2025</v>
      </c>
      <c r="E122" s="97" t="s">
        <v>445</v>
      </c>
      <c r="F122">
        <v>332</v>
      </c>
      <c r="G122"/>
      <c r="H122">
        <v>120017</v>
      </c>
      <c r="I122"/>
      <c r="J122"/>
      <c r="K122" s="93"/>
      <c r="L122">
        <v>1</v>
      </c>
      <c r="M122" t="s">
        <v>1575</v>
      </c>
      <c r="N122" s="97" t="s">
        <v>1576</v>
      </c>
      <c r="O122" s="97" t="s">
        <v>1577</v>
      </c>
      <c r="P122" s="97" t="s">
        <v>1578</v>
      </c>
      <c r="Q122" s="97" t="s">
        <v>1579</v>
      </c>
      <c r="R122" s="97" t="s">
        <v>1580</v>
      </c>
      <c r="S122" s="97" t="s">
        <v>1581</v>
      </c>
      <c r="T122" s="97" t="s">
        <v>1582</v>
      </c>
      <c r="U122" s="97"/>
      <c r="V122" s="97" t="s">
        <v>62</v>
      </c>
      <c r="W122" s="98">
        <v>1410296</v>
      </c>
      <c r="X122" s="98"/>
      <c r="Y122" s="98" t="s">
        <v>454</v>
      </c>
      <c r="Z122" s="98"/>
      <c r="AA122" s="98" t="s">
        <v>45</v>
      </c>
      <c r="AB122" s="98" t="s">
        <v>455</v>
      </c>
      <c r="AC122" s="98" t="s">
        <v>46</v>
      </c>
      <c r="AD122" s="97" t="s">
        <v>47</v>
      </c>
      <c r="AE122" s="97" t="s">
        <v>456</v>
      </c>
      <c r="AF122" s="97" t="s">
        <v>49</v>
      </c>
      <c r="AG122" s="97" t="s">
        <v>1583</v>
      </c>
    </row>
    <row r="123" spans="1:33" ht="343.25" customHeight="1">
      <c r="A123" s="97" t="s">
        <v>1584</v>
      </c>
      <c r="B123" s="97" t="s">
        <v>1585</v>
      </c>
      <c r="C123" s="97" t="s">
        <v>1586</v>
      </c>
      <c r="D123">
        <v>2021</v>
      </c>
      <c r="E123" s="97" t="s">
        <v>1337</v>
      </c>
      <c r="F123"/>
      <c r="G123"/>
      <c r="H123"/>
      <c r="I123"/>
      <c r="J123"/>
      <c r="K123" s="93"/>
      <c r="L123">
        <v>7</v>
      </c>
      <c r="M123" t="s">
        <v>1587</v>
      </c>
      <c r="N123" s="97" t="s">
        <v>1588</v>
      </c>
      <c r="O123" s="97" t="s">
        <v>1589</v>
      </c>
      <c r="P123" s="97" t="s">
        <v>1590</v>
      </c>
      <c r="Q123" s="97" t="s">
        <v>1591</v>
      </c>
      <c r="R123" s="97"/>
      <c r="S123" s="97" t="s">
        <v>1592</v>
      </c>
      <c r="T123" s="97"/>
      <c r="U123" s="97" t="s">
        <v>1344</v>
      </c>
      <c r="V123" s="97" t="s">
        <v>1241</v>
      </c>
      <c r="W123" s="98"/>
      <c r="X123" s="98" t="s">
        <v>1345</v>
      </c>
      <c r="Y123" s="98"/>
      <c r="Z123" s="98"/>
      <c r="AA123" s="98" t="s">
        <v>45</v>
      </c>
      <c r="AB123" s="98" t="s">
        <v>1346</v>
      </c>
      <c r="AC123" s="98" t="s">
        <v>97</v>
      </c>
      <c r="AD123" s="97" t="s">
        <v>47</v>
      </c>
      <c r="AE123" s="97"/>
      <c r="AF123" s="97" t="s">
        <v>49</v>
      </c>
      <c r="AG123" s="97" t="s">
        <v>1593</v>
      </c>
    </row>
    <row r="124" spans="1:33" ht="343.25" customHeight="1">
      <c r="A124" s="97" t="s">
        <v>1594</v>
      </c>
      <c r="B124" s="97" t="s">
        <v>1595</v>
      </c>
      <c r="C124" s="97" t="s">
        <v>1596</v>
      </c>
      <c r="D124">
        <v>2024</v>
      </c>
      <c r="E124" s="97" t="s">
        <v>1460</v>
      </c>
      <c r="F124">
        <v>14</v>
      </c>
      <c r="G124">
        <v>4</v>
      </c>
      <c r="H124"/>
      <c r="I124">
        <v>909</v>
      </c>
      <c r="J124">
        <v>929</v>
      </c>
      <c r="K124" s="93">
        <f>scopus[[#This Row],[Page end]]-scopus[[#This Row],[Page start]]</f>
        <v>20</v>
      </c>
      <c r="L124">
        <v>5</v>
      </c>
      <c r="M124" t="s">
        <v>1597</v>
      </c>
      <c r="N124" s="97" t="s">
        <v>1598</v>
      </c>
      <c r="O124" s="97" t="s">
        <v>1599</v>
      </c>
      <c r="P124" s="97" t="s">
        <v>1600</v>
      </c>
      <c r="Q124" s="97" t="s">
        <v>1601</v>
      </c>
      <c r="R124" s="97" t="s">
        <v>1602</v>
      </c>
      <c r="S124" s="97" t="s">
        <v>1603</v>
      </c>
      <c r="T124" s="97" t="s">
        <v>1604</v>
      </c>
      <c r="U124" s="97"/>
      <c r="V124" s="97" t="s">
        <v>125</v>
      </c>
      <c r="W124" s="98">
        <v>21905452</v>
      </c>
      <c r="X124" s="98"/>
      <c r="Y124" s="98"/>
      <c r="Z124" s="98"/>
      <c r="AA124" s="98" t="s">
        <v>45</v>
      </c>
      <c r="AB124" s="98" t="s">
        <v>1469</v>
      </c>
      <c r="AC124" s="98" t="s">
        <v>46</v>
      </c>
      <c r="AD124" s="97" t="s">
        <v>47</v>
      </c>
      <c r="AE124" s="97" t="s">
        <v>456</v>
      </c>
      <c r="AF124" s="97" t="s">
        <v>49</v>
      </c>
      <c r="AG124" s="97" t="s">
        <v>1605</v>
      </c>
    </row>
    <row r="125" spans="1:33" ht="343.25" customHeight="1">
      <c r="A125" s="97" t="s">
        <v>1606</v>
      </c>
      <c r="B125" s="97" t="s">
        <v>1607</v>
      </c>
      <c r="C125" s="97" t="s">
        <v>1608</v>
      </c>
      <c r="D125">
        <v>2023</v>
      </c>
      <c r="E125" s="97" t="s">
        <v>1609</v>
      </c>
      <c r="F125">
        <v>3</v>
      </c>
      <c r="G125">
        <v>1</v>
      </c>
      <c r="H125"/>
      <c r="I125">
        <v>11</v>
      </c>
      <c r="J125">
        <v>24</v>
      </c>
      <c r="K125" s="93">
        <f>scopus[[#This Row],[Page end]]-scopus[[#This Row],[Page start]]</f>
        <v>13</v>
      </c>
      <c r="L125">
        <v>13</v>
      </c>
      <c r="M125" t="s">
        <v>1610</v>
      </c>
      <c r="N125" s="97" t="s">
        <v>1611</v>
      </c>
      <c r="O125" s="97" t="s">
        <v>1612</v>
      </c>
      <c r="P125" s="97" t="s">
        <v>1613</v>
      </c>
      <c r="Q125" s="97" t="s">
        <v>1614</v>
      </c>
      <c r="R125" s="97" t="s">
        <v>1615</v>
      </c>
      <c r="S125" s="97"/>
      <c r="T125" s="97" t="s">
        <v>1616</v>
      </c>
      <c r="U125" s="97"/>
      <c r="V125" s="97" t="s">
        <v>1617</v>
      </c>
      <c r="W125" s="98">
        <v>27309886</v>
      </c>
      <c r="X125" s="98"/>
      <c r="Y125" s="98"/>
      <c r="Z125" s="98"/>
      <c r="AA125" s="98" t="s">
        <v>45</v>
      </c>
      <c r="AB125" s="98" t="s">
        <v>1618</v>
      </c>
      <c r="AC125" s="98" t="s">
        <v>46</v>
      </c>
      <c r="AD125" s="97" t="s">
        <v>47</v>
      </c>
      <c r="AE125" s="97" t="s">
        <v>1619</v>
      </c>
      <c r="AF125" s="97" t="s">
        <v>49</v>
      </c>
      <c r="AG125" s="97" t="s">
        <v>1620</v>
      </c>
    </row>
    <row r="126" spans="1:33" ht="343.25" customHeight="1">
      <c r="A126" s="97" t="s">
        <v>1621</v>
      </c>
      <c r="B126" s="97" t="s">
        <v>1622</v>
      </c>
      <c r="C126" s="97" t="s">
        <v>1623</v>
      </c>
      <c r="D126">
        <v>2022</v>
      </c>
      <c r="E126" s="97" t="s">
        <v>1624</v>
      </c>
      <c r="F126"/>
      <c r="G126"/>
      <c r="H126"/>
      <c r="I126"/>
      <c r="J126"/>
      <c r="K126" s="93"/>
      <c r="L126">
        <v>0</v>
      </c>
      <c r="M126"/>
      <c r="N126" s="97" t="s">
        <v>1625</v>
      </c>
      <c r="O126" s="97" t="s">
        <v>1626</v>
      </c>
      <c r="P126" s="97" t="s">
        <v>1627</v>
      </c>
      <c r="Q126" s="97" t="s">
        <v>1628</v>
      </c>
      <c r="R126" s="97"/>
      <c r="S126" s="97" t="s">
        <v>1629</v>
      </c>
      <c r="T126" s="97"/>
      <c r="U126" s="97"/>
      <c r="V126" s="97" t="s">
        <v>1241</v>
      </c>
      <c r="W126" s="98"/>
      <c r="X126" s="98" t="s">
        <v>1630</v>
      </c>
      <c r="Y126" s="98"/>
      <c r="Z126" s="98"/>
      <c r="AA126" s="98" t="s">
        <v>45</v>
      </c>
      <c r="AB126" s="98" t="s">
        <v>1631</v>
      </c>
      <c r="AC126" s="98" t="s">
        <v>97</v>
      </c>
      <c r="AD126" s="97" t="s">
        <v>47</v>
      </c>
      <c r="AE126" s="97"/>
      <c r="AF126" s="97" t="s">
        <v>49</v>
      </c>
      <c r="AG126" s="97" t="s">
        <v>1632</v>
      </c>
    </row>
    <row r="127" spans="1:33" ht="343.25" customHeight="1">
      <c r="A127" s="97" t="s">
        <v>1633</v>
      </c>
      <c r="B127" s="97" t="s">
        <v>1634</v>
      </c>
      <c r="C127" s="97" t="s">
        <v>1635</v>
      </c>
      <c r="D127">
        <v>2024</v>
      </c>
      <c r="E127" s="97" t="s">
        <v>996</v>
      </c>
      <c r="F127">
        <v>65</v>
      </c>
      <c r="G127"/>
      <c r="H127">
        <v>106745</v>
      </c>
      <c r="I127"/>
      <c r="J127"/>
      <c r="K127" s="93"/>
      <c r="L127">
        <v>0</v>
      </c>
      <c r="M127" t="s">
        <v>1636</v>
      </c>
      <c r="N127" s="97" t="s">
        <v>1637</v>
      </c>
      <c r="O127" s="97" t="s">
        <v>1638</v>
      </c>
      <c r="P127" s="97" t="s">
        <v>1639</v>
      </c>
      <c r="Q127" s="97" t="s">
        <v>1640</v>
      </c>
      <c r="R127" s="97" t="s">
        <v>1641</v>
      </c>
      <c r="S127" s="97" t="s">
        <v>1642</v>
      </c>
      <c r="T127" s="97" t="s">
        <v>1643</v>
      </c>
      <c r="U127" s="97"/>
      <c r="V127" s="97" t="s">
        <v>62</v>
      </c>
      <c r="W127" s="98">
        <v>23520124</v>
      </c>
      <c r="X127" s="98"/>
      <c r="Y127" s="98"/>
      <c r="Z127" s="98"/>
      <c r="AA127" s="98" t="s">
        <v>45</v>
      </c>
      <c r="AB127" s="98" t="s">
        <v>996</v>
      </c>
      <c r="AC127" s="98" t="s">
        <v>46</v>
      </c>
      <c r="AD127" s="97" t="s">
        <v>47</v>
      </c>
      <c r="AE127" s="97" t="s">
        <v>456</v>
      </c>
      <c r="AF127" s="97" t="s">
        <v>49</v>
      </c>
      <c r="AG127" s="97" t="s">
        <v>1644</v>
      </c>
    </row>
    <row r="128" spans="1:33" ht="343.25" customHeight="1">
      <c r="A128" s="97" t="s">
        <v>1645</v>
      </c>
      <c r="B128" s="97" t="s">
        <v>1646</v>
      </c>
      <c r="C128" s="97" t="s">
        <v>1647</v>
      </c>
      <c r="D128">
        <v>2024</v>
      </c>
      <c r="E128" s="97" t="s">
        <v>406</v>
      </c>
      <c r="F128">
        <v>14</v>
      </c>
      <c r="G128">
        <v>9</v>
      </c>
      <c r="H128">
        <v>2614</v>
      </c>
      <c r="I128"/>
      <c r="J128"/>
      <c r="K128" s="93"/>
      <c r="L128">
        <v>5</v>
      </c>
      <c r="M128" t="s">
        <v>1648</v>
      </c>
      <c r="N128" s="97" t="s">
        <v>1649</v>
      </c>
      <c r="O128" s="97" t="s">
        <v>1650</v>
      </c>
      <c r="P128" s="97" t="s">
        <v>1651</v>
      </c>
      <c r="Q128" s="97" t="s">
        <v>1652</v>
      </c>
      <c r="R128" s="97" t="s">
        <v>1653</v>
      </c>
      <c r="S128" s="97" t="s">
        <v>1654</v>
      </c>
      <c r="T128" s="97" t="s">
        <v>1655</v>
      </c>
      <c r="U128" s="97"/>
      <c r="V128" s="97" t="s">
        <v>44</v>
      </c>
      <c r="W128" s="98">
        <v>20755309</v>
      </c>
      <c r="X128" s="98"/>
      <c r="Y128" s="98"/>
      <c r="Z128" s="98"/>
      <c r="AA128" s="98" t="s">
        <v>45</v>
      </c>
      <c r="AB128" s="98" t="s">
        <v>406</v>
      </c>
      <c r="AC128" s="98" t="s">
        <v>46</v>
      </c>
      <c r="AD128" s="97" t="s">
        <v>47</v>
      </c>
      <c r="AE128" s="97" t="s">
        <v>48</v>
      </c>
      <c r="AF128" s="97" t="s">
        <v>49</v>
      </c>
      <c r="AG128" s="97" t="s">
        <v>1656</v>
      </c>
    </row>
    <row r="129" spans="1:33" ht="343.25" customHeight="1">
      <c r="A129" s="97" t="s">
        <v>1657</v>
      </c>
      <c r="B129" s="97" t="s">
        <v>1658</v>
      </c>
      <c r="C129" s="97" t="s">
        <v>1659</v>
      </c>
      <c r="D129">
        <v>2022</v>
      </c>
      <c r="E129" s="97" t="s">
        <v>115</v>
      </c>
      <c r="F129">
        <v>244</v>
      </c>
      <c r="G129"/>
      <c r="H129"/>
      <c r="I129">
        <v>433</v>
      </c>
      <c r="J129">
        <v>442</v>
      </c>
      <c r="K129" s="93">
        <f>scopus[[#This Row],[Page end]]-scopus[[#This Row],[Page start]]</f>
        <v>9</v>
      </c>
      <c r="L129">
        <v>0</v>
      </c>
      <c r="M129" t="s">
        <v>1660</v>
      </c>
      <c r="N129" s="97" t="s">
        <v>1661</v>
      </c>
      <c r="O129" s="97" t="s">
        <v>1662</v>
      </c>
      <c r="P129" s="97" t="s">
        <v>1663</v>
      </c>
      <c r="Q129" s="97" t="s">
        <v>1664</v>
      </c>
      <c r="R129" s="97"/>
      <c r="S129" s="97" t="s">
        <v>1665</v>
      </c>
      <c r="T129" s="97" t="s">
        <v>1666</v>
      </c>
      <c r="U129" s="97" t="s">
        <v>1667</v>
      </c>
      <c r="V129" s="97" t="s">
        <v>125</v>
      </c>
      <c r="W129" s="98">
        <v>23662557</v>
      </c>
      <c r="X129" s="98" t="s">
        <v>1668</v>
      </c>
      <c r="Y129" s="98"/>
      <c r="Z129" s="98"/>
      <c r="AA129" s="98" t="s">
        <v>45</v>
      </c>
      <c r="AB129" s="98" t="s">
        <v>127</v>
      </c>
      <c r="AC129" s="98" t="s">
        <v>97</v>
      </c>
      <c r="AD129" s="97" t="s">
        <v>47</v>
      </c>
      <c r="AE129" s="97"/>
      <c r="AF129" s="97" t="s">
        <v>49</v>
      </c>
      <c r="AG129" s="97" t="s">
        <v>1669</v>
      </c>
    </row>
    <row r="130" spans="1:33" ht="343.25" customHeight="1">
      <c r="A130" s="97" t="s">
        <v>1670</v>
      </c>
      <c r="B130" s="97" t="s">
        <v>1671</v>
      </c>
      <c r="C130" s="97" t="s">
        <v>1672</v>
      </c>
      <c r="D130">
        <v>2023</v>
      </c>
      <c r="E130" s="97" t="s">
        <v>1673</v>
      </c>
      <c r="F130">
        <v>14</v>
      </c>
      <c r="G130"/>
      <c r="H130">
        <v>100635</v>
      </c>
      <c r="I130"/>
      <c r="J130"/>
      <c r="K130" s="93"/>
      <c r="L130">
        <v>10</v>
      </c>
      <c r="M130" t="s">
        <v>1674</v>
      </c>
      <c r="N130" s="97" t="s">
        <v>1675</v>
      </c>
      <c r="O130" s="97" t="s">
        <v>1676</v>
      </c>
      <c r="P130" s="97" t="s">
        <v>1677</v>
      </c>
      <c r="Q130" s="97" t="s">
        <v>1678</v>
      </c>
      <c r="R130" s="97" t="s">
        <v>1679</v>
      </c>
      <c r="S130" s="97"/>
      <c r="T130" s="97" t="s">
        <v>1680</v>
      </c>
      <c r="U130" s="97"/>
      <c r="V130" s="97" t="s">
        <v>62</v>
      </c>
      <c r="W130" s="98">
        <v>26667908</v>
      </c>
      <c r="X130" s="98"/>
      <c r="Y130" s="98"/>
      <c r="Z130" s="98"/>
      <c r="AA130" s="98" t="s">
        <v>45</v>
      </c>
      <c r="AB130" s="98" t="s">
        <v>1681</v>
      </c>
      <c r="AC130" s="98" t="s">
        <v>46</v>
      </c>
      <c r="AD130" s="97" t="s">
        <v>47</v>
      </c>
      <c r="AE130" s="97" t="s">
        <v>48</v>
      </c>
      <c r="AF130" s="97" t="s">
        <v>49</v>
      </c>
      <c r="AG130" s="97" t="s">
        <v>1682</v>
      </c>
    </row>
    <row r="131" spans="1:33" ht="343.25" customHeight="1">
      <c r="A131" s="97" t="s">
        <v>1683</v>
      </c>
      <c r="B131" s="97" t="s">
        <v>1684</v>
      </c>
      <c r="C131" s="97" t="s">
        <v>1685</v>
      </c>
      <c r="D131">
        <v>2018</v>
      </c>
      <c r="E131" s="97" t="s">
        <v>1686</v>
      </c>
      <c r="F131"/>
      <c r="G131"/>
      <c r="H131"/>
      <c r="I131">
        <v>665</v>
      </c>
      <c r="J131">
        <v>676</v>
      </c>
      <c r="K131" s="93">
        <f>scopus[[#This Row],[Page end]]-scopus[[#This Row],[Page start]]</f>
        <v>11</v>
      </c>
      <c r="L131">
        <v>1</v>
      </c>
      <c r="M131"/>
      <c r="N131" s="97" t="s">
        <v>1687</v>
      </c>
      <c r="O131" s="97" t="s">
        <v>1688</v>
      </c>
      <c r="P131" s="97" t="s">
        <v>1689</v>
      </c>
      <c r="Q131" s="97" t="s">
        <v>1690</v>
      </c>
      <c r="R131" s="97"/>
      <c r="S131" s="97" t="s">
        <v>1691</v>
      </c>
      <c r="T131" s="97" t="s">
        <v>1692</v>
      </c>
      <c r="U131" s="97" t="s">
        <v>1693</v>
      </c>
      <c r="V131" s="97" t="s">
        <v>312</v>
      </c>
      <c r="W131" s="98"/>
      <c r="X131" s="98" t="s">
        <v>1694</v>
      </c>
      <c r="Y131" s="98"/>
      <c r="Z131" s="98"/>
      <c r="AA131" s="98" t="s">
        <v>45</v>
      </c>
      <c r="AB131" s="98" t="s">
        <v>1695</v>
      </c>
      <c r="AC131" s="98" t="s">
        <v>97</v>
      </c>
      <c r="AD131" s="97" t="s">
        <v>47</v>
      </c>
      <c r="AE131" s="97"/>
      <c r="AF131" s="97" t="s">
        <v>49</v>
      </c>
      <c r="AG131" s="97" t="s">
        <v>1696</v>
      </c>
    </row>
    <row r="132" spans="1:33" ht="343.25" customHeight="1">
      <c r="A132" s="97" t="s">
        <v>1697</v>
      </c>
      <c r="B132" s="97" t="s">
        <v>1698</v>
      </c>
      <c r="C132" s="97" t="s">
        <v>1699</v>
      </c>
      <c r="D132">
        <v>2024</v>
      </c>
      <c r="E132" s="97" t="s">
        <v>204</v>
      </c>
      <c r="F132">
        <v>2024</v>
      </c>
      <c r="G132"/>
      <c r="H132"/>
      <c r="I132"/>
      <c r="J132"/>
      <c r="K132" s="93"/>
      <c r="L132">
        <v>1</v>
      </c>
      <c r="M132"/>
      <c r="N132" s="97" t="s">
        <v>1700</v>
      </c>
      <c r="O132" s="97" t="s">
        <v>1701</v>
      </c>
      <c r="P132" s="97" t="s">
        <v>1702</v>
      </c>
      <c r="Q132" s="97" t="s">
        <v>1703</v>
      </c>
      <c r="R132" s="97"/>
      <c r="S132" s="97" t="s">
        <v>1704</v>
      </c>
      <c r="T132" s="97"/>
      <c r="U132" s="97"/>
      <c r="V132" s="97" t="s">
        <v>210</v>
      </c>
      <c r="W132" s="98">
        <v>30065933</v>
      </c>
      <c r="X132" s="98"/>
      <c r="Y132" s="98"/>
      <c r="Z132" s="98"/>
      <c r="AA132" s="98" t="s">
        <v>45</v>
      </c>
      <c r="AB132" s="98" t="s">
        <v>211</v>
      </c>
      <c r="AC132" s="98" t="s">
        <v>212</v>
      </c>
      <c r="AD132" s="97" t="s">
        <v>47</v>
      </c>
      <c r="AE132" s="97"/>
      <c r="AF132" s="97" t="s">
        <v>49</v>
      </c>
      <c r="AG132" s="97" t="s">
        <v>1705</v>
      </c>
    </row>
    <row r="133" spans="1:33" ht="343.25" customHeight="1">
      <c r="A133" s="97" t="s">
        <v>1706</v>
      </c>
      <c r="B133" s="97" t="s">
        <v>1707</v>
      </c>
      <c r="C133" s="97" t="s">
        <v>1708</v>
      </c>
      <c r="D133">
        <v>2019</v>
      </c>
      <c r="E133" s="97" t="s">
        <v>1709</v>
      </c>
      <c r="F133"/>
      <c r="G133"/>
      <c r="H133"/>
      <c r="I133">
        <v>122</v>
      </c>
      <c r="J133">
        <v>130</v>
      </c>
      <c r="K133" s="93">
        <f>scopus[[#This Row],[Page end]]-scopus[[#This Row],[Page start]]</f>
        <v>8</v>
      </c>
      <c r="L133">
        <v>0</v>
      </c>
      <c r="M133"/>
      <c r="N133" s="97" t="s">
        <v>1710</v>
      </c>
      <c r="O133" s="97" t="s">
        <v>1711</v>
      </c>
      <c r="P133" s="97" t="s">
        <v>1712</v>
      </c>
      <c r="Q133" s="97" t="s">
        <v>1713</v>
      </c>
      <c r="R133" s="97"/>
      <c r="S133" s="97" t="s">
        <v>1714</v>
      </c>
      <c r="T133" s="97"/>
      <c r="U133" s="97"/>
      <c r="V133" s="97" t="s">
        <v>1715</v>
      </c>
      <c r="W133" s="98"/>
      <c r="X133" s="98" t="s">
        <v>1716</v>
      </c>
      <c r="Y133" s="98"/>
      <c r="Z133" s="98"/>
      <c r="AA133" s="98" t="s">
        <v>45</v>
      </c>
      <c r="AB133" s="98" t="s">
        <v>1717</v>
      </c>
      <c r="AC133" s="98" t="s">
        <v>97</v>
      </c>
      <c r="AD133" s="97" t="s">
        <v>47</v>
      </c>
      <c r="AE133" s="97"/>
      <c r="AF133" s="97" t="s">
        <v>49</v>
      </c>
      <c r="AG133" s="97" t="s">
        <v>1718</v>
      </c>
    </row>
    <row r="134" spans="1:33" ht="343.25" customHeight="1">
      <c r="A134" s="97" t="s">
        <v>1719</v>
      </c>
      <c r="B134" s="97" t="s">
        <v>1720</v>
      </c>
      <c r="C134" s="97" t="s">
        <v>1721</v>
      </c>
      <c r="D134">
        <v>2025</v>
      </c>
      <c r="E134" s="97" t="s">
        <v>174</v>
      </c>
      <c r="F134"/>
      <c r="G134"/>
      <c r="H134"/>
      <c r="I134">
        <v>374</v>
      </c>
      <c r="J134">
        <v>382</v>
      </c>
      <c r="K134" s="93">
        <f>scopus[[#This Row],[Page end]]-scopus[[#This Row],[Page start]]</f>
        <v>8</v>
      </c>
      <c r="L134">
        <v>0</v>
      </c>
      <c r="M134" t="s">
        <v>1722</v>
      </c>
      <c r="N134" s="97" t="s">
        <v>1723</v>
      </c>
      <c r="O134" s="97" t="s">
        <v>1724</v>
      </c>
      <c r="P134" s="97" t="s">
        <v>1725</v>
      </c>
      <c r="Q134" s="97" t="s">
        <v>1726</v>
      </c>
      <c r="R134" s="97" t="s">
        <v>1727</v>
      </c>
      <c r="S134" s="97" t="s">
        <v>1728</v>
      </c>
      <c r="T134" s="97"/>
      <c r="U134" s="97" t="s">
        <v>182</v>
      </c>
      <c r="V134" s="97" t="s">
        <v>94</v>
      </c>
      <c r="W134" s="98"/>
      <c r="X134" s="98" t="s">
        <v>183</v>
      </c>
      <c r="Y134" s="98"/>
      <c r="Z134" s="98"/>
      <c r="AA134" s="98" t="s">
        <v>45</v>
      </c>
      <c r="AB134" s="98" t="s">
        <v>184</v>
      </c>
      <c r="AC134" s="98" t="s">
        <v>97</v>
      </c>
      <c r="AD134" s="97" t="s">
        <v>47</v>
      </c>
      <c r="AE134" s="97"/>
      <c r="AF134" s="97" t="s">
        <v>49</v>
      </c>
      <c r="AG134" s="97" t="s">
        <v>1729</v>
      </c>
    </row>
    <row r="135" spans="1:33" ht="343.25" customHeight="1">
      <c r="A135" s="97" t="s">
        <v>1730</v>
      </c>
      <c r="B135" s="97" t="s">
        <v>1731</v>
      </c>
      <c r="C135" s="97" t="s">
        <v>1732</v>
      </c>
      <c r="D135">
        <v>2024</v>
      </c>
      <c r="E135" s="97" t="s">
        <v>996</v>
      </c>
      <c r="F135">
        <v>67</v>
      </c>
      <c r="G135"/>
      <c r="H135">
        <v>106980</v>
      </c>
      <c r="I135"/>
      <c r="J135"/>
      <c r="K135" s="93"/>
      <c r="L135">
        <v>1</v>
      </c>
      <c r="M135" t="s">
        <v>1733</v>
      </c>
      <c r="N135" s="97" t="s">
        <v>1734</v>
      </c>
      <c r="O135" s="97" t="s">
        <v>1735</v>
      </c>
      <c r="P135" s="97" t="s">
        <v>1736</v>
      </c>
      <c r="Q135" s="97" t="s">
        <v>1737</v>
      </c>
      <c r="R135" s="97" t="s">
        <v>1738</v>
      </c>
      <c r="S135" s="97" t="s">
        <v>1739</v>
      </c>
      <c r="T135" s="97"/>
      <c r="U135" s="97"/>
      <c r="V135" s="97" t="s">
        <v>62</v>
      </c>
      <c r="W135" s="98">
        <v>23520124</v>
      </c>
      <c r="X135" s="98"/>
      <c r="Y135" s="98"/>
      <c r="Z135" s="98"/>
      <c r="AA135" s="98" t="s">
        <v>45</v>
      </c>
      <c r="AB135" s="98" t="s">
        <v>996</v>
      </c>
      <c r="AC135" s="98" t="s">
        <v>46</v>
      </c>
      <c r="AD135" s="97" t="s">
        <v>47</v>
      </c>
      <c r="AE135" s="97" t="s">
        <v>930</v>
      </c>
      <c r="AF135" s="97" t="s">
        <v>49</v>
      </c>
      <c r="AG135" s="97" t="s">
        <v>1740</v>
      </c>
    </row>
    <row r="136" spans="1:33" ht="343.25" customHeight="1">
      <c r="A136" s="97" t="s">
        <v>1741</v>
      </c>
      <c r="B136" s="97" t="s">
        <v>1742</v>
      </c>
      <c r="C136" s="97" t="s">
        <v>1743</v>
      </c>
      <c r="D136">
        <v>2023</v>
      </c>
      <c r="E136" s="97" t="s">
        <v>996</v>
      </c>
      <c r="F136">
        <v>56</v>
      </c>
      <c r="G136"/>
      <c r="H136">
        <v>104892</v>
      </c>
      <c r="I136"/>
      <c r="J136"/>
      <c r="K136" s="93"/>
      <c r="L136">
        <v>3</v>
      </c>
      <c r="M136" t="s">
        <v>1744</v>
      </c>
      <c r="N136" s="97" t="s">
        <v>1745</v>
      </c>
      <c r="O136" s="97" t="s">
        <v>1746</v>
      </c>
      <c r="P136" s="97" t="s">
        <v>1747</v>
      </c>
      <c r="Q136" s="97" t="s">
        <v>1748</v>
      </c>
      <c r="R136" s="97" t="s">
        <v>1749</v>
      </c>
      <c r="S136" s="97" t="s">
        <v>1750</v>
      </c>
      <c r="T136" s="97" t="s">
        <v>1751</v>
      </c>
      <c r="U136" s="97"/>
      <c r="V136" s="97" t="s">
        <v>62</v>
      </c>
      <c r="W136" s="98">
        <v>23520124</v>
      </c>
      <c r="X136" s="98"/>
      <c r="Y136" s="98"/>
      <c r="Z136" s="98"/>
      <c r="AA136" s="98" t="s">
        <v>45</v>
      </c>
      <c r="AB136" s="98" t="s">
        <v>996</v>
      </c>
      <c r="AC136" s="98" t="s">
        <v>46</v>
      </c>
      <c r="AD136" s="97" t="s">
        <v>47</v>
      </c>
      <c r="AE136" s="97"/>
      <c r="AF136" s="97" t="s">
        <v>49</v>
      </c>
      <c r="AG136" s="97" t="s">
        <v>1752</v>
      </c>
    </row>
    <row r="137" spans="1:33" ht="343.25" customHeight="1">
      <c r="A137" s="97" t="s">
        <v>1753</v>
      </c>
      <c r="B137" s="97" t="s">
        <v>1754</v>
      </c>
      <c r="C137" s="97" t="s">
        <v>1755</v>
      </c>
      <c r="D137">
        <v>2023</v>
      </c>
      <c r="E137" s="97" t="s">
        <v>1756</v>
      </c>
      <c r="F137"/>
      <c r="G137"/>
      <c r="H137"/>
      <c r="I137">
        <v>274</v>
      </c>
      <c r="J137">
        <v>283</v>
      </c>
      <c r="K137" s="93">
        <f>scopus[[#This Row],[Page end]]-scopus[[#This Row],[Page start]]</f>
        <v>9</v>
      </c>
      <c r="L137">
        <v>4</v>
      </c>
      <c r="M137" t="s">
        <v>1757</v>
      </c>
      <c r="N137" s="97" t="s">
        <v>1758</v>
      </c>
      <c r="O137" s="97" t="s">
        <v>1759</v>
      </c>
      <c r="P137" s="97" t="s">
        <v>1760</v>
      </c>
      <c r="Q137" s="97" t="s">
        <v>1761</v>
      </c>
      <c r="R137" s="97"/>
      <c r="S137" s="97" t="s">
        <v>1762</v>
      </c>
      <c r="T137" s="97"/>
      <c r="U137" s="97" t="s">
        <v>490</v>
      </c>
      <c r="V137" s="97" t="s">
        <v>298</v>
      </c>
      <c r="W137" s="98"/>
      <c r="X137" s="98" t="s">
        <v>1763</v>
      </c>
      <c r="Y137" s="98"/>
      <c r="Z137" s="98"/>
      <c r="AA137" s="98" t="s">
        <v>45</v>
      </c>
      <c r="AB137" s="98" t="s">
        <v>492</v>
      </c>
      <c r="AC137" s="98" t="s">
        <v>97</v>
      </c>
      <c r="AD137" s="97" t="s">
        <v>47</v>
      </c>
      <c r="AE137" s="97"/>
      <c r="AF137" s="97" t="s">
        <v>49</v>
      </c>
      <c r="AG137" s="97" t="s">
        <v>1764</v>
      </c>
    </row>
    <row r="138" spans="1:33" ht="343.25" customHeight="1">
      <c r="A138" s="97" t="s">
        <v>1765</v>
      </c>
      <c r="B138" s="97" t="s">
        <v>1766</v>
      </c>
      <c r="C138" s="97" t="s">
        <v>1767</v>
      </c>
      <c r="D138">
        <v>2020</v>
      </c>
      <c r="E138" s="97" t="s">
        <v>1768</v>
      </c>
      <c r="F138">
        <v>44</v>
      </c>
      <c r="G138">
        <v>3</v>
      </c>
      <c r="H138"/>
      <c r="I138">
        <v>301</v>
      </c>
      <c r="J138">
        <v>310</v>
      </c>
      <c r="K138" s="93">
        <f>scopus[[#This Row],[Page end]]-scopus[[#This Row],[Page start]]</f>
        <v>9</v>
      </c>
      <c r="L138">
        <v>21</v>
      </c>
      <c r="M138" t="s">
        <v>1769</v>
      </c>
      <c r="N138" s="97" t="s">
        <v>1770</v>
      </c>
      <c r="O138" s="97" t="s">
        <v>1771</v>
      </c>
      <c r="P138" s="97" t="s">
        <v>1772</v>
      </c>
      <c r="Q138" s="97" t="s">
        <v>1773</v>
      </c>
      <c r="R138" s="97" t="s">
        <v>1774</v>
      </c>
      <c r="S138" s="97" t="s">
        <v>1775</v>
      </c>
      <c r="T138" s="97" t="s">
        <v>1776</v>
      </c>
      <c r="U138" s="97"/>
      <c r="V138" s="97" t="s">
        <v>1777</v>
      </c>
      <c r="W138" s="98">
        <v>3080501</v>
      </c>
      <c r="X138" s="98"/>
      <c r="Y138" s="98" t="s">
        <v>1778</v>
      </c>
      <c r="Z138" s="98"/>
      <c r="AA138" s="98" t="s">
        <v>45</v>
      </c>
      <c r="AB138" s="98" t="s">
        <v>1779</v>
      </c>
      <c r="AC138" s="98" t="s">
        <v>46</v>
      </c>
      <c r="AD138" s="97" t="s">
        <v>47</v>
      </c>
      <c r="AE138" s="97" t="s">
        <v>543</v>
      </c>
      <c r="AF138" s="97" t="s">
        <v>49</v>
      </c>
      <c r="AG138" s="97" t="s">
        <v>1780</v>
      </c>
    </row>
    <row r="139" spans="1:33" ht="343.25" customHeight="1">
      <c r="A139" s="97" t="s">
        <v>1781</v>
      </c>
      <c r="B139" s="97" t="s">
        <v>1782</v>
      </c>
      <c r="C139" s="97" t="s">
        <v>1783</v>
      </c>
      <c r="D139">
        <v>2023</v>
      </c>
      <c r="E139" s="97" t="s">
        <v>85</v>
      </c>
      <c r="F139">
        <v>6</v>
      </c>
      <c r="G139"/>
      <c r="H139"/>
      <c r="I139">
        <v>3373</v>
      </c>
      <c r="J139">
        <v>3381</v>
      </c>
      <c r="K139" s="93">
        <f>scopus[[#This Row],[Page end]]-scopus[[#This Row],[Page start]]</f>
        <v>8</v>
      </c>
      <c r="L139">
        <v>3</v>
      </c>
      <c r="M139" t="s">
        <v>1784</v>
      </c>
      <c r="N139" s="97" t="s">
        <v>1785</v>
      </c>
      <c r="O139" s="97" t="s">
        <v>1786</v>
      </c>
      <c r="P139" s="97" t="s">
        <v>1787</v>
      </c>
      <c r="Q139" s="97" t="s">
        <v>1788</v>
      </c>
      <c r="R139" s="97" t="s">
        <v>1789</v>
      </c>
      <c r="S139" s="97" t="s">
        <v>1790</v>
      </c>
      <c r="T139" s="97"/>
      <c r="U139" s="97" t="s">
        <v>93</v>
      </c>
      <c r="V139" s="97" t="s">
        <v>94</v>
      </c>
      <c r="W139" s="98"/>
      <c r="X139" s="98" t="s">
        <v>95</v>
      </c>
      <c r="Y139" s="98"/>
      <c r="Z139" s="98"/>
      <c r="AA139" s="98" t="s">
        <v>45</v>
      </c>
      <c r="AB139" s="98" t="s">
        <v>96</v>
      </c>
      <c r="AC139" s="98" t="s">
        <v>97</v>
      </c>
      <c r="AD139" s="97" t="s">
        <v>47</v>
      </c>
      <c r="AE139" s="97" t="s">
        <v>80</v>
      </c>
      <c r="AF139" s="97" t="s">
        <v>49</v>
      </c>
      <c r="AG139" s="97" t="s">
        <v>1791</v>
      </c>
    </row>
    <row r="140" spans="1:33" ht="343.25" customHeight="1">
      <c r="A140" s="97" t="s">
        <v>1792</v>
      </c>
      <c r="B140" s="97" t="s">
        <v>1793</v>
      </c>
      <c r="C140" s="97" t="s">
        <v>1794</v>
      </c>
      <c r="D140">
        <v>2020</v>
      </c>
      <c r="E140" s="97" t="s">
        <v>1795</v>
      </c>
      <c r="F140"/>
      <c r="G140"/>
      <c r="H140"/>
      <c r="I140"/>
      <c r="J140"/>
      <c r="K140" s="93"/>
      <c r="L140">
        <v>0</v>
      </c>
      <c r="M140"/>
      <c r="N140" s="97" t="s">
        <v>1796</v>
      </c>
      <c r="O140" s="97" t="s">
        <v>1797</v>
      </c>
      <c r="P140" s="97" t="s">
        <v>1798</v>
      </c>
      <c r="Q140" s="97" t="s">
        <v>1799</v>
      </c>
      <c r="R140" s="97"/>
      <c r="S140" s="97" t="s">
        <v>1800</v>
      </c>
      <c r="T140" s="97"/>
      <c r="U140" s="97" t="s">
        <v>1801</v>
      </c>
      <c r="V140" s="97" t="s">
        <v>1802</v>
      </c>
      <c r="W140" s="98"/>
      <c r="X140" s="98" t="s">
        <v>1803</v>
      </c>
      <c r="Y140" s="98"/>
      <c r="Z140" s="98"/>
      <c r="AA140" s="98" t="s">
        <v>45</v>
      </c>
      <c r="AB140" s="98" t="s">
        <v>1804</v>
      </c>
      <c r="AC140" s="98" t="s">
        <v>97</v>
      </c>
      <c r="AD140" s="97" t="s">
        <v>47</v>
      </c>
      <c r="AE140" s="97"/>
      <c r="AF140" s="97" t="s">
        <v>49</v>
      </c>
      <c r="AG140" s="97" t="s">
        <v>1805</v>
      </c>
    </row>
    <row r="141" spans="1:33" ht="343.25" customHeight="1">
      <c r="A141" s="97" t="s">
        <v>1806</v>
      </c>
      <c r="B141" s="97" t="s">
        <v>1807</v>
      </c>
      <c r="C141" s="97" t="s">
        <v>1808</v>
      </c>
      <c r="D141">
        <v>2025</v>
      </c>
      <c r="E141" s="97" t="s">
        <v>1809</v>
      </c>
      <c r="F141"/>
      <c r="G141"/>
      <c r="H141"/>
      <c r="I141">
        <v>741</v>
      </c>
      <c r="J141">
        <v>749</v>
      </c>
      <c r="K141" s="93">
        <f>scopus[[#This Row],[Page end]]-scopus[[#This Row],[Page start]]</f>
        <v>8</v>
      </c>
      <c r="L141">
        <v>0</v>
      </c>
      <c r="M141"/>
      <c r="N141" s="97" t="s">
        <v>1810</v>
      </c>
      <c r="O141" s="97" t="s">
        <v>1811</v>
      </c>
      <c r="P141" s="97" t="s">
        <v>1812</v>
      </c>
      <c r="Q141" s="97" t="s">
        <v>1813</v>
      </c>
      <c r="R141" s="97" t="s">
        <v>1814</v>
      </c>
      <c r="S141" s="97"/>
      <c r="T141" s="97"/>
      <c r="U141" s="97"/>
      <c r="V141" s="97" t="s">
        <v>1815</v>
      </c>
      <c r="W141" s="98">
        <v>26955067</v>
      </c>
      <c r="X141" s="98"/>
      <c r="Y141" s="98"/>
      <c r="Z141" s="98"/>
      <c r="AA141" s="98" t="s">
        <v>45</v>
      </c>
      <c r="AB141" s="98" t="s">
        <v>1816</v>
      </c>
      <c r="AC141" s="98" t="s">
        <v>97</v>
      </c>
      <c r="AD141" s="97" t="s">
        <v>47</v>
      </c>
      <c r="AE141" s="97"/>
      <c r="AF141" s="97" t="s">
        <v>49</v>
      </c>
      <c r="AG141" s="97" t="s">
        <v>1817</v>
      </c>
    </row>
    <row r="142" spans="1:33" ht="343.25" customHeight="1">
      <c r="A142" s="97" t="s">
        <v>1818</v>
      </c>
      <c r="B142" s="97" t="s">
        <v>1819</v>
      </c>
      <c r="C142" s="97" t="s">
        <v>1820</v>
      </c>
      <c r="D142">
        <v>2021</v>
      </c>
      <c r="E142" s="97" t="s">
        <v>976</v>
      </c>
      <c r="F142"/>
      <c r="G142"/>
      <c r="H142"/>
      <c r="I142"/>
      <c r="J142"/>
      <c r="K142" s="93"/>
      <c r="L142">
        <v>1</v>
      </c>
      <c r="M142"/>
      <c r="N142" s="97" t="s">
        <v>1821</v>
      </c>
      <c r="O142" s="97" t="s">
        <v>1822</v>
      </c>
      <c r="P142" s="97" t="s">
        <v>1823</v>
      </c>
      <c r="Q142" s="97" t="s">
        <v>1824</v>
      </c>
      <c r="R142" s="97" t="s">
        <v>1825</v>
      </c>
      <c r="S142" s="97" t="s">
        <v>1826</v>
      </c>
      <c r="T142" s="97" t="s">
        <v>1827</v>
      </c>
      <c r="U142" s="97"/>
      <c r="V142" s="97" t="s">
        <v>94</v>
      </c>
      <c r="W142" s="98"/>
      <c r="X142" s="98"/>
      <c r="Y142" s="98"/>
      <c r="Z142" s="98"/>
      <c r="AA142" s="98" t="s">
        <v>45</v>
      </c>
      <c r="AB142" s="98" t="s">
        <v>96</v>
      </c>
      <c r="AC142" s="98" t="s">
        <v>97</v>
      </c>
      <c r="AD142" s="97" t="s">
        <v>47</v>
      </c>
      <c r="AE142" s="97"/>
      <c r="AF142" s="97" t="s">
        <v>49</v>
      </c>
      <c r="AG142" s="97" t="s">
        <v>1828</v>
      </c>
    </row>
    <row r="143" spans="1:33" ht="343.25" customHeight="1">
      <c r="A143" s="97" t="s">
        <v>1829</v>
      </c>
      <c r="B143" s="97" t="s">
        <v>1830</v>
      </c>
      <c r="C143" s="97" t="s">
        <v>1831</v>
      </c>
      <c r="D143">
        <v>2023</v>
      </c>
      <c r="E143" s="97" t="s">
        <v>1832</v>
      </c>
      <c r="F143"/>
      <c r="G143"/>
      <c r="H143"/>
      <c r="I143"/>
      <c r="J143"/>
      <c r="K143" s="93"/>
      <c r="L143">
        <v>0</v>
      </c>
      <c r="M143"/>
      <c r="N143" s="97" t="s">
        <v>1833</v>
      </c>
      <c r="O143" s="97" t="s">
        <v>1834</v>
      </c>
      <c r="P143" s="97" t="s">
        <v>1835</v>
      </c>
      <c r="Q143" s="97" t="s">
        <v>1836</v>
      </c>
      <c r="R143" s="97" t="s">
        <v>1837</v>
      </c>
      <c r="S143" s="97" t="s">
        <v>1838</v>
      </c>
      <c r="T143" s="97" t="s">
        <v>1839</v>
      </c>
      <c r="U143" s="97"/>
      <c r="V143" s="97" t="s">
        <v>1840</v>
      </c>
      <c r="W143" s="98">
        <v>22213767</v>
      </c>
      <c r="X143" s="98" t="s">
        <v>1841</v>
      </c>
      <c r="Y143" s="98"/>
      <c r="Z143" s="98"/>
      <c r="AA143" s="98" t="s">
        <v>45</v>
      </c>
      <c r="AB143" s="98" t="s">
        <v>1842</v>
      </c>
      <c r="AC143" s="98" t="s">
        <v>97</v>
      </c>
      <c r="AD143" s="97" t="s">
        <v>47</v>
      </c>
      <c r="AE143" s="97"/>
      <c r="AF143" s="97" t="s">
        <v>49</v>
      </c>
      <c r="AG143" s="97" t="s">
        <v>1843</v>
      </c>
    </row>
    <row r="144" spans="1:33" ht="343.25" customHeight="1">
      <c r="A144" s="97" t="s">
        <v>1844</v>
      </c>
      <c r="B144" s="97" t="s">
        <v>1845</v>
      </c>
      <c r="C144" s="97" t="s">
        <v>1846</v>
      </c>
      <c r="D144">
        <v>2021</v>
      </c>
      <c r="E144" s="97" t="s">
        <v>976</v>
      </c>
      <c r="F144"/>
      <c r="G144"/>
      <c r="H144"/>
      <c r="I144"/>
      <c r="J144"/>
      <c r="K144" s="93"/>
      <c r="L144">
        <v>0</v>
      </c>
      <c r="M144"/>
      <c r="N144" s="97" t="s">
        <v>1847</v>
      </c>
      <c r="O144" s="97" t="s">
        <v>1848</v>
      </c>
      <c r="P144" s="97" t="s">
        <v>1849</v>
      </c>
      <c r="Q144" s="97" t="s">
        <v>1850</v>
      </c>
      <c r="R144" s="97" t="s">
        <v>1851</v>
      </c>
      <c r="S144" s="97" t="s">
        <v>1852</v>
      </c>
      <c r="T144" s="97"/>
      <c r="U144" s="97"/>
      <c r="V144" s="97" t="s">
        <v>94</v>
      </c>
      <c r="W144" s="98"/>
      <c r="X144" s="98"/>
      <c r="Y144" s="98"/>
      <c r="Z144" s="98"/>
      <c r="AA144" s="98" t="s">
        <v>45</v>
      </c>
      <c r="AB144" s="98" t="s">
        <v>96</v>
      </c>
      <c r="AC144" s="98" t="s">
        <v>97</v>
      </c>
      <c r="AD144" s="97" t="s">
        <v>47</v>
      </c>
      <c r="AE144" s="97"/>
      <c r="AF144" s="97" t="s">
        <v>49</v>
      </c>
      <c r="AG144" s="97" t="s">
        <v>1853</v>
      </c>
    </row>
    <row r="145" spans="1:33" ht="343.25" customHeight="1">
      <c r="A145" s="97" t="s">
        <v>1854</v>
      </c>
      <c r="B145" s="97" t="s">
        <v>1855</v>
      </c>
      <c r="C145" s="97" t="s">
        <v>1856</v>
      </c>
      <c r="D145">
        <v>2023</v>
      </c>
      <c r="E145" s="97" t="s">
        <v>85</v>
      </c>
      <c r="F145">
        <v>5</v>
      </c>
      <c r="G145"/>
      <c r="H145"/>
      <c r="I145">
        <v>3248</v>
      </c>
      <c r="J145">
        <v>3255</v>
      </c>
      <c r="K145" s="93">
        <f>scopus[[#This Row],[Page end]]-scopus[[#This Row],[Page start]]</f>
        <v>7</v>
      </c>
      <c r="L145">
        <v>0</v>
      </c>
      <c r="M145" t="s">
        <v>1857</v>
      </c>
      <c r="N145" s="97" t="s">
        <v>1858</v>
      </c>
      <c r="O145" s="97" t="s">
        <v>1859</v>
      </c>
      <c r="P145" s="97" t="s">
        <v>1860</v>
      </c>
      <c r="Q145" s="97" t="s">
        <v>1861</v>
      </c>
      <c r="R145" s="97" t="s">
        <v>1862</v>
      </c>
      <c r="S145" s="97" t="s">
        <v>1863</v>
      </c>
      <c r="T145" s="97"/>
      <c r="U145" s="97" t="s">
        <v>93</v>
      </c>
      <c r="V145" s="97" t="s">
        <v>94</v>
      </c>
      <c r="W145" s="98"/>
      <c r="X145" s="98" t="s">
        <v>95</v>
      </c>
      <c r="Y145" s="98"/>
      <c r="Z145" s="98"/>
      <c r="AA145" s="98" t="s">
        <v>45</v>
      </c>
      <c r="AB145" s="98" t="s">
        <v>96</v>
      </c>
      <c r="AC145" s="98" t="s">
        <v>97</v>
      </c>
      <c r="AD145" s="97" t="s">
        <v>47</v>
      </c>
      <c r="AE145" s="97" t="s">
        <v>80</v>
      </c>
      <c r="AF145" s="97" t="s">
        <v>49</v>
      </c>
      <c r="AG145" s="97" t="s">
        <v>1864</v>
      </c>
    </row>
    <row r="146" spans="1:33" ht="343.25" customHeight="1">
      <c r="A146" s="97" t="s">
        <v>1865</v>
      </c>
      <c r="B146" s="97" t="s">
        <v>1866</v>
      </c>
      <c r="C146" s="97" t="s">
        <v>1867</v>
      </c>
      <c r="D146">
        <v>2022</v>
      </c>
      <c r="E146" s="97" t="s">
        <v>54</v>
      </c>
      <c r="F146">
        <v>56</v>
      </c>
      <c r="G146"/>
      <c r="H146">
        <v>104785</v>
      </c>
      <c r="I146"/>
      <c r="J146"/>
      <c r="K146" s="93"/>
      <c r="L146">
        <v>20</v>
      </c>
      <c r="M146" t="s">
        <v>1868</v>
      </c>
      <c r="N146" s="97" t="s">
        <v>1869</v>
      </c>
      <c r="O146" s="97" t="s">
        <v>1870</v>
      </c>
      <c r="P146" s="97" t="s">
        <v>1871</v>
      </c>
      <c r="Q146" s="97" t="s">
        <v>1872</v>
      </c>
      <c r="R146" s="97" t="s">
        <v>1873</v>
      </c>
      <c r="S146" s="97" t="s">
        <v>1874</v>
      </c>
      <c r="T146" s="97" t="s">
        <v>1875</v>
      </c>
      <c r="U146" s="97"/>
      <c r="V146" s="97" t="s">
        <v>62</v>
      </c>
      <c r="W146" s="98">
        <v>23527102</v>
      </c>
      <c r="X146" s="98"/>
      <c r="Y146" s="98"/>
      <c r="Z146" s="98"/>
      <c r="AA146" s="98" t="s">
        <v>45</v>
      </c>
      <c r="AB146" s="98" t="s">
        <v>63</v>
      </c>
      <c r="AC146" s="98" t="s">
        <v>46</v>
      </c>
      <c r="AD146" s="97" t="s">
        <v>47</v>
      </c>
      <c r="AE146" s="97"/>
      <c r="AF146" s="97" t="s">
        <v>49</v>
      </c>
      <c r="AG146" s="97" t="s">
        <v>1876</v>
      </c>
    </row>
    <row r="147" spans="1:33" ht="343.25" customHeight="1">
      <c r="A147" s="97" t="s">
        <v>458</v>
      </c>
      <c r="B147" s="97" t="s">
        <v>459</v>
      </c>
      <c r="C147" s="97" t="s">
        <v>1877</v>
      </c>
      <c r="D147">
        <v>2014</v>
      </c>
      <c r="E147" s="97" t="s">
        <v>1878</v>
      </c>
      <c r="F147">
        <v>28</v>
      </c>
      <c r="G147">
        <v>6</v>
      </c>
      <c r="H147" t="s">
        <v>1879</v>
      </c>
      <c r="I147"/>
      <c r="J147"/>
      <c r="K147" s="93"/>
      <c r="L147">
        <v>7</v>
      </c>
      <c r="M147" t="s">
        <v>1880</v>
      </c>
      <c r="N147" s="97" t="s">
        <v>1881</v>
      </c>
      <c r="O147" s="97" t="s">
        <v>1882</v>
      </c>
      <c r="P147" s="97" t="s">
        <v>1883</v>
      </c>
      <c r="Q147" s="97" t="s">
        <v>1884</v>
      </c>
      <c r="R147" s="97" t="s">
        <v>1885</v>
      </c>
      <c r="S147" s="97" t="s">
        <v>1886</v>
      </c>
      <c r="T147" s="97"/>
      <c r="U147" s="97"/>
      <c r="V147" s="97" t="s">
        <v>298</v>
      </c>
      <c r="W147" s="98">
        <v>8873828</v>
      </c>
      <c r="X147" s="98"/>
      <c r="Y147" s="98" t="s">
        <v>1887</v>
      </c>
      <c r="Z147" s="98"/>
      <c r="AA147" s="98" t="s">
        <v>45</v>
      </c>
      <c r="AB147" s="98" t="s">
        <v>1888</v>
      </c>
      <c r="AC147" s="98" t="s">
        <v>46</v>
      </c>
      <c r="AD147" s="97" t="s">
        <v>47</v>
      </c>
      <c r="AE147" s="97"/>
      <c r="AF147" s="97" t="s">
        <v>49</v>
      </c>
      <c r="AG147" s="97" t="s">
        <v>1889</v>
      </c>
    </row>
    <row r="148" spans="1:33" ht="343.25" customHeight="1">
      <c r="A148" s="97" t="s">
        <v>1890</v>
      </c>
      <c r="B148" s="97" t="s">
        <v>1891</v>
      </c>
      <c r="C148" s="97" t="s">
        <v>1892</v>
      </c>
      <c r="D148">
        <v>2025</v>
      </c>
      <c r="E148" s="97" t="s">
        <v>174</v>
      </c>
      <c r="F148"/>
      <c r="G148"/>
      <c r="H148"/>
      <c r="I148">
        <v>2209</v>
      </c>
      <c r="J148">
        <v>2216</v>
      </c>
      <c r="K148" s="93">
        <f>scopus[[#This Row],[Page end]]-scopus[[#This Row],[Page start]]</f>
        <v>7</v>
      </c>
      <c r="L148">
        <v>0</v>
      </c>
      <c r="M148" t="s">
        <v>1893</v>
      </c>
      <c r="N148" s="97" t="s">
        <v>1894</v>
      </c>
      <c r="O148" s="97" t="s">
        <v>1895</v>
      </c>
      <c r="P148" s="97" t="s">
        <v>1896</v>
      </c>
      <c r="Q148" s="97" t="s">
        <v>1897</v>
      </c>
      <c r="R148" s="97" t="s">
        <v>1898</v>
      </c>
      <c r="S148" s="97" t="s">
        <v>1899</v>
      </c>
      <c r="T148" s="97"/>
      <c r="U148" s="97" t="s">
        <v>182</v>
      </c>
      <c r="V148" s="97" t="s">
        <v>94</v>
      </c>
      <c r="W148" s="98"/>
      <c r="X148" s="98" t="s">
        <v>183</v>
      </c>
      <c r="Y148" s="98"/>
      <c r="Z148" s="98"/>
      <c r="AA148" s="98" t="s">
        <v>45</v>
      </c>
      <c r="AB148" s="98" t="s">
        <v>184</v>
      </c>
      <c r="AC148" s="98" t="s">
        <v>97</v>
      </c>
      <c r="AD148" s="97" t="s">
        <v>47</v>
      </c>
      <c r="AE148" s="97"/>
      <c r="AF148" s="97" t="s">
        <v>49</v>
      </c>
      <c r="AG148" s="97" t="s">
        <v>1900</v>
      </c>
    </row>
    <row r="149" spans="1:33" ht="343.25" customHeight="1">
      <c r="A149" s="97" t="s">
        <v>1901</v>
      </c>
      <c r="B149" s="97" t="s">
        <v>1902</v>
      </c>
      <c r="C149" s="97" t="s">
        <v>1903</v>
      </c>
      <c r="D149">
        <v>2018</v>
      </c>
      <c r="E149" s="97" t="s">
        <v>1904</v>
      </c>
      <c r="F149">
        <v>51</v>
      </c>
      <c r="G149">
        <v>4</v>
      </c>
      <c r="H149">
        <v>84</v>
      </c>
      <c r="I149"/>
      <c r="J149"/>
      <c r="K149" s="93"/>
      <c r="L149">
        <v>36</v>
      </c>
      <c r="M149" t="s">
        <v>1905</v>
      </c>
      <c r="N149" s="97" t="s">
        <v>1906</v>
      </c>
      <c r="O149" s="97" t="s">
        <v>1545</v>
      </c>
      <c r="P149" s="97" t="s">
        <v>1907</v>
      </c>
      <c r="Q149" s="97" t="s">
        <v>1908</v>
      </c>
      <c r="R149" s="97" t="s">
        <v>1909</v>
      </c>
      <c r="S149" s="97" t="s">
        <v>1910</v>
      </c>
      <c r="T149" s="97" t="s">
        <v>1550</v>
      </c>
      <c r="U149" s="97"/>
      <c r="V149" s="97" t="s">
        <v>1911</v>
      </c>
      <c r="W149" s="98">
        <v>13595997</v>
      </c>
      <c r="X149" s="98"/>
      <c r="Y149" s="98" t="s">
        <v>1912</v>
      </c>
      <c r="Z149" s="98"/>
      <c r="AA149" s="98" t="s">
        <v>45</v>
      </c>
      <c r="AB149" s="98" t="s">
        <v>1913</v>
      </c>
      <c r="AC149" s="98" t="s">
        <v>46</v>
      </c>
      <c r="AD149" s="97" t="s">
        <v>47</v>
      </c>
      <c r="AE149" s="97"/>
      <c r="AF149" s="97" t="s">
        <v>49</v>
      </c>
      <c r="AG149" s="97" t="s">
        <v>1914</v>
      </c>
    </row>
    <row r="150" spans="1:33" ht="343.25" customHeight="1">
      <c r="A150" s="97" t="s">
        <v>1915</v>
      </c>
      <c r="B150" s="97" t="s">
        <v>1916</v>
      </c>
      <c r="C150" s="97" t="s">
        <v>1917</v>
      </c>
      <c r="D150">
        <v>2020</v>
      </c>
      <c r="E150" s="97" t="s">
        <v>377</v>
      </c>
      <c r="F150">
        <v>26</v>
      </c>
      <c r="G150">
        <v>2</v>
      </c>
      <c r="H150">
        <v>5020004</v>
      </c>
      <c r="I150"/>
      <c r="J150"/>
      <c r="K150" s="93"/>
      <c r="L150">
        <v>8</v>
      </c>
      <c r="M150" t="s">
        <v>1918</v>
      </c>
      <c r="N150" s="97" t="s">
        <v>1919</v>
      </c>
      <c r="O150" s="97" t="s">
        <v>1920</v>
      </c>
      <c r="P150" s="97" t="s">
        <v>1921</v>
      </c>
      <c r="Q150" s="97" t="s">
        <v>1922</v>
      </c>
      <c r="R150" s="97" t="s">
        <v>1923</v>
      </c>
      <c r="S150" s="97" t="s">
        <v>1924</v>
      </c>
      <c r="T150" s="97" t="s">
        <v>1925</v>
      </c>
      <c r="U150" s="97"/>
      <c r="V150" s="97" t="s">
        <v>298</v>
      </c>
      <c r="W150" s="98">
        <v>10760431</v>
      </c>
      <c r="X150" s="98"/>
      <c r="Y150" s="98" t="s">
        <v>386</v>
      </c>
      <c r="Z150" s="98"/>
      <c r="AA150" s="98" t="s">
        <v>45</v>
      </c>
      <c r="AB150" s="98" t="s">
        <v>387</v>
      </c>
      <c r="AC150" s="98" t="s">
        <v>46</v>
      </c>
      <c r="AD150" s="97" t="s">
        <v>47</v>
      </c>
      <c r="AE150" s="97"/>
      <c r="AF150" s="97" t="s">
        <v>49</v>
      </c>
      <c r="AG150" s="97" t="s">
        <v>1926</v>
      </c>
    </row>
    <row r="151" spans="1:33" ht="343.25" customHeight="1">
      <c r="A151" s="97" t="s">
        <v>1927</v>
      </c>
      <c r="B151" s="97" t="s">
        <v>1928</v>
      </c>
      <c r="C151" s="97" t="s">
        <v>1929</v>
      </c>
      <c r="D151">
        <v>2022</v>
      </c>
      <c r="E151" s="97" t="s">
        <v>54</v>
      </c>
      <c r="F151">
        <v>52</v>
      </c>
      <c r="G151"/>
      <c r="H151">
        <v>104285</v>
      </c>
      <c r="I151"/>
      <c r="J151"/>
      <c r="K151" s="93"/>
      <c r="L151">
        <v>14</v>
      </c>
      <c r="M151" t="s">
        <v>1930</v>
      </c>
      <c r="N151" s="97" t="s">
        <v>1931</v>
      </c>
      <c r="O151" s="97" t="s">
        <v>1932</v>
      </c>
      <c r="P151" s="97" t="s">
        <v>1933</v>
      </c>
      <c r="Q151" s="97" t="s">
        <v>1934</v>
      </c>
      <c r="R151" s="97" t="s">
        <v>1935</v>
      </c>
      <c r="S151" s="97" t="s">
        <v>1936</v>
      </c>
      <c r="T151" s="97" t="s">
        <v>1937</v>
      </c>
      <c r="U151" s="97"/>
      <c r="V151" s="97" t="s">
        <v>62</v>
      </c>
      <c r="W151" s="98">
        <v>23527102</v>
      </c>
      <c r="X151" s="98"/>
      <c r="Y151" s="98"/>
      <c r="Z151" s="98"/>
      <c r="AA151" s="98" t="s">
        <v>45</v>
      </c>
      <c r="AB151" s="98" t="s">
        <v>63</v>
      </c>
      <c r="AC151" s="98" t="s">
        <v>46</v>
      </c>
      <c r="AD151" s="97" t="s">
        <v>47</v>
      </c>
      <c r="AE151" s="97"/>
      <c r="AF151" s="97" t="s">
        <v>49</v>
      </c>
      <c r="AG151" s="97" t="s">
        <v>1938</v>
      </c>
    </row>
    <row r="152" spans="1:33" ht="343.25" customHeight="1">
      <c r="A152" s="97" t="s">
        <v>1939</v>
      </c>
      <c r="B152" s="97" t="s">
        <v>1940</v>
      </c>
      <c r="C152" s="97" t="s">
        <v>1941</v>
      </c>
      <c r="D152">
        <v>2023</v>
      </c>
      <c r="E152" s="97" t="s">
        <v>115</v>
      </c>
      <c r="F152" t="s">
        <v>1942</v>
      </c>
      <c r="G152"/>
      <c r="H152"/>
      <c r="I152">
        <v>333</v>
      </c>
      <c r="J152">
        <v>348</v>
      </c>
      <c r="K152" s="93">
        <f>scopus[[#This Row],[Page end]]-scopus[[#This Row],[Page start]]</f>
        <v>15</v>
      </c>
      <c r="L152">
        <v>1</v>
      </c>
      <c r="M152" t="s">
        <v>1943</v>
      </c>
      <c r="N152" s="97" t="s">
        <v>1944</v>
      </c>
      <c r="O152" s="97" t="s">
        <v>1945</v>
      </c>
      <c r="P152" s="97" t="s">
        <v>1946</v>
      </c>
      <c r="Q152" s="97" t="s">
        <v>1947</v>
      </c>
      <c r="R152" s="97" t="s">
        <v>1948</v>
      </c>
      <c r="S152" s="97" t="s">
        <v>1949</v>
      </c>
      <c r="T152" s="97" t="s">
        <v>1950</v>
      </c>
      <c r="U152" s="97" t="s">
        <v>1116</v>
      </c>
      <c r="V152" s="97" t="s">
        <v>125</v>
      </c>
      <c r="W152" s="98">
        <v>23662557</v>
      </c>
      <c r="X152" s="98" t="s">
        <v>1951</v>
      </c>
      <c r="Y152" s="98"/>
      <c r="Z152" s="98"/>
      <c r="AA152" s="98" t="s">
        <v>45</v>
      </c>
      <c r="AB152" s="98" t="s">
        <v>127</v>
      </c>
      <c r="AC152" s="98" t="s">
        <v>97</v>
      </c>
      <c r="AD152" s="97" t="s">
        <v>47</v>
      </c>
      <c r="AE152" s="97"/>
      <c r="AF152" s="97" t="s">
        <v>49</v>
      </c>
      <c r="AG152" s="97" t="s">
        <v>1952</v>
      </c>
    </row>
    <row r="153" spans="1:33" ht="343.25" customHeight="1">
      <c r="A153" s="97" t="s">
        <v>1953</v>
      </c>
      <c r="B153" s="97" t="s">
        <v>1954</v>
      </c>
      <c r="C153" s="97" t="s">
        <v>1955</v>
      </c>
      <c r="D153">
        <v>2024</v>
      </c>
      <c r="E153" s="97" t="s">
        <v>1878</v>
      </c>
      <c r="F153">
        <v>38</v>
      </c>
      <c r="G153">
        <v>6</v>
      </c>
      <c r="H153">
        <v>4024045</v>
      </c>
      <c r="I153"/>
      <c r="J153"/>
      <c r="K153" s="93"/>
      <c r="L153">
        <v>0</v>
      </c>
      <c r="M153" t="s">
        <v>1956</v>
      </c>
      <c r="N153" s="97" t="s">
        <v>1957</v>
      </c>
      <c r="O153" s="97" t="s">
        <v>1958</v>
      </c>
      <c r="P153" s="97" t="s">
        <v>1959</v>
      </c>
      <c r="Q153" s="97" t="s">
        <v>1960</v>
      </c>
      <c r="R153" s="97" t="s">
        <v>1961</v>
      </c>
      <c r="S153" s="97" t="s">
        <v>1962</v>
      </c>
      <c r="T153" s="97" t="s">
        <v>1963</v>
      </c>
      <c r="U153" s="97"/>
      <c r="V153" s="97" t="s">
        <v>298</v>
      </c>
      <c r="W153" s="98">
        <v>8873828</v>
      </c>
      <c r="X153" s="98"/>
      <c r="Y153" s="98" t="s">
        <v>1887</v>
      </c>
      <c r="Z153" s="98"/>
      <c r="AA153" s="98" t="s">
        <v>45</v>
      </c>
      <c r="AB153" s="98" t="s">
        <v>1888</v>
      </c>
      <c r="AC153" s="98" t="s">
        <v>46</v>
      </c>
      <c r="AD153" s="97" t="s">
        <v>47</v>
      </c>
      <c r="AE153" s="97"/>
      <c r="AF153" s="97" t="s">
        <v>49</v>
      </c>
      <c r="AG153" s="97" t="s">
        <v>1964</v>
      </c>
    </row>
    <row r="154" spans="1:33" ht="343.25" customHeight="1">
      <c r="A154" s="97" t="s">
        <v>1965</v>
      </c>
      <c r="B154" s="97" t="s">
        <v>1966</v>
      </c>
      <c r="C154" s="97" t="s">
        <v>1967</v>
      </c>
      <c r="D154">
        <v>2015</v>
      </c>
      <c r="E154" s="97" t="s">
        <v>1968</v>
      </c>
      <c r="F154">
        <v>168</v>
      </c>
      <c r="G154">
        <v>4</v>
      </c>
      <c r="H154"/>
      <c r="I154">
        <v>204</v>
      </c>
      <c r="J154">
        <v>212</v>
      </c>
      <c r="K154" s="93">
        <f>scopus[[#This Row],[Page end]]-scopus[[#This Row],[Page start]]</f>
        <v>8</v>
      </c>
      <c r="L154">
        <v>8</v>
      </c>
      <c r="M154" t="s">
        <v>1969</v>
      </c>
      <c r="N154" s="97" t="s">
        <v>1970</v>
      </c>
      <c r="O154" s="97" t="s">
        <v>1971</v>
      </c>
      <c r="P154" s="97" t="s">
        <v>1972</v>
      </c>
      <c r="Q154" s="97" t="s">
        <v>1973</v>
      </c>
      <c r="R154" s="97" t="s">
        <v>1974</v>
      </c>
      <c r="S154" s="97" t="s">
        <v>1975</v>
      </c>
      <c r="T154" s="97"/>
      <c r="U154" s="97"/>
      <c r="V154" s="97" t="s">
        <v>1976</v>
      </c>
      <c r="W154" s="98" t="s">
        <v>1977</v>
      </c>
      <c r="X154" s="98"/>
      <c r="Y154" s="98"/>
      <c r="Z154" s="98"/>
      <c r="AA154" s="98" t="s">
        <v>45</v>
      </c>
      <c r="AB154" s="98" t="s">
        <v>1978</v>
      </c>
      <c r="AC154" s="98" t="s">
        <v>46</v>
      </c>
      <c r="AD154" s="97" t="s">
        <v>47</v>
      </c>
      <c r="AE154" s="97"/>
      <c r="AF154" s="97" t="s">
        <v>49</v>
      </c>
      <c r="AG154" s="97" t="s">
        <v>1979</v>
      </c>
    </row>
    <row r="155" spans="1:33" ht="343.25" customHeight="1">
      <c r="A155" s="97" t="s">
        <v>1980</v>
      </c>
      <c r="B155" s="97" t="s">
        <v>1981</v>
      </c>
      <c r="C155" s="97" t="s">
        <v>1982</v>
      </c>
      <c r="D155">
        <v>2021</v>
      </c>
      <c r="E155" s="97" t="s">
        <v>445</v>
      </c>
      <c r="F155">
        <v>249</v>
      </c>
      <c r="G155"/>
      <c r="H155">
        <v>113309</v>
      </c>
      <c r="I155"/>
      <c r="J155"/>
      <c r="K155" s="93"/>
      <c r="L155">
        <v>19</v>
      </c>
      <c r="M155" t="s">
        <v>1983</v>
      </c>
      <c r="N155" s="97" t="s">
        <v>1984</v>
      </c>
      <c r="O155" s="97" t="s">
        <v>1985</v>
      </c>
      <c r="P155" s="97" t="s">
        <v>1986</v>
      </c>
      <c r="Q155" s="97" t="s">
        <v>1987</v>
      </c>
      <c r="R155" s="97" t="s">
        <v>1988</v>
      </c>
      <c r="S155" s="97" t="s">
        <v>1989</v>
      </c>
      <c r="T155" s="97" t="s">
        <v>1990</v>
      </c>
      <c r="U155" s="97"/>
      <c r="V155" s="97" t="s">
        <v>62</v>
      </c>
      <c r="W155" s="98">
        <v>1410296</v>
      </c>
      <c r="X155" s="98"/>
      <c r="Y155" s="98" t="s">
        <v>454</v>
      </c>
      <c r="Z155" s="98"/>
      <c r="AA155" s="98" t="s">
        <v>45</v>
      </c>
      <c r="AB155" s="98" t="s">
        <v>455</v>
      </c>
      <c r="AC155" s="98" t="s">
        <v>46</v>
      </c>
      <c r="AD155" s="97" t="s">
        <v>47</v>
      </c>
      <c r="AE155" s="97"/>
      <c r="AF155" s="97" t="s">
        <v>49</v>
      </c>
      <c r="AG155" s="97" t="s">
        <v>1991</v>
      </c>
    </row>
    <row r="156" spans="1:33" ht="343.25" customHeight="1">
      <c r="A156" s="97" t="s">
        <v>1992</v>
      </c>
      <c r="B156" s="97" t="s">
        <v>1993</v>
      </c>
      <c r="C156" s="97" t="s">
        <v>1994</v>
      </c>
      <c r="D156">
        <v>2021</v>
      </c>
      <c r="E156" s="97" t="s">
        <v>1995</v>
      </c>
      <c r="F156">
        <v>98</v>
      </c>
      <c r="G156" t="s">
        <v>1996</v>
      </c>
      <c r="H156"/>
      <c r="I156">
        <v>12</v>
      </c>
      <c r="J156">
        <v>22</v>
      </c>
      <c r="K156" s="93">
        <f>scopus[[#This Row],[Page end]]-scopus[[#This Row],[Page start]]</f>
        <v>10</v>
      </c>
      <c r="L156">
        <v>7</v>
      </c>
      <c r="M156" t="s">
        <v>1997</v>
      </c>
      <c r="N156" s="97" t="s">
        <v>1998</v>
      </c>
      <c r="O156" s="97" t="s">
        <v>1999</v>
      </c>
      <c r="P156" s="97" t="s">
        <v>2000</v>
      </c>
      <c r="Q156" s="97" t="s">
        <v>2001</v>
      </c>
      <c r="R156" s="97" t="s">
        <v>2002</v>
      </c>
      <c r="S156" s="97"/>
      <c r="T156" s="97" t="s">
        <v>2003</v>
      </c>
      <c r="U156" s="97"/>
      <c r="V156" s="97" t="s">
        <v>2004</v>
      </c>
      <c r="W156" s="98">
        <v>9328351</v>
      </c>
      <c r="X156" s="98"/>
      <c r="Y156" s="98" t="s">
        <v>2005</v>
      </c>
      <c r="Z156" s="98"/>
      <c r="AA156" s="98" t="s">
        <v>2006</v>
      </c>
      <c r="AB156" s="98" t="s">
        <v>1995</v>
      </c>
      <c r="AC156" s="98" t="s">
        <v>46</v>
      </c>
      <c r="AD156" s="97" t="s">
        <v>47</v>
      </c>
      <c r="AE156" s="97"/>
      <c r="AF156" s="97" t="s">
        <v>49</v>
      </c>
      <c r="AG156" s="97" t="s">
        <v>2007</v>
      </c>
    </row>
    <row r="157" spans="1:33" ht="343.25" customHeight="1">
      <c r="A157" s="97" t="s">
        <v>2008</v>
      </c>
      <c r="B157" s="97" t="s">
        <v>2009</v>
      </c>
      <c r="C157" s="97" t="s">
        <v>2010</v>
      </c>
      <c r="D157">
        <v>2016</v>
      </c>
      <c r="E157" s="97" t="s">
        <v>2011</v>
      </c>
      <c r="F157">
        <v>4</v>
      </c>
      <c r="G157"/>
      <c r="H157"/>
      <c r="I157">
        <v>125</v>
      </c>
      <c r="J157">
        <v>145</v>
      </c>
      <c r="K157" s="93">
        <f>scopus[[#This Row],[Page end]]-scopus[[#This Row],[Page start]]</f>
        <v>20</v>
      </c>
      <c r="L157">
        <v>9</v>
      </c>
      <c r="M157" t="s">
        <v>2012</v>
      </c>
      <c r="N157" s="97" t="s">
        <v>2013</v>
      </c>
      <c r="O157" s="97" t="s">
        <v>2014</v>
      </c>
      <c r="P157" s="97" t="s">
        <v>2015</v>
      </c>
      <c r="Q157" s="97" t="s">
        <v>2016</v>
      </c>
      <c r="R157" s="97" t="s">
        <v>2017</v>
      </c>
      <c r="S157" s="97" t="s">
        <v>2018</v>
      </c>
      <c r="T157" s="97" t="s">
        <v>2019</v>
      </c>
      <c r="U157" s="97"/>
      <c r="V157" s="97" t="s">
        <v>62</v>
      </c>
      <c r="W157" s="98">
        <v>22145095</v>
      </c>
      <c r="X157" s="98"/>
      <c r="Y157" s="98"/>
      <c r="Z157" s="98"/>
      <c r="AA157" s="98" t="s">
        <v>45</v>
      </c>
      <c r="AB157" s="98" t="s">
        <v>2020</v>
      </c>
      <c r="AC157" s="98" t="s">
        <v>46</v>
      </c>
      <c r="AD157" s="97" t="s">
        <v>47</v>
      </c>
      <c r="AE157" s="97" t="s">
        <v>48</v>
      </c>
      <c r="AF157" s="97" t="s">
        <v>49</v>
      </c>
      <c r="AG157" s="97" t="s">
        <v>2021</v>
      </c>
    </row>
    <row r="158" spans="1:33" ht="343.25" customHeight="1">
      <c r="A158" s="97" t="s">
        <v>2022</v>
      </c>
      <c r="B158" s="97" t="s">
        <v>2023</v>
      </c>
      <c r="C158" s="97" t="s">
        <v>2024</v>
      </c>
      <c r="D158">
        <v>2021</v>
      </c>
      <c r="E158" s="97" t="s">
        <v>289</v>
      </c>
      <c r="F158">
        <v>147</v>
      </c>
      <c r="G158">
        <v>4</v>
      </c>
      <c r="H158">
        <v>4021011</v>
      </c>
      <c r="I158"/>
      <c r="J158"/>
      <c r="K158" s="93"/>
      <c r="L158">
        <v>32</v>
      </c>
      <c r="M158" t="s">
        <v>2025</v>
      </c>
      <c r="N158" s="97" t="s">
        <v>2026</v>
      </c>
      <c r="O158" s="97" t="s">
        <v>2027</v>
      </c>
      <c r="P158" s="97" t="s">
        <v>2028</v>
      </c>
      <c r="Q158" s="97" t="s">
        <v>2029</v>
      </c>
      <c r="R158" s="97" t="s">
        <v>2030</v>
      </c>
      <c r="S158" s="97" t="s">
        <v>2031</v>
      </c>
      <c r="T158" s="97" t="s">
        <v>2032</v>
      </c>
      <c r="U158" s="97"/>
      <c r="V158" s="97" t="s">
        <v>298</v>
      </c>
      <c r="W158" s="98">
        <v>7339445</v>
      </c>
      <c r="X158" s="98"/>
      <c r="Y158" s="98" t="s">
        <v>299</v>
      </c>
      <c r="Z158" s="98"/>
      <c r="AA158" s="98" t="s">
        <v>45</v>
      </c>
      <c r="AB158" s="98" t="s">
        <v>300</v>
      </c>
      <c r="AC158" s="98" t="s">
        <v>46</v>
      </c>
      <c r="AD158" s="97" t="s">
        <v>47</v>
      </c>
      <c r="AE158" s="97"/>
      <c r="AF158" s="97" t="s">
        <v>49</v>
      </c>
      <c r="AG158" s="97" t="s">
        <v>2033</v>
      </c>
    </row>
    <row r="159" spans="1:33" ht="343.25" customHeight="1">
      <c r="A159" s="97" t="s">
        <v>2034</v>
      </c>
      <c r="B159" s="97" t="s">
        <v>2035</v>
      </c>
      <c r="C159" s="97" t="s">
        <v>2036</v>
      </c>
      <c r="D159">
        <v>2025</v>
      </c>
      <c r="E159" s="97" t="s">
        <v>2037</v>
      </c>
      <c r="F159">
        <v>2</v>
      </c>
      <c r="G159"/>
      <c r="H159"/>
      <c r="I159">
        <v>2204</v>
      </c>
      <c r="J159">
        <v>2209</v>
      </c>
      <c r="K159" s="93">
        <f>scopus[[#This Row],[Page end]]-scopus[[#This Row],[Page start]]</f>
        <v>5</v>
      </c>
      <c r="L159">
        <v>0</v>
      </c>
      <c r="M159" t="s">
        <v>2038</v>
      </c>
      <c r="N159" s="97" t="s">
        <v>2039</v>
      </c>
      <c r="O159" s="97" t="s">
        <v>2040</v>
      </c>
      <c r="P159" s="97" t="s">
        <v>2041</v>
      </c>
      <c r="Q159" s="97" t="s">
        <v>2042</v>
      </c>
      <c r="R159" s="97"/>
      <c r="S159" s="97" t="s">
        <v>2043</v>
      </c>
      <c r="T159" s="97"/>
      <c r="U159" s="97"/>
      <c r="V159" s="97" t="s">
        <v>1241</v>
      </c>
      <c r="W159" s="98"/>
      <c r="X159" s="98"/>
      <c r="Y159" s="98"/>
      <c r="Z159" s="98"/>
      <c r="AA159" s="98" t="s">
        <v>45</v>
      </c>
      <c r="AB159" s="98" t="s">
        <v>2044</v>
      </c>
      <c r="AC159" s="98" t="s">
        <v>97</v>
      </c>
      <c r="AD159" s="97" t="s">
        <v>47</v>
      </c>
      <c r="AE159" s="97"/>
      <c r="AF159" s="97" t="s">
        <v>49</v>
      </c>
      <c r="AG159" s="97" t="s">
        <v>2045</v>
      </c>
    </row>
    <row r="160" spans="1:33" ht="343.25" customHeight="1">
      <c r="A160" s="97" t="s">
        <v>2046</v>
      </c>
      <c r="B160" s="97" t="s">
        <v>2047</v>
      </c>
      <c r="C160" s="97" t="s">
        <v>2048</v>
      </c>
      <c r="D160">
        <v>2025</v>
      </c>
      <c r="E160" s="97" t="s">
        <v>174</v>
      </c>
      <c r="F160"/>
      <c r="G160"/>
      <c r="H160"/>
      <c r="I160">
        <v>410</v>
      </c>
      <c r="J160">
        <v>417</v>
      </c>
      <c r="K160" s="93">
        <f>scopus[[#This Row],[Page end]]-scopus[[#This Row],[Page start]]</f>
        <v>7</v>
      </c>
      <c r="L160">
        <v>0</v>
      </c>
      <c r="M160" t="s">
        <v>2049</v>
      </c>
      <c r="N160" s="97" t="s">
        <v>2050</v>
      </c>
      <c r="O160" s="97" t="s">
        <v>2051</v>
      </c>
      <c r="P160" s="97" t="s">
        <v>2052</v>
      </c>
      <c r="Q160" s="97" t="s">
        <v>2053</v>
      </c>
      <c r="R160" s="97" t="s">
        <v>2054</v>
      </c>
      <c r="S160" s="97" t="s">
        <v>2055</v>
      </c>
      <c r="T160" s="97"/>
      <c r="U160" s="97" t="s">
        <v>182</v>
      </c>
      <c r="V160" s="97" t="s">
        <v>94</v>
      </c>
      <c r="W160" s="98"/>
      <c r="X160" s="98" t="s">
        <v>183</v>
      </c>
      <c r="Y160" s="98"/>
      <c r="Z160" s="98"/>
      <c r="AA160" s="98" t="s">
        <v>45</v>
      </c>
      <c r="AB160" s="98" t="s">
        <v>184</v>
      </c>
      <c r="AC160" s="98" t="s">
        <v>97</v>
      </c>
      <c r="AD160" s="97" t="s">
        <v>47</v>
      </c>
      <c r="AE160" s="97"/>
      <c r="AF160" s="97" t="s">
        <v>49</v>
      </c>
      <c r="AG160" s="97" t="s">
        <v>2056</v>
      </c>
    </row>
    <row r="161" spans="1:33" ht="343.25" customHeight="1">
      <c r="A161" s="97" t="s">
        <v>2057</v>
      </c>
      <c r="B161" s="97" t="s">
        <v>2058</v>
      </c>
      <c r="C161" s="97" t="s">
        <v>2059</v>
      </c>
      <c r="D161">
        <v>2023</v>
      </c>
      <c r="E161" s="97" t="s">
        <v>406</v>
      </c>
      <c r="F161">
        <v>13</v>
      </c>
      <c r="G161">
        <v>7</v>
      </c>
      <c r="H161">
        <v>1756</v>
      </c>
      <c r="I161"/>
      <c r="J161"/>
      <c r="K161" s="93"/>
      <c r="L161">
        <v>20</v>
      </c>
      <c r="M161" t="s">
        <v>2060</v>
      </c>
      <c r="N161" s="97" t="s">
        <v>2061</v>
      </c>
      <c r="O161" s="97" t="s">
        <v>2062</v>
      </c>
      <c r="P161" s="97" t="s">
        <v>2063</v>
      </c>
      <c r="Q161" s="97" t="s">
        <v>2064</v>
      </c>
      <c r="R161" s="97" t="s">
        <v>2065</v>
      </c>
      <c r="S161" s="97"/>
      <c r="T161" s="97" t="s">
        <v>2066</v>
      </c>
      <c r="U161" s="97"/>
      <c r="V161" s="97" t="s">
        <v>44</v>
      </c>
      <c r="W161" s="98">
        <v>20755309</v>
      </c>
      <c r="X161" s="98"/>
      <c r="Y161" s="98"/>
      <c r="Z161" s="98"/>
      <c r="AA161" s="98" t="s">
        <v>45</v>
      </c>
      <c r="AB161" s="98" t="s">
        <v>406</v>
      </c>
      <c r="AC161" s="98" t="s">
        <v>110</v>
      </c>
      <c r="AD161" s="97" t="s">
        <v>47</v>
      </c>
      <c r="AE161" s="97" t="s">
        <v>48</v>
      </c>
      <c r="AF161" s="97" t="s">
        <v>49</v>
      </c>
      <c r="AG161" s="97" t="s">
        <v>2067</v>
      </c>
    </row>
    <row r="162" spans="1:33" ht="343.25" customHeight="1">
      <c r="A162" s="97" t="s">
        <v>2068</v>
      </c>
      <c r="B162" s="97" t="s">
        <v>2069</v>
      </c>
      <c r="C162" s="97" t="s">
        <v>2070</v>
      </c>
      <c r="D162">
        <v>2022</v>
      </c>
      <c r="E162" s="97" t="s">
        <v>445</v>
      </c>
      <c r="F162">
        <v>269</v>
      </c>
      <c r="G162"/>
      <c r="H162">
        <v>114842</v>
      </c>
      <c r="I162"/>
      <c r="J162"/>
      <c r="K162" s="93"/>
      <c r="L162">
        <v>14</v>
      </c>
      <c r="M162" t="s">
        <v>2071</v>
      </c>
      <c r="N162" s="97" t="s">
        <v>2072</v>
      </c>
      <c r="O162" s="97" t="s">
        <v>2073</v>
      </c>
      <c r="P162" s="97" t="s">
        <v>2074</v>
      </c>
      <c r="Q162" s="97" t="s">
        <v>2075</v>
      </c>
      <c r="R162" s="97" t="s">
        <v>2076</v>
      </c>
      <c r="S162" s="97" t="s">
        <v>2077</v>
      </c>
      <c r="T162" s="97" t="s">
        <v>2078</v>
      </c>
      <c r="U162" s="97"/>
      <c r="V162" s="97" t="s">
        <v>62</v>
      </c>
      <c r="W162" s="98">
        <v>1410296</v>
      </c>
      <c r="X162" s="98"/>
      <c r="Y162" s="98" t="s">
        <v>454</v>
      </c>
      <c r="Z162" s="98"/>
      <c r="AA162" s="98" t="s">
        <v>45</v>
      </c>
      <c r="AB162" s="98" t="s">
        <v>455</v>
      </c>
      <c r="AC162" s="98" t="s">
        <v>46</v>
      </c>
      <c r="AD162" s="97" t="s">
        <v>47</v>
      </c>
      <c r="AE162" s="97"/>
      <c r="AF162" s="97" t="s">
        <v>49</v>
      </c>
      <c r="AG162" s="97" t="s">
        <v>2079</v>
      </c>
    </row>
    <row r="163" spans="1:33" ht="343.25" customHeight="1">
      <c r="A163" s="97" t="s">
        <v>2080</v>
      </c>
      <c r="B163" s="97" t="s">
        <v>2081</v>
      </c>
      <c r="C163" s="97" t="s">
        <v>2082</v>
      </c>
      <c r="D163">
        <v>2024</v>
      </c>
      <c r="E163" s="97" t="s">
        <v>289</v>
      </c>
      <c r="F163">
        <v>150</v>
      </c>
      <c r="G163">
        <v>8</v>
      </c>
      <c r="H163">
        <v>4024096</v>
      </c>
      <c r="I163"/>
      <c r="J163"/>
      <c r="K163" s="93"/>
      <c r="L163">
        <v>4</v>
      </c>
      <c r="M163" t="s">
        <v>2083</v>
      </c>
      <c r="N163" s="97" t="s">
        <v>2084</v>
      </c>
      <c r="O163" s="97" t="s">
        <v>2085</v>
      </c>
      <c r="P163" s="97" t="s">
        <v>2086</v>
      </c>
      <c r="Q163" s="97" t="s">
        <v>2087</v>
      </c>
      <c r="R163" s="97" t="s">
        <v>2088</v>
      </c>
      <c r="S163" s="97" t="s">
        <v>2089</v>
      </c>
      <c r="T163" s="97" t="s">
        <v>2090</v>
      </c>
      <c r="U163" s="97"/>
      <c r="V163" s="97" t="s">
        <v>298</v>
      </c>
      <c r="W163" s="98">
        <v>7339445</v>
      </c>
      <c r="X163" s="98"/>
      <c r="Y163" s="98" t="s">
        <v>299</v>
      </c>
      <c r="Z163" s="98"/>
      <c r="AA163" s="98" t="s">
        <v>45</v>
      </c>
      <c r="AB163" s="98" t="s">
        <v>300</v>
      </c>
      <c r="AC163" s="98" t="s">
        <v>46</v>
      </c>
      <c r="AD163" s="97" t="s">
        <v>47</v>
      </c>
      <c r="AE163" s="97"/>
      <c r="AF163" s="97" t="s">
        <v>49</v>
      </c>
      <c r="AG163" s="97" t="s">
        <v>2091</v>
      </c>
    </row>
    <row r="164" spans="1:33" ht="343.25" customHeight="1">
      <c r="A164" s="97" t="s">
        <v>2092</v>
      </c>
      <c r="B164" s="97" t="s">
        <v>2093</v>
      </c>
      <c r="C164" s="97" t="s">
        <v>2094</v>
      </c>
      <c r="D164">
        <v>2023</v>
      </c>
      <c r="E164" s="97" t="s">
        <v>85</v>
      </c>
      <c r="F164">
        <v>7</v>
      </c>
      <c r="G164"/>
      <c r="H164"/>
      <c r="I164">
        <v>4182</v>
      </c>
      <c r="J164">
        <v>4189</v>
      </c>
      <c r="K164" s="93">
        <f>scopus[[#This Row],[Page end]]-scopus[[#This Row],[Page start]]</f>
        <v>7</v>
      </c>
      <c r="L164">
        <v>0</v>
      </c>
      <c r="M164" t="s">
        <v>2095</v>
      </c>
      <c r="N164" s="97" t="s">
        <v>2096</v>
      </c>
      <c r="O164" s="97" t="s">
        <v>2097</v>
      </c>
      <c r="P164" s="97" t="s">
        <v>2098</v>
      </c>
      <c r="Q164" s="97" t="s">
        <v>2099</v>
      </c>
      <c r="R164" s="97" t="s">
        <v>2100</v>
      </c>
      <c r="S164" s="97" t="s">
        <v>2101</v>
      </c>
      <c r="T164" s="97"/>
      <c r="U164" s="97" t="s">
        <v>93</v>
      </c>
      <c r="V164" s="97" t="s">
        <v>94</v>
      </c>
      <c r="W164" s="98"/>
      <c r="X164" s="98" t="s">
        <v>95</v>
      </c>
      <c r="Y164" s="98"/>
      <c r="Z164" s="98"/>
      <c r="AA164" s="98" t="s">
        <v>45</v>
      </c>
      <c r="AB164" s="98" t="s">
        <v>96</v>
      </c>
      <c r="AC164" s="98" t="s">
        <v>97</v>
      </c>
      <c r="AD164" s="97" t="s">
        <v>47</v>
      </c>
      <c r="AE164" s="97" t="s">
        <v>80</v>
      </c>
      <c r="AF164" s="97" t="s">
        <v>49</v>
      </c>
      <c r="AG164" s="97" t="s">
        <v>2102</v>
      </c>
    </row>
    <row r="165" spans="1:33" ht="343.25" customHeight="1">
      <c r="A165" s="97" t="s">
        <v>2103</v>
      </c>
      <c r="B165" s="97" t="s">
        <v>2104</v>
      </c>
      <c r="C165" s="97" t="s">
        <v>2105</v>
      </c>
      <c r="D165">
        <v>2025</v>
      </c>
      <c r="E165" s="97" t="s">
        <v>2106</v>
      </c>
      <c r="F165">
        <v>528</v>
      </c>
      <c r="G165"/>
      <c r="H165">
        <v>146541</v>
      </c>
      <c r="I165"/>
      <c r="J165"/>
      <c r="K165" s="93"/>
      <c r="L165">
        <v>3</v>
      </c>
      <c r="M165" t="s">
        <v>2107</v>
      </c>
      <c r="N165" s="97" t="s">
        <v>2108</v>
      </c>
      <c r="O165" s="97" t="s">
        <v>2109</v>
      </c>
      <c r="P165" s="97" t="s">
        <v>2110</v>
      </c>
      <c r="Q165" s="97" t="s">
        <v>2111</v>
      </c>
      <c r="R165" s="97" t="s">
        <v>2112</v>
      </c>
      <c r="S165" s="97" t="s">
        <v>2113</v>
      </c>
      <c r="T165" s="97" t="s">
        <v>2114</v>
      </c>
      <c r="U165" s="97"/>
      <c r="V165" s="97" t="s">
        <v>62</v>
      </c>
      <c r="W165" s="98">
        <v>9596526</v>
      </c>
      <c r="X165" s="98"/>
      <c r="Y165" s="98" t="s">
        <v>2115</v>
      </c>
      <c r="Z165" s="98"/>
      <c r="AA165" s="98" t="s">
        <v>45</v>
      </c>
      <c r="AB165" s="98" t="s">
        <v>2116</v>
      </c>
      <c r="AC165" s="98" t="s">
        <v>46</v>
      </c>
      <c r="AD165" s="97" t="s">
        <v>47</v>
      </c>
      <c r="AE165" s="97"/>
      <c r="AF165" s="97" t="s">
        <v>49</v>
      </c>
      <c r="AG165" s="97" t="s">
        <v>2117</v>
      </c>
    </row>
    <row r="166" spans="1:33" ht="343.25" customHeight="1">
      <c r="A166" s="97" t="s">
        <v>2118</v>
      </c>
      <c r="B166" s="97" t="s">
        <v>2119</v>
      </c>
      <c r="C166" s="97" t="s">
        <v>2120</v>
      </c>
      <c r="D166">
        <v>2021</v>
      </c>
      <c r="E166" s="97" t="s">
        <v>976</v>
      </c>
      <c r="F166"/>
      <c r="G166"/>
      <c r="H166"/>
      <c r="I166"/>
      <c r="J166"/>
      <c r="K166" s="93"/>
      <c r="L166">
        <v>1</v>
      </c>
      <c r="M166"/>
      <c r="N166" s="97" t="s">
        <v>2121</v>
      </c>
      <c r="O166" s="97" t="s">
        <v>2122</v>
      </c>
      <c r="P166" s="97" t="s">
        <v>2123</v>
      </c>
      <c r="Q166" s="97" t="s">
        <v>2124</v>
      </c>
      <c r="R166" s="97" t="s">
        <v>2125</v>
      </c>
      <c r="S166" s="97" t="s">
        <v>2126</v>
      </c>
      <c r="T166" s="97"/>
      <c r="U166" s="97"/>
      <c r="V166" s="97" t="s">
        <v>94</v>
      </c>
      <c r="W166" s="98"/>
      <c r="X166" s="98"/>
      <c r="Y166" s="98"/>
      <c r="Z166" s="98"/>
      <c r="AA166" s="98" t="s">
        <v>45</v>
      </c>
      <c r="AB166" s="98" t="s">
        <v>96</v>
      </c>
      <c r="AC166" s="98" t="s">
        <v>97</v>
      </c>
      <c r="AD166" s="97" t="s">
        <v>47</v>
      </c>
      <c r="AE166" s="97"/>
      <c r="AF166" s="97" t="s">
        <v>49</v>
      </c>
      <c r="AG166" s="97" t="s">
        <v>2127</v>
      </c>
    </row>
    <row r="167" spans="1:33" ht="343.25" customHeight="1">
      <c r="A167" s="97" t="s">
        <v>2128</v>
      </c>
      <c r="B167" s="97" t="s">
        <v>2129</v>
      </c>
      <c r="C167" s="97" t="s">
        <v>2130</v>
      </c>
      <c r="D167">
        <v>2025</v>
      </c>
      <c r="E167" s="97" t="s">
        <v>232</v>
      </c>
      <c r="F167">
        <v>505</v>
      </c>
      <c r="G167"/>
      <c r="H167">
        <v>144678</v>
      </c>
      <c r="I167"/>
      <c r="J167"/>
      <c r="K167" s="93"/>
      <c r="L167">
        <v>0</v>
      </c>
      <c r="M167" t="s">
        <v>2131</v>
      </c>
      <c r="N167" s="97" t="s">
        <v>2132</v>
      </c>
      <c r="O167" s="97" t="s">
        <v>2133</v>
      </c>
      <c r="P167" s="97" t="s">
        <v>2134</v>
      </c>
      <c r="Q167" s="97" t="s">
        <v>2135</v>
      </c>
      <c r="R167" s="97" t="s">
        <v>2136</v>
      </c>
      <c r="S167" s="97" t="s">
        <v>2137</v>
      </c>
      <c r="T167" s="97" t="s">
        <v>2138</v>
      </c>
      <c r="U167" s="97"/>
      <c r="V167" s="97" t="s">
        <v>62</v>
      </c>
      <c r="W167" s="98">
        <v>9500618</v>
      </c>
      <c r="X167" s="98"/>
      <c r="Y167" s="98" t="s">
        <v>241</v>
      </c>
      <c r="Z167" s="98"/>
      <c r="AA167" s="98" t="s">
        <v>45</v>
      </c>
      <c r="AB167" s="98" t="s">
        <v>242</v>
      </c>
      <c r="AC167" s="98" t="s">
        <v>46</v>
      </c>
      <c r="AD167" s="97" t="s">
        <v>47</v>
      </c>
      <c r="AE167" s="97"/>
      <c r="AF167" s="97" t="s">
        <v>49</v>
      </c>
      <c r="AG167" s="97" t="s">
        <v>2139</v>
      </c>
    </row>
    <row r="168" spans="1:33" ht="343.25" customHeight="1">
      <c r="A168" s="97" t="s">
        <v>2140</v>
      </c>
      <c r="B168" s="97" t="s">
        <v>2141</v>
      </c>
      <c r="C168" s="97" t="s">
        <v>2142</v>
      </c>
      <c r="D168">
        <v>2013</v>
      </c>
      <c r="E168" s="97" t="s">
        <v>2143</v>
      </c>
      <c r="F168">
        <v>3</v>
      </c>
      <c r="G168"/>
      <c r="H168"/>
      <c r="I168">
        <v>1864</v>
      </c>
      <c r="J168">
        <v>1873</v>
      </c>
      <c r="K168" s="93">
        <f>scopus[[#This Row],[Page end]]-scopus[[#This Row],[Page start]]</f>
        <v>9</v>
      </c>
      <c r="L168">
        <v>34</v>
      </c>
      <c r="M168"/>
      <c r="N168" s="97" t="s">
        <v>2144</v>
      </c>
      <c r="O168" s="97" t="s">
        <v>2145</v>
      </c>
      <c r="P168" s="97" t="s">
        <v>2146</v>
      </c>
      <c r="Q168" s="97" t="s">
        <v>2147</v>
      </c>
      <c r="R168" s="97" t="s">
        <v>2148</v>
      </c>
      <c r="S168" s="97" t="s">
        <v>2149</v>
      </c>
      <c r="T168" s="97"/>
      <c r="U168" s="97"/>
      <c r="V168" s="97" t="s">
        <v>2150</v>
      </c>
      <c r="W168" s="98"/>
      <c r="X168" s="98" t="s">
        <v>2151</v>
      </c>
      <c r="Y168" s="98"/>
      <c r="Z168" s="98"/>
      <c r="AA168" s="98" t="s">
        <v>45</v>
      </c>
      <c r="AB168" s="98" t="s">
        <v>2152</v>
      </c>
      <c r="AC168" s="98" t="s">
        <v>97</v>
      </c>
      <c r="AD168" s="97" t="s">
        <v>47</v>
      </c>
      <c r="AE168" s="97"/>
      <c r="AF168" s="97" t="s">
        <v>49</v>
      </c>
      <c r="AG168" s="97" t="s">
        <v>2153</v>
      </c>
    </row>
    <row r="169" spans="1:33" ht="343.25" customHeight="1">
      <c r="A169" s="97" t="s">
        <v>2154</v>
      </c>
      <c r="B169" s="97" t="s">
        <v>2155</v>
      </c>
      <c r="C169" s="97" t="s">
        <v>2156</v>
      </c>
      <c r="D169">
        <v>2020</v>
      </c>
      <c r="E169" s="97" t="s">
        <v>2157</v>
      </c>
      <c r="F169"/>
      <c r="G169"/>
      <c r="H169"/>
      <c r="I169">
        <v>881</v>
      </c>
      <c r="J169">
        <v>889</v>
      </c>
      <c r="K169" s="93">
        <f>scopus[[#This Row],[Page end]]-scopus[[#This Row],[Page start]]</f>
        <v>8</v>
      </c>
      <c r="L169">
        <v>1</v>
      </c>
      <c r="M169" t="s">
        <v>2158</v>
      </c>
      <c r="N169" s="97" t="s">
        <v>2159</v>
      </c>
      <c r="O169" s="97" t="s">
        <v>2160</v>
      </c>
      <c r="P169" s="97" t="s">
        <v>2161</v>
      </c>
      <c r="Q169" s="97" t="s">
        <v>2162</v>
      </c>
      <c r="R169" s="97"/>
      <c r="S169" s="97" t="s">
        <v>2163</v>
      </c>
      <c r="T169" s="97"/>
      <c r="U169" s="97" t="s">
        <v>2164</v>
      </c>
      <c r="V169" s="97" t="s">
        <v>785</v>
      </c>
      <c r="W169" s="98"/>
      <c r="X169" s="98" t="s">
        <v>2165</v>
      </c>
      <c r="Y169" s="98"/>
      <c r="Z169" s="98"/>
      <c r="AA169" s="98" t="s">
        <v>45</v>
      </c>
      <c r="AB169" s="98" t="s">
        <v>2166</v>
      </c>
      <c r="AC169" s="98" t="s">
        <v>97</v>
      </c>
      <c r="AD169" s="97" t="s">
        <v>47</v>
      </c>
      <c r="AE169" s="97" t="s">
        <v>543</v>
      </c>
      <c r="AF169" s="97" t="s">
        <v>49</v>
      </c>
      <c r="AG169" s="97" t="s">
        <v>2167</v>
      </c>
    </row>
    <row r="170" spans="1:33" ht="343.25" customHeight="1">
      <c r="A170" s="97" t="s">
        <v>2168</v>
      </c>
      <c r="B170" s="97" t="s">
        <v>2169</v>
      </c>
      <c r="C170" s="97" t="s">
        <v>2170</v>
      </c>
      <c r="D170">
        <v>2021</v>
      </c>
      <c r="E170" s="97" t="s">
        <v>976</v>
      </c>
      <c r="F170"/>
      <c r="G170"/>
      <c r="H170"/>
      <c r="I170"/>
      <c r="J170"/>
      <c r="K170" s="93"/>
      <c r="L170">
        <v>0</v>
      </c>
      <c r="M170"/>
      <c r="N170" s="97" t="s">
        <v>2171</v>
      </c>
      <c r="O170" s="97" t="s">
        <v>2172</v>
      </c>
      <c r="P170" s="97" t="s">
        <v>2173</v>
      </c>
      <c r="Q170" s="97" t="s">
        <v>2174</v>
      </c>
      <c r="R170" s="97" t="s">
        <v>2175</v>
      </c>
      <c r="S170" s="97" t="s">
        <v>2176</v>
      </c>
      <c r="T170" s="97"/>
      <c r="U170" s="97"/>
      <c r="V170" s="97" t="s">
        <v>94</v>
      </c>
      <c r="W170" s="98"/>
      <c r="X170" s="98"/>
      <c r="Y170" s="98"/>
      <c r="Z170" s="98"/>
      <c r="AA170" s="98" t="s">
        <v>45</v>
      </c>
      <c r="AB170" s="98" t="s">
        <v>96</v>
      </c>
      <c r="AC170" s="98" t="s">
        <v>97</v>
      </c>
      <c r="AD170" s="97" t="s">
        <v>47</v>
      </c>
      <c r="AE170" s="97"/>
      <c r="AF170" s="97" t="s">
        <v>49</v>
      </c>
      <c r="AG170" s="97" t="s">
        <v>2177</v>
      </c>
    </row>
    <row r="171" spans="1:33" ht="343.25" customHeight="1">
      <c r="A171" s="97" t="s">
        <v>2178</v>
      </c>
      <c r="B171" s="97" t="s">
        <v>2179</v>
      </c>
      <c r="C171" s="97" t="s">
        <v>2180</v>
      </c>
      <c r="D171">
        <v>2023</v>
      </c>
      <c r="E171" s="97" t="s">
        <v>85</v>
      </c>
      <c r="F171">
        <v>3</v>
      </c>
      <c r="G171"/>
      <c r="H171"/>
      <c r="I171">
        <v>1322</v>
      </c>
      <c r="J171">
        <v>1329</v>
      </c>
      <c r="K171" s="93">
        <f>scopus[[#This Row],[Page end]]-scopus[[#This Row],[Page start]]</f>
        <v>7</v>
      </c>
      <c r="L171">
        <v>8</v>
      </c>
      <c r="M171"/>
      <c r="N171" s="97" t="s">
        <v>2181</v>
      </c>
      <c r="O171" s="97" t="s">
        <v>2182</v>
      </c>
      <c r="P171" s="97" t="s">
        <v>2183</v>
      </c>
      <c r="Q171" s="97" t="s">
        <v>2184</v>
      </c>
      <c r="R171" s="97" t="s">
        <v>2185</v>
      </c>
      <c r="S171" s="97" t="s">
        <v>2186</v>
      </c>
      <c r="T171" s="97"/>
      <c r="U171" s="97" t="s">
        <v>93</v>
      </c>
      <c r="V171" s="97" t="s">
        <v>94</v>
      </c>
      <c r="W171" s="98"/>
      <c r="X171" s="98" t="s">
        <v>95</v>
      </c>
      <c r="Y171" s="98"/>
      <c r="Z171" s="98"/>
      <c r="AA171" s="98" t="s">
        <v>45</v>
      </c>
      <c r="AB171" s="98" t="s">
        <v>96</v>
      </c>
      <c r="AC171" s="98" t="s">
        <v>97</v>
      </c>
      <c r="AD171" s="97" t="s">
        <v>47</v>
      </c>
      <c r="AE171" s="97"/>
      <c r="AF171" s="97" t="s">
        <v>49</v>
      </c>
      <c r="AG171" s="97" t="s">
        <v>2187</v>
      </c>
    </row>
    <row r="172" spans="1:33" ht="343.25" customHeight="1">
      <c r="A172" s="97" t="s">
        <v>2188</v>
      </c>
      <c r="B172" s="97" t="s">
        <v>2189</v>
      </c>
      <c r="C172" s="97" t="s">
        <v>2190</v>
      </c>
      <c r="D172">
        <v>2016</v>
      </c>
      <c r="E172" s="97" t="s">
        <v>2191</v>
      </c>
      <c r="F172"/>
      <c r="G172"/>
      <c r="H172"/>
      <c r="I172"/>
      <c r="J172"/>
      <c r="K172" s="93"/>
      <c r="L172">
        <v>1</v>
      </c>
      <c r="M172"/>
      <c r="N172" s="97" t="s">
        <v>2192</v>
      </c>
      <c r="O172" s="97" t="s">
        <v>2193</v>
      </c>
      <c r="P172" s="97" t="s">
        <v>2194</v>
      </c>
      <c r="Q172" s="97" t="s">
        <v>2195</v>
      </c>
      <c r="R172" s="97"/>
      <c r="S172" s="97" t="s">
        <v>2196</v>
      </c>
      <c r="T172" s="97"/>
      <c r="U172" s="97"/>
      <c r="V172" s="97" t="s">
        <v>2197</v>
      </c>
      <c r="W172" s="98"/>
      <c r="X172" s="98" t="s">
        <v>2198</v>
      </c>
      <c r="Y172" s="98"/>
      <c r="Z172" s="98"/>
      <c r="AA172" s="98" t="s">
        <v>45</v>
      </c>
      <c r="AB172" s="98" t="s">
        <v>2199</v>
      </c>
      <c r="AC172" s="98" t="s">
        <v>97</v>
      </c>
      <c r="AD172" s="97" t="s">
        <v>47</v>
      </c>
      <c r="AE172" s="97"/>
      <c r="AF172" s="97" t="s">
        <v>49</v>
      </c>
      <c r="AG172" s="97" t="s">
        <v>2200</v>
      </c>
    </row>
    <row r="173" spans="1:33" ht="343.25" customHeight="1">
      <c r="A173" s="97" t="s">
        <v>2201</v>
      </c>
      <c r="B173" s="97" t="s">
        <v>2202</v>
      </c>
      <c r="C173" s="97" t="s">
        <v>2203</v>
      </c>
      <c r="D173">
        <v>2022</v>
      </c>
      <c r="E173" s="97" t="s">
        <v>942</v>
      </c>
      <c r="F173"/>
      <c r="G173"/>
      <c r="H173"/>
      <c r="I173">
        <v>773</v>
      </c>
      <c r="J173">
        <v>782</v>
      </c>
      <c r="K173" s="93">
        <f>scopus[[#This Row],[Page end]]-scopus[[#This Row],[Page start]]</f>
        <v>9</v>
      </c>
      <c r="L173">
        <v>0</v>
      </c>
      <c r="M173"/>
      <c r="N173" s="97" t="s">
        <v>2204</v>
      </c>
      <c r="O173" s="97" t="s">
        <v>2205</v>
      </c>
      <c r="P173" s="97" t="s">
        <v>2206</v>
      </c>
      <c r="Q173" s="97" t="s">
        <v>2207</v>
      </c>
      <c r="R173" s="97" t="s">
        <v>2208</v>
      </c>
      <c r="S173" s="97" t="s">
        <v>2209</v>
      </c>
      <c r="T173" s="97"/>
      <c r="U173" s="97" t="s">
        <v>948</v>
      </c>
      <c r="V173" s="97" t="s">
        <v>949</v>
      </c>
      <c r="W173" s="98">
        <v>26174820</v>
      </c>
      <c r="X173" s="98" t="s">
        <v>950</v>
      </c>
      <c r="Y173" s="98"/>
      <c r="Z173" s="98"/>
      <c r="AA173" s="98" t="s">
        <v>45</v>
      </c>
      <c r="AB173" s="98" t="s">
        <v>951</v>
      </c>
      <c r="AC173" s="98" t="s">
        <v>97</v>
      </c>
      <c r="AD173" s="97" t="s">
        <v>47</v>
      </c>
      <c r="AE173" s="97"/>
      <c r="AF173" s="97" t="s">
        <v>49</v>
      </c>
      <c r="AG173" s="97" t="s">
        <v>2210</v>
      </c>
    </row>
    <row r="174" spans="1:33" ht="343.25" customHeight="1">
      <c r="A174" s="97" t="s">
        <v>2211</v>
      </c>
      <c r="B174" s="97" t="s">
        <v>2212</v>
      </c>
      <c r="C174" s="97" t="s">
        <v>2213</v>
      </c>
      <c r="D174">
        <v>2014</v>
      </c>
      <c r="E174" s="97" t="s">
        <v>2214</v>
      </c>
      <c r="F174"/>
      <c r="G174"/>
      <c r="H174"/>
      <c r="I174"/>
      <c r="J174"/>
      <c r="K174" s="93"/>
      <c r="L174">
        <v>23</v>
      </c>
      <c r="M174"/>
      <c r="N174" s="97" t="s">
        <v>2215</v>
      </c>
      <c r="O174" s="97" t="s">
        <v>2216</v>
      </c>
      <c r="P174" s="97" t="s">
        <v>2217</v>
      </c>
      <c r="Q174" s="97" t="s">
        <v>2218</v>
      </c>
      <c r="R174" s="97" t="s">
        <v>2219</v>
      </c>
      <c r="S174" s="97" t="s">
        <v>2220</v>
      </c>
      <c r="T174" s="97"/>
      <c r="U174" s="97" t="s">
        <v>2221</v>
      </c>
      <c r="V174" s="97" t="s">
        <v>1715</v>
      </c>
      <c r="W174" s="98"/>
      <c r="X174" s="98" t="s">
        <v>2222</v>
      </c>
      <c r="Y174" s="98"/>
      <c r="Z174" s="98"/>
      <c r="AA174" s="98" t="s">
        <v>45</v>
      </c>
      <c r="AB174" s="98" t="s">
        <v>2223</v>
      </c>
      <c r="AC174" s="98" t="s">
        <v>97</v>
      </c>
      <c r="AD174" s="97" t="s">
        <v>47</v>
      </c>
      <c r="AE174" s="97"/>
      <c r="AF174" s="97" t="s">
        <v>49</v>
      </c>
      <c r="AG174" s="97" t="s">
        <v>2224</v>
      </c>
    </row>
    <row r="175" spans="1:33" ht="343.25" customHeight="1">
      <c r="A175" s="97" t="s">
        <v>2225</v>
      </c>
      <c r="B175" s="97" t="s">
        <v>2226</v>
      </c>
      <c r="C175" s="97" t="s">
        <v>2227</v>
      </c>
      <c r="D175">
        <v>2018</v>
      </c>
      <c r="E175" s="97" t="s">
        <v>804</v>
      </c>
      <c r="F175"/>
      <c r="G175"/>
      <c r="H175"/>
      <c r="I175"/>
      <c r="J175"/>
      <c r="K175" s="93"/>
      <c r="L175">
        <v>0</v>
      </c>
      <c r="M175"/>
      <c r="N175" s="97" t="s">
        <v>2228</v>
      </c>
      <c r="O175" s="97" t="s">
        <v>2229</v>
      </c>
      <c r="P175" s="97" t="s">
        <v>2230</v>
      </c>
      <c r="Q175" s="97" t="s">
        <v>2231</v>
      </c>
      <c r="R175" s="97" t="s">
        <v>2232</v>
      </c>
      <c r="S175" s="97" t="s">
        <v>2233</v>
      </c>
      <c r="T175" s="97"/>
      <c r="U175" s="97"/>
      <c r="V175" s="97" t="s">
        <v>94</v>
      </c>
      <c r="W175" s="98"/>
      <c r="X175" s="98"/>
      <c r="Y175" s="98"/>
      <c r="Z175" s="98"/>
      <c r="AA175" s="98" t="s">
        <v>45</v>
      </c>
      <c r="AB175" s="98" t="s">
        <v>811</v>
      </c>
      <c r="AC175" s="98" t="s">
        <v>97</v>
      </c>
      <c r="AD175" s="97" t="s">
        <v>47</v>
      </c>
      <c r="AE175" s="97"/>
      <c r="AF175" s="97" t="s">
        <v>49</v>
      </c>
      <c r="AG175" s="97" t="s">
        <v>2234</v>
      </c>
    </row>
    <row r="176" spans="1:33" ht="343.25" customHeight="1">
      <c r="A176" s="97" t="s">
        <v>2235</v>
      </c>
      <c r="B176" s="97" t="s">
        <v>2236</v>
      </c>
      <c r="C176" s="97" t="s">
        <v>2237</v>
      </c>
      <c r="D176">
        <v>2024</v>
      </c>
      <c r="E176" s="97" t="s">
        <v>204</v>
      </c>
      <c r="F176">
        <v>2024</v>
      </c>
      <c r="G176"/>
      <c r="H176"/>
      <c r="I176"/>
      <c r="J176"/>
      <c r="K176" s="93"/>
      <c r="L176">
        <v>0</v>
      </c>
      <c r="M176"/>
      <c r="N176" s="97" t="s">
        <v>2238</v>
      </c>
      <c r="O176" s="97" t="s">
        <v>2239</v>
      </c>
      <c r="P176" s="97" t="s">
        <v>2240</v>
      </c>
      <c r="Q176" s="97" t="s">
        <v>2241</v>
      </c>
      <c r="R176" s="97"/>
      <c r="S176" s="97" t="s">
        <v>2242</v>
      </c>
      <c r="T176" s="97" t="s">
        <v>2243</v>
      </c>
      <c r="U176" s="97"/>
      <c r="V176" s="97" t="s">
        <v>210</v>
      </c>
      <c r="W176" s="98">
        <v>30065933</v>
      </c>
      <c r="X176" s="98"/>
      <c r="Y176" s="98"/>
      <c r="Z176" s="98"/>
      <c r="AA176" s="98" t="s">
        <v>45</v>
      </c>
      <c r="AB176" s="98" t="s">
        <v>211</v>
      </c>
      <c r="AC176" s="98" t="s">
        <v>212</v>
      </c>
      <c r="AD176" s="97" t="s">
        <v>47</v>
      </c>
      <c r="AE176" s="97"/>
      <c r="AF176" s="97" t="s">
        <v>49</v>
      </c>
      <c r="AG176" s="97" t="s">
        <v>2244</v>
      </c>
    </row>
    <row r="177" spans="1:33" ht="343.25" customHeight="1">
      <c r="A177" s="97" t="s">
        <v>2245</v>
      </c>
      <c r="B177" s="97" t="s">
        <v>2246</v>
      </c>
      <c r="C177" s="97" t="s">
        <v>2247</v>
      </c>
      <c r="D177">
        <v>2019</v>
      </c>
      <c r="E177" s="97" t="s">
        <v>2248</v>
      </c>
      <c r="F177" t="s">
        <v>2249</v>
      </c>
      <c r="G177"/>
      <c r="H177"/>
      <c r="I177">
        <v>5134</v>
      </c>
      <c r="J177">
        <v>5139</v>
      </c>
      <c r="K177" s="93">
        <f>scopus[[#This Row],[Page end]]-scopus[[#This Row],[Page start]]</f>
        <v>5</v>
      </c>
      <c r="L177">
        <v>3</v>
      </c>
      <c r="M177" t="s">
        <v>2250</v>
      </c>
      <c r="N177" s="97" t="s">
        <v>2251</v>
      </c>
      <c r="O177" s="97" t="s">
        <v>2252</v>
      </c>
      <c r="P177" s="97" t="s">
        <v>2253</v>
      </c>
      <c r="Q177" s="97" t="s">
        <v>2254</v>
      </c>
      <c r="R177" s="97" t="s">
        <v>2255</v>
      </c>
      <c r="S177" s="97" t="s">
        <v>2256</v>
      </c>
      <c r="T177" s="97"/>
      <c r="U177" s="97" t="s">
        <v>2257</v>
      </c>
      <c r="V177" s="97" t="s">
        <v>2258</v>
      </c>
      <c r="W177" s="98">
        <v>22267808</v>
      </c>
      <c r="X177" s="98" t="s">
        <v>2259</v>
      </c>
      <c r="Y177" s="98"/>
      <c r="Z177" s="98"/>
      <c r="AA177" s="98" t="s">
        <v>45</v>
      </c>
      <c r="AB177" s="98" t="s">
        <v>2260</v>
      </c>
      <c r="AC177" s="98" t="s">
        <v>97</v>
      </c>
      <c r="AD177" s="97" t="s">
        <v>47</v>
      </c>
      <c r="AE177" s="97"/>
      <c r="AF177" s="97" t="s">
        <v>49</v>
      </c>
      <c r="AG177" s="97" t="s">
        <v>2261</v>
      </c>
    </row>
    <row r="178" spans="1:33" ht="343.25" customHeight="1">
      <c r="A178" s="97" t="s">
        <v>2262</v>
      </c>
      <c r="B178" s="97" t="s">
        <v>2263</v>
      </c>
      <c r="C178" s="97" t="s">
        <v>2264</v>
      </c>
      <c r="D178">
        <v>2021</v>
      </c>
      <c r="E178" s="97" t="s">
        <v>445</v>
      </c>
      <c r="F178">
        <v>228</v>
      </c>
      <c r="G178"/>
      <c r="H178">
        <v>111425</v>
      </c>
      <c r="I178"/>
      <c r="J178"/>
      <c r="K178" s="93"/>
      <c r="L178">
        <v>31</v>
      </c>
      <c r="M178" t="s">
        <v>2265</v>
      </c>
      <c r="N178" s="97" t="s">
        <v>2266</v>
      </c>
      <c r="O178" s="97" t="s">
        <v>2267</v>
      </c>
      <c r="P178" s="97" t="s">
        <v>2268</v>
      </c>
      <c r="Q178" s="97" t="s">
        <v>2269</v>
      </c>
      <c r="R178" s="97" t="s">
        <v>2270</v>
      </c>
      <c r="S178" s="97" t="s">
        <v>2271</v>
      </c>
      <c r="T178" s="97" t="s">
        <v>2272</v>
      </c>
      <c r="U178" s="97"/>
      <c r="V178" s="97" t="s">
        <v>62</v>
      </c>
      <c r="W178" s="98">
        <v>1410296</v>
      </c>
      <c r="X178" s="98"/>
      <c r="Y178" s="98" t="s">
        <v>454</v>
      </c>
      <c r="Z178" s="98"/>
      <c r="AA178" s="98" t="s">
        <v>45</v>
      </c>
      <c r="AB178" s="98" t="s">
        <v>455</v>
      </c>
      <c r="AC178" s="98" t="s">
        <v>46</v>
      </c>
      <c r="AD178" s="97" t="s">
        <v>47</v>
      </c>
      <c r="AE178" s="97" t="s">
        <v>543</v>
      </c>
      <c r="AF178" s="97" t="s">
        <v>49</v>
      </c>
      <c r="AG178" s="97" t="s">
        <v>2273</v>
      </c>
    </row>
    <row r="179" spans="1:33" ht="343.25" customHeight="1">
      <c r="A179" s="97" t="s">
        <v>2274</v>
      </c>
      <c r="B179" s="97" t="s">
        <v>2275</v>
      </c>
      <c r="C179" s="97" t="s">
        <v>2276</v>
      </c>
      <c r="D179">
        <v>2023</v>
      </c>
      <c r="E179" s="97" t="s">
        <v>392</v>
      </c>
      <c r="F179">
        <v>10</v>
      </c>
      <c r="G179">
        <v>1</v>
      </c>
      <c r="H179"/>
      <c r="I179" s="3">
        <v>1</v>
      </c>
      <c r="J179">
        <v>47</v>
      </c>
      <c r="K179" s="93">
        <f>scopus[[#This Row],[Page end]]-scopus[[#This Row],[Page start]]</f>
        <v>46</v>
      </c>
      <c r="L179">
        <v>3</v>
      </c>
      <c r="M179" t="s">
        <v>2277</v>
      </c>
      <c r="N179" s="97" t="s">
        <v>2278</v>
      </c>
      <c r="O179" s="97" t="s">
        <v>2279</v>
      </c>
      <c r="P179" s="97" t="s">
        <v>2280</v>
      </c>
      <c r="Q179" s="97" t="s">
        <v>2281</v>
      </c>
      <c r="R179" s="97" t="s">
        <v>2282</v>
      </c>
      <c r="S179" s="97"/>
      <c r="T179" s="97"/>
      <c r="U179" s="97" t="s">
        <v>2283</v>
      </c>
      <c r="V179" s="97" t="s">
        <v>400</v>
      </c>
      <c r="W179" s="98" t="s">
        <v>401</v>
      </c>
      <c r="X179" s="98"/>
      <c r="Y179" s="98"/>
      <c r="Z179" s="98"/>
      <c r="AA179" s="98" t="s">
        <v>45</v>
      </c>
      <c r="AB179" s="98" t="s">
        <v>392</v>
      </c>
      <c r="AC179" s="98" t="s">
        <v>97</v>
      </c>
      <c r="AD179" s="97" t="s">
        <v>47</v>
      </c>
      <c r="AE179" s="97"/>
      <c r="AF179" s="97" t="s">
        <v>49</v>
      </c>
      <c r="AG179" s="97" t="s">
        <v>2284</v>
      </c>
    </row>
    <row r="180" spans="1:33" ht="343.25" customHeight="1">
      <c r="A180" s="97" t="s">
        <v>2285</v>
      </c>
      <c r="B180" s="97" t="s">
        <v>2286</v>
      </c>
      <c r="C180" s="97" t="s">
        <v>2287</v>
      </c>
      <c r="D180">
        <v>2025</v>
      </c>
      <c r="E180" s="97" t="s">
        <v>115</v>
      </c>
      <c r="F180" t="s">
        <v>2288</v>
      </c>
      <c r="G180"/>
      <c r="H180"/>
      <c r="I180">
        <v>18</v>
      </c>
      <c r="J180">
        <v>24</v>
      </c>
      <c r="K180" s="93">
        <f>scopus[[#This Row],[Page end]]-scopus[[#This Row],[Page start]]</f>
        <v>6</v>
      </c>
      <c r="L180">
        <v>0</v>
      </c>
      <c r="M180" t="s">
        <v>2289</v>
      </c>
      <c r="N180" s="97" t="s">
        <v>2290</v>
      </c>
      <c r="O180" s="97" t="s">
        <v>2291</v>
      </c>
      <c r="P180" s="97" t="s">
        <v>2292</v>
      </c>
      <c r="Q180" s="97" t="s">
        <v>2293</v>
      </c>
      <c r="R180" s="97" t="s">
        <v>2294</v>
      </c>
      <c r="S180" s="97" t="s">
        <v>2295</v>
      </c>
      <c r="T180" s="97" t="s">
        <v>2296</v>
      </c>
      <c r="U180" s="97" t="s">
        <v>599</v>
      </c>
      <c r="V180" s="97" t="s">
        <v>125</v>
      </c>
      <c r="W180" s="98">
        <v>23662557</v>
      </c>
      <c r="X180" s="98" t="s">
        <v>2297</v>
      </c>
      <c r="Y180" s="98"/>
      <c r="Z180" s="98"/>
      <c r="AA180" s="98" t="s">
        <v>45</v>
      </c>
      <c r="AB180" s="98" t="s">
        <v>127</v>
      </c>
      <c r="AC180" s="98" t="s">
        <v>97</v>
      </c>
      <c r="AD180" s="97" t="s">
        <v>47</v>
      </c>
      <c r="AE180" s="97"/>
      <c r="AF180" s="97" t="s">
        <v>49</v>
      </c>
      <c r="AG180" s="97" t="s">
        <v>2298</v>
      </c>
    </row>
    <row r="181" spans="1:33" ht="343.25" customHeight="1">
      <c r="A181" s="97" t="s">
        <v>2299</v>
      </c>
      <c r="B181" s="97" t="s">
        <v>2300</v>
      </c>
      <c r="C181" s="97" t="s">
        <v>2301</v>
      </c>
      <c r="D181">
        <v>2025</v>
      </c>
      <c r="E181" s="97" t="s">
        <v>174</v>
      </c>
      <c r="F181"/>
      <c r="G181"/>
      <c r="H181"/>
      <c r="I181">
        <v>1581</v>
      </c>
      <c r="J181">
        <v>1588</v>
      </c>
      <c r="K181" s="93">
        <f>scopus[[#This Row],[Page end]]-scopus[[#This Row],[Page start]]</f>
        <v>7</v>
      </c>
      <c r="L181">
        <v>0</v>
      </c>
      <c r="M181" t="s">
        <v>2302</v>
      </c>
      <c r="N181" s="97" t="s">
        <v>2303</v>
      </c>
      <c r="O181" s="97" t="s">
        <v>2304</v>
      </c>
      <c r="P181" s="97" t="s">
        <v>2305</v>
      </c>
      <c r="Q181" s="97" t="s">
        <v>2306</v>
      </c>
      <c r="R181" s="97" t="s">
        <v>2307</v>
      </c>
      <c r="S181" s="97" t="s">
        <v>2308</v>
      </c>
      <c r="T181" s="97"/>
      <c r="U181" s="97" t="s">
        <v>182</v>
      </c>
      <c r="V181" s="97" t="s">
        <v>94</v>
      </c>
      <c r="W181" s="98"/>
      <c r="X181" s="98" t="s">
        <v>183</v>
      </c>
      <c r="Y181" s="98"/>
      <c r="Z181" s="98"/>
      <c r="AA181" s="98" t="s">
        <v>45</v>
      </c>
      <c r="AB181" s="98" t="s">
        <v>184</v>
      </c>
      <c r="AC181" s="98" t="s">
        <v>97</v>
      </c>
      <c r="AD181" s="97" t="s">
        <v>47</v>
      </c>
      <c r="AE181" s="97"/>
      <c r="AF181" s="97" t="s">
        <v>49</v>
      </c>
      <c r="AG181" s="97" t="s">
        <v>2309</v>
      </c>
    </row>
    <row r="182" spans="1:33" ht="343.25" customHeight="1">
      <c r="A182" s="97" t="s">
        <v>2310</v>
      </c>
      <c r="B182" s="97" t="s">
        <v>2311</v>
      </c>
      <c r="C182" s="97" t="s">
        <v>2312</v>
      </c>
      <c r="D182">
        <v>2024</v>
      </c>
      <c r="E182" s="97" t="s">
        <v>232</v>
      </c>
      <c r="F182">
        <v>428</v>
      </c>
      <c r="G182"/>
      <c r="H182">
        <v>136150</v>
      </c>
      <c r="I182"/>
      <c r="J182"/>
      <c r="K182" s="93"/>
      <c r="L182">
        <v>12</v>
      </c>
      <c r="M182" t="s">
        <v>2313</v>
      </c>
      <c r="N182" s="97" t="s">
        <v>2314</v>
      </c>
      <c r="O182" s="97" t="s">
        <v>1463</v>
      </c>
      <c r="P182" s="97" t="s">
        <v>2315</v>
      </c>
      <c r="Q182" s="97" t="s">
        <v>2316</v>
      </c>
      <c r="R182" s="97" t="s">
        <v>2317</v>
      </c>
      <c r="S182" s="97" t="s">
        <v>2318</v>
      </c>
      <c r="T182" s="97" t="s">
        <v>2319</v>
      </c>
      <c r="U182" s="97"/>
      <c r="V182" s="97" t="s">
        <v>62</v>
      </c>
      <c r="W182" s="98">
        <v>9500618</v>
      </c>
      <c r="X182" s="98"/>
      <c r="Y182" s="98" t="s">
        <v>241</v>
      </c>
      <c r="Z182" s="98"/>
      <c r="AA182" s="98" t="s">
        <v>45</v>
      </c>
      <c r="AB182" s="98" t="s">
        <v>242</v>
      </c>
      <c r="AC182" s="98" t="s">
        <v>46</v>
      </c>
      <c r="AD182" s="97" t="s">
        <v>47</v>
      </c>
      <c r="AE182" s="97" t="s">
        <v>456</v>
      </c>
      <c r="AF182" s="97" t="s">
        <v>49</v>
      </c>
      <c r="AG182" s="97" t="s">
        <v>2320</v>
      </c>
    </row>
    <row r="183" spans="1:33" ht="343.25" customHeight="1">
      <c r="A183" s="97" t="s">
        <v>2321</v>
      </c>
      <c r="B183" s="97" t="s">
        <v>2322</v>
      </c>
      <c r="C183" s="97" t="s">
        <v>2323</v>
      </c>
      <c r="D183">
        <v>2017</v>
      </c>
      <c r="E183" s="97" t="s">
        <v>392</v>
      </c>
      <c r="F183">
        <v>4</v>
      </c>
      <c r="G183">
        <v>1</v>
      </c>
      <c r="H183"/>
      <c r="I183"/>
      <c r="J183"/>
      <c r="K183" s="93"/>
      <c r="L183">
        <v>1</v>
      </c>
      <c r="M183" t="s">
        <v>2324</v>
      </c>
      <c r="N183" s="97" t="s">
        <v>2325</v>
      </c>
      <c r="O183" s="97" t="s">
        <v>2326</v>
      </c>
      <c r="P183" s="97" t="s">
        <v>2327</v>
      </c>
      <c r="Q183" s="97" t="s">
        <v>2328</v>
      </c>
      <c r="R183" s="97" t="s">
        <v>2329</v>
      </c>
      <c r="S183" s="97"/>
      <c r="T183" s="97"/>
      <c r="U183" s="97" t="s">
        <v>2330</v>
      </c>
      <c r="V183" s="97" t="s">
        <v>400</v>
      </c>
      <c r="W183" s="98" t="s">
        <v>401</v>
      </c>
      <c r="X183" s="98"/>
      <c r="Y183" s="98"/>
      <c r="Z183" s="98"/>
      <c r="AA183" s="98" t="s">
        <v>45</v>
      </c>
      <c r="AB183" s="98" t="s">
        <v>392</v>
      </c>
      <c r="AC183" s="98" t="s">
        <v>97</v>
      </c>
      <c r="AD183" s="97" t="s">
        <v>47</v>
      </c>
      <c r="AE183" s="97"/>
      <c r="AF183" s="97" t="s">
        <v>49</v>
      </c>
      <c r="AG183" s="97" t="s">
        <v>2331</v>
      </c>
    </row>
    <row r="184" spans="1:33" ht="343.25" customHeight="1">
      <c r="A184" s="97" t="s">
        <v>2332</v>
      </c>
      <c r="B184" s="97" t="s">
        <v>2333</v>
      </c>
      <c r="C184" s="97" t="s">
        <v>2334</v>
      </c>
      <c r="D184">
        <v>2023</v>
      </c>
      <c r="E184" s="97" t="s">
        <v>85</v>
      </c>
      <c r="F184">
        <v>5</v>
      </c>
      <c r="G184"/>
      <c r="H184"/>
      <c r="I184">
        <v>2861</v>
      </c>
      <c r="J184">
        <v>2869</v>
      </c>
      <c r="K184" s="93">
        <f>scopus[[#This Row],[Page end]]-scopus[[#This Row],[Page start]]</f>
        <v>8</v>
      </c>
      <c r="L184">
        <v>1</v>
      </c>
      <c r="M184" t="s">
        <v>2335</v>
      </c>
      <c r="N184" s="97" t="s">
        <v>2336</v>
      </c>
      <c r="O184" s="97" t="s">
        <v>2337</v>
      </c>
      <c r="P184" s="97" t="s">
        <v>2338</v>
      </c>
      <c r="Q184" s="97" t="s">
        <v>2339</v>
      </c>
      <c r="R184" s="97" t="s">
        <v>2340</v>
      </c>
      <c r="S184" s="97" t="s">
        <v>2341</v>
      </c>
      <c r="T184" s="97"/>
      <c r="U184" s="97" t="s">
        <v>93</v>
      </c>
      <c r="V184" s="97" t="s">
        <v>94</v>
      </c>
      <c r="W184" s="98"/>
      <c r="X184" s="98" t="s">
        <v>95</v>
      </c>
      <c r="Y184" s="98"/>
      <c r="Z184" s="98"/>
      <c r="AA184" s="98" t="s">
        <v>45</v>
      </c>
      <c r="AB184" s="98" t="s">
        <v>96</v>
      </c>
      <c r="AC184" s="98" t="s">
        <v>97</v>
      </c>
      <c r="AD184" s="97" t="s">
        <v>47</v>
      </c>
      <c r="AE184" s="97" t="s">
        <v>80</v>
      </c>
      <c r="AF184" s="97" t="s">
        <v>49</v>
      </c>
      <c r="AG184" s="97" t="s">
        <v>2342</v>
      </c>
    </row>
    <row r="185" spans="1:33" ht="343.25" customHeight="1">
      <c r="A185" s="97" t="s">
        <v>2343</v>
      </c>
      <c r="B185" s="97" t="s">
        <v>2344</v>
      </c>
      <c r="C185" s="97" t="s">
        <v>2345</v>
      </c>
      <c r="D185">
        <v>2022</v>
      </c>
      <c r="E185" s="97" t="s">
        <v>2346</v>
      </c>
      <c r="F185">
        <v>17</v>
      </c>
      <c r="G185">
        <v>2</v>
      </c>
      <c r="H185"/>
      <c r="I185">
        <v>3278</v>
      </c>
      <c r="J185">
        <v>3290</v>
      </c>
      <c r="K185" s="93">
        <f>scopus[[#This Row],[Page end]]-scopus[[#This Row],[Page start]]</f>
        <v>12</v>
      </c>
      <c r="L185">
        <v>11</v>
      </c>
      <c r="M185" t="s">
        <v>2347</v>
      </c>
      <c r="N185" s="97" t="s">
        <v>2348</v>
      </c>
      <c r="O185" s="97" t="s">
        <v>2349</v>
      </c>
      <c r="P185" s="97" t="s">
        <v>2350</v>
      </c>
      <c r="Q185" s="97" t="s">
        <v>2351</v>
      </c>
      <c r="R185" s="97" t="s">
        <v>2352</v>
      </c>
      <c r="S185" s="97" t="s">
        <v>2353</v>
      </c>
      <c r="T185" s="97" t="s">
        <v>1004</v>
      </c>
      <c r="U185" s="97"/>
      <c r="V185" s="97" t="s">
        <v>1331</v>
      </c>
      <c r="W185" s="98">
        <v>19302126</v>
      </c>
      <c r="X185" s="98"/>
      <c r="Y185" s="98"/>
      <c r="Z185" s="98"/>
      <c r="AA185" s="98" t="s">
        <v>45</v>
      </c>
      <c r="AB185" s="98" t="s">
        <v>1332</v>
      </c>
      <c r="AC185" s="98" t="s">
        <v>46</v>
      </c>
      <c r="AD185" s="97" t="s">
        <v>47</v>
      </c>
      <c r="AE185" s="97"/>
      <c r="AF185" s="97" t="s">
        <v>49</v>
      </c>
      <c r="AG185" s="97" t="s">
        <v>2354</v>
      </c>
    </row>
    <row r="186" spans="1:33" ht="343.25" customHeight="1">
      <c r="A186" s="97" t="s">
        <v>2355</v>
      </c>
      <c r="B186" s="97" t="s">
        <v>2356</v>
      </c>
      <c r="C186" s="97" t="s">
        <v>2357</v>
      </c>
      <c r="D186">
        <v>2025</v>
      </c>
      <c r="E186" s="97" t="s">
        <v>174</v>
      </c>
      <c r="F186"/>
      <c r="G186"/>
      <c r="H186"/>
      <c r="I186">
        <v>2575</v>
      </c>
      <c r="J186">
        <v>2580</v>
      </c>
      <c r="K186" s="93">
        <f>scopus[[#This Row],[Page end]]-scopus[[#This Row],[Page start]]</f>
        <v>5</v>
      </c>
      <c r="L186">
        <v>0</v>
      </c>
      <c r="M186" t="s">
        <v>2358</v>
      </c>
      <c r="N186" s="97" t="s">
        <v>2359</v>
      </c>
      <c r="O186" s="97" t="s">
        <v>2360</v>
      </c>
      <c r="P186" s="97" t="s">
        <v>2361</v>
      </c>
      <c r="Q186" s="97" t="s">
        <v>2362</v>
      </c>
      <c r="R186" s="97" t="s">
        <v>2363</v>
      </c>
      <c r="S186" s="97" t="s">
        <v>2364</v>
      </c>
      <c r="T186" s="97"/>
      <c r="U186" s="97" t="s">
        <v>182</v>
      </c>
      <c r="V186" s="97" t="s">
        <v>94</v>
      </c>
      <c r="W186" s="98"/>
      <c r="X186" s="98" t="s">
        <v>183</v>
      </c>
      <c r="Y186" s="98"/>
      <c r="Z186" s="98"/>
      <c r="AA186" s="98" t="s">
        <v>45</v>
      </c>
      <c r="AB186" s="98" t="s">
        <v>184</v>
      </c>
      <c r="AC186" s="98" t="s">
        <v>97</v>
      </c>
      <c r="AD186" s="97" t="s">
        <v>47</v>
      </c>
      <c r="AE186" s="97"/>
      <c r="AF186" s="97" t="s">
        <v>49</v>
      </c>
      <c r="AG186" s="97" t="s">
        <v>2365</v>
      </c>
    </row>
    <row r="187" spans="1:33" ht="343.25" customHeight="1">
      <c r="A187" s="97" t="s">
        <v>2366</v>
      </c>
      <c r="B187" s="97" t="s">
        <v>2367</v>
      </c>
      <c r="C187" s="97" t="s">
        <v>2368</v>
      </c>
      <c r="D187">
        <v>2025</v>
      </c>
      <c r="E187" s="97" t="s">
        <v>471</v>
      </c>
      <c r="F187">
        <v>48</v>
      </c>
      <c r="G187"/>
      <c r="H187"/>
      <c r="I187">
        <v>103</v>
      </c>
      <c r="J187">
        <v>112</v>
      </c>
      <c r="K187" s="93">
        <f>scopus[[#This Row],[Page end]]-scopus[[#This Row],[Page start]]</f>
        <v>9</v>
      </c>
      <c r="L187">
        <v>2</v>
      </c>
      <c r="M187" t="s">
        <v>2369</v>
      </c>
      <c r="N187" s="97" t="s">
        <v>2370</v>
      </c>
      <c r="O187" s="97" t="s">
        <v>702</v>
      </c>
      <c r="P187" s="97" t="s">
        <v>2371</v>
      </c>
      <c r="Q187" s="97" t="s">
        <v>2372</v>
      </c>
      <c r="R187" s="97" t="s">
        <v>2373</v>
      </c>
      <c r="S187" s="97"/>
      <c r="T187" s="97" t="s">
        <v>706</v>
      </c>
      <c r="U187" s="97" t="s">
        <v>474</v>
      </c>
      <c r="V187" s="97" t="s">
        <v>475</v>
      </c>
      <c r="W187" s="98">
        <v>24743941</v>
      </c>
      <c r="X187" s="98" t="s">
        <v>476</v>
      </c>
      <c r="Y187" s="98"/>
      <c r="Z187" s="98"/>
      <c r="AA187" s="98" t="s">
        <v>45</v>
      </c>
      <c r="AB187" s="98" t="s">
        <v>477</v>
      </c>
      <c r="AC187" s="98" t="s">
        <v>97</v>
      </c>
      <c r="AD187" s="97" t="s">
        <v>47</v>
      </c>
      <c r="AE187" s="97" t="s">
        <v>456</v>
      </c>
      <c r="AF187" s="97" t="s">
        <v>49</v>
      </c>
      <c r="AG187" s="97" t="s">
        <v>2374</v>
      </c>
    </row>
    <row r="188" spans="1:33" ht="343.25" customHeight="1">
      <c r="A188" s="97" t="s">
        <v>2375</v>
      </c>
      <c r="B188" s="97" t="s">
        <v>2376</v>
      </c>
      <c r="C188" s="97" t="s">
        <v>2377</v>
      </c>
      <c r="D188">
        <v>2025</v>
      </c>
      <c r="E188" s="97" t="s">
        <v>54</v>
      </c>
      <c r="F188">
        <v>106</v>
      </c>
      <c r="G188"/>
      <c r="H188">
        <v>112605</v>
      </c>
      <c r="I188"/>
      <c r="J188"/>
      <c r="K188" s="93"/>
      <c r="L188">
        <v>3</v>
      </c>
      <c r="M188" t="s">
        <v>2378</v>
      </c>
      <c r="N188" s="97" t="s">
        <v>2379</v>
      </c>
      <c r="O188" s="97" t="s">
        <v>2380</v>
      </c>
      <c r="P188" s="97" t="s">
        <v>2381</v>
      </c>
      <c r="Q188" s="97" t="s">
        <v>2382</v>
      </c>
      <c r="R188" s="97" t="s">
        <v>2383</v>
      </c>
      <c r="S188" s="97" t="s">
        <v>2384</v>
      </c>
      <c r="T188" s="97" t="s">
        <v>2385</v>
      </c>
      <c r="U188" s="97"/>
      <c r="V188" s="97" t="s">
        <v>62</v>
      </c>
      <c r="W188" s="98">
        <v>23527102</v>
      </c>
      <c r="X188" s="98"/>
      <c r="Y188" s="98"/>
      <c r="Z188" s="98"/>
      <c r="AA188" s="98" t="s">
        <v>45</v>
      </c>
      <c r="AB188" s="98" t="s">
        <v>63</v>
      </c>
      <c r="AC188" s="98" t="s">
        <v>46</v>
      </c>
      <c r="AD188" s="97" t="s">
        <v>47</v>
      </c>
      <c r="AE188" s="97" t="s">
        <v>456</v>
      </c>
      <c r="AF188" s="97" t="s">
        <v>49</v>
      </c>
      <c r="AG188" s="97" t="s">
        <v>2386</v>
      </c>
    </row>
    <row r="189" spans="1:33" ht="343.25" customHeight="1">
      <c r="A189" s="97" t="s">
        <v>2387</v>
      </c>
      <c r="B189" s="97" t="s">
        <v>2388</v>
      </c>
      <c r="C189" s="97" t="s">
        <v>2389</v>
      </c>
      <c r="D189">
        <v>2024</v>
      </c>
      <c r="E189" s="97" t="s">
        <v>406</v>
      </c>
      <c r="F189">
        <v>14</v>
      </c>
      <c r="G189">
        <v>3</v>
      </c>
      <c r="H189">
        <v>689</v>
      </c>
      <c r="I189"/>
      <c r="J189"/>
      <c r="K189" s="93"/>
      <c r="L189">
        <v>11</v>
      </c>
      <c r="M189" t="s">
        <v>2390</v>
      </c>
      <c r="N189" s="97" t="s">
        <v>2391</v>
      </c>
      <c r="O189" s="97" t="s">
        <v>2392</v>
      </c>
      <c r="P189" s="97" t="s">
        <v>2393</v>
      </c>
      <c r="Q189" s="97" t="s">
        <v>2394</v>
      </c>
      <c r="R189" s="97" t="s">
        <v>2395</v>
      </c>
      <c r="S189" s="97" t="s">
        <v>2396</v>
      </c>
      <c r="T189" s="97" t="s">
        <v>2397</v>
      </c>
      <c r="U189" s="97"/>
      <c r="V189" s="97" t="s">
        <v>44</v>
      </c>
      <c r="W189" s="98">
        <v>20755309</v>
      </c>
      <c r="X189" s="98"/>
      <c r="Y189" s="98"/>
      <c r="Z189" s="98"/>
      <c r="AA189" s="98" t="s">
        <v>45</v>
      </c>
      <c r="AB189" s="98" t="s">
        <v>406</v>
      </c>
      <c r="AC189" s="98" t="s">
        <v>46</v>
      </c>
      <c r="AD189" s="97" t="s">
        <v>47</v>
      </c>
      <c r="AE189" s="97" t="s">
        <v>48</v>
      </c>
      <c r="AF189" s="97" t="s">
        <v>49</v>
      </c>
      <c r="AG189" s="97" t="s">
        <v>2398</v>
      </c>
    </row>
    <row r="190" spans="1:33" ht="343.25" customHeight="1">
      <c r="A190" s="97" t="s">
        <v>480</v>
      </c>
      <c r="B190" s="97" t="s">
        <v>481</v>
      </c>
      <c r="C190" s="97" t="s">
        <v>2399</v>
      </c>
      <c r="D190">
        <v>2022</v>
      </c>
      <c r="E190" s="97" t="s">
        <v>232</v>
      </c>
      <c r="F190">
        <v>319</v>
      </c>
      <c r="G190"/>
      <c r="H190">
        <v>126092</v>
      </c>
      <c r="I190"/>
      <c r="J190"/>
      <c r="K190" s="93"/>
      <c r="L190">
        <v>25</v>
      </c>
      <c r="M190" t="s">
        <v>2400</v>
      </c>
      <c r="N190" s="97" t="s">
        <v>2401</v>
      </c>
      <c r="O190" s="97" t="s">
        <v>2172</v>
      </c>
      <c r="P190" s="97" t="s">
        <v>2402</v>
      </c>
      <c r="Q190" s="97" t="s">
        <v>2403</v>
      </c>
      <c r="R190" s="97" t="s">
        <v>2404</v>
      </c>
      <c r="S190" s="97" t="s">
        <v>2405</v>
      </c>
      <c r="T190" s="97" t="s">
        <v>2406</v>
      </c>
      <c r="U190" s="97"/>
      <c r="V190" s="97" t="s">
        <v>62</v>
      </c>
      <c r="W190" s="98">
        <v>9500618</v>
      </c>
      <c r="X190" s="98"/>
      <c r="Y190" s="98" t="s">
        <v>241</v>
      </c>
      <c r="Z190" s="98"/>
      <c r="AA190" s="98" t="s">
        <v>45</v>
      </c>
      <c r="AB190" s="98" t="s">
        <v>242</v>
      </c>
      <c r="AC190" s="98" t="s">
        <v>46</v>
      </c>
      <c r="AD190" s="97" t="s">
        <v>47</v>
      </c>
      <c r="AE190" s="97"/>
      <c r="AF190" s="97" t="s">
        <v>49</v>
      </c>
      <c r="AG190" s="97" t="s">
        <v>2407</v>
      </c>
    </row>
    <row r="191" spans="1:33" ht="343.25" customHeight="1">
      <c r="A191" s="97" t="s">
        <v>2408</v>
      </c>
      <c r="B191" s="97" t="s">
        <v>2409</v>
      </c>
      <c r="C191" s="97" t="s">
        <v>2410</v>
      </c>
      <c r="D191">
        <v>2021</v>
      </c>
      <c r="E191" s="97" t="s">
        <v>976</v>
      </c>
      <c r="F191"/>
      <c r="G191"/>
      <c r="H191"/>
      <c r="I191"/>
      <c r="J191"/>
      <c r="K191" s="93"/>
      <c r="L191">
        <v>0</v>
      </c>
      <c r="M191"/>
      <c r="N191" s="97" t="s">
        <v>2411</v>
      </c>
      <c r="O191" s="97" t="s">
        <v>2412</v>
      </c>
      <c r="P191" s="97" t="s">
        <v>2413</v>
      </c>
      <c r="Q191" s="97" t="s">
        <v>2414</v>
      </c>
      <c r="R191" s="97" t="s">
        <v>2415</v>
      </c>
      <c r="S191" s="97" t="s">
        <v>2416</v>
      </c>
      <c r="T191" s="97"/>
      <c r="U191" s="97"/>
      <c r="V191" s="97" t="s">
        <v>94</v>
      </c>
      <c r="W191" s="98"/>
      <c r="X191" s="98"/>
      <c r="Y191" s="98"/>
      <c r="Z191" s="98"/>
      <c r="AA191" s="98" t="s">
        <v>45</v>
      </c>
      <c r="AB191" s="98" t="s">
        <v>96</v>
      </c>
      <c r="AC191" s="98" t="s">
        <v>97</v>
      </c>
      <c r="AD191" s="97" t="s">
        <v>47</v>
      </c>
      <c r="AE191" s="97"/>
      <c r="AF191" s="97" t="s">
        <v>49</v>
      </c>
      <c r="AG191" s="97" t="s">
        <v>2417</v>
      </c>
    </row>
    <row r="192" spans="1:33" ht="343.25" customHeight="1">
      <c r="A192" s="97" t="s">
        <v>2418</v>
      </c>
      <c r="B192" s="97" t="s">
        <v>2419</v>
      </c>
      <c r="C192" s="97" t="s">
        <v>2420</v>
      </c>
      <c r="D192">
        <v>2018</v>
      </c>
      <c r="E192" s="97" t="s">
        <v>804</v>
      </c>
      <c r="F192"/>
      <c r="G192"/>
      <c r="H192"/>
      <c r="I192"/>
      <c r="J192"/>
      <c r="K192" s="93"/>
      <c r="L192">
        <v>0</v>
      </c>
      <c r="M192"/>
      <c r="N192" s="97" t="s">
        <v>2421</v>
      </c>
      <c r="O192" s="97" t="s">
        <v>2422</v>
      </c>
      <c r="P192" s="97" t="s">
        <v>2423</v>
      </c>
      <c r="Q192" s="97" t="s">
        <v>2424</v>
      </c>
      <c r="R192" s="97" t="s">
        <v>2425</v>
      </c>
      <c r="S192" s="97" t="s">
        <v>2426</v>
      </c>
      <c r="T192" s="97"/>
      <c r="U192" s="97"/>
      <c r="V192" s="97" t="s">
        <v>94</v>
      </c>
      <c r="W192" s="98"/>
      <c r="X192" s="98"/>
      <c r="Y192" s="98"/>
      <c r="Z192" s="98"/>
      <c r="AA192" s="98" t="s">
        <v>45</v>
      </c>
      <c r="AB192" s="98" t="s">
        <v>811</v>
      </c>
      <c r="AC192" s="98" t="s">
        <v>97</v>
      </c>
      <c r="AD192" s="97" t="s">
        <v>47</v>
      </c>
      <c r="AE192" s="97"/>
      <c r="AF192" s="97" t="s">
        <v>49</v>
      </c>
      <c r="AG192" s="97" t="s">
        <v>2427</v>
      </c>
    </row>
    <row r="193" spans="1:33" ht="343.25" customHeight="1">
      <c r="A193" s="97" t="s">
        <v>1890</v>
      </c>
      <c r="B193" s="97" t="s">
        <v>1891</v>
      </c>
      <c r="C193" s="97" t="s">
        <v>2428</v>
      </c>
      <c r="D193">
        <v>2026</v>
      </c>
      <c r="E193" s="97" t="s">
        <v>445</v>
      </c>
      <c r="F193">
        <v>353</v>
      </c>
      <c r="G193"/>
      <c r="H193">
        <v>122351</v>
      </c>
      <c r="I193"/>
      <c r="J193"/>
      <c r="K193" s="93"/>
      <c r="L193">
        <v>0</v>
      </c>
      <c r="M193" t="s">
        <v>2429</v>
      </c>
      <c r="N193" s="97" t="s">
        <v>2430</v>
      </c>
      <c r="O193" s="97" t="s">
        <v>2431</v>
      </c>
      <c r="P193" s="97" t="s">
        <v>2432</v>
      </c>
      <c r="Q193" s="97" t="s">
        <v>2433</v>
      </c>
      <c r="R193" s="97" t="s">
        <v>2434</v>
      </c>
      <c r="S193" s="97" t="s">
        <v>2435</v>
      </c>
      <c r="T193" s="97" t="s">
        <v>2436</v>
      </c>
      <c r="U193" s="97"/>
      <c r="V193" s="97" t="s">
        <v>62</v>
      </c>
      <c r="W193" s="98">
        <v>1410296</v>
      </c>
      <c r="X193" s="98"/>
      <c r="Y193" s="98" t="s">
        <v>454</v>
      </c>
      <c r="Z193" s="98"/>
      <c r="AA193" s="98" t="s">
        <v>45</v>
      </c>
      <c r="AB193" s="98" t="s">
        <v>455</v>
      </c>
      <c r="AC193" s="98" t="s">
        <v>46</v>
      </c>
      <c r="AD193" s="97" t="s">
        <v>47</v>
      </c>
      <c r="AE193" s="97"/>
      <c r="AF193" s="97" t="s">
        <v>49</v>
      </c>
      <c r="AG193" s="97" t="s">
        <v>2437</v>
      </c>
    </row>
    <row r="194" spans="1:33" ht="343.25" customHeight="1">
      <c r="A194" s="97" t="s">
        <v>2438</v>
      </c>
      <c r="B194" s="97" t="s">
        <v>2439</v>
      </c>
      <c r="C194" s="97" t="s">
        <v>2440</v>
      </c>
      <c r="D194">
        <v>2017</v>
      </c>
      <c r="E194" s="97" t="s">
        <v>377</v>
      </c>
      <c r="F194">
        <v>23</v>
      </c>
      <c r="G194">
        <v>3</v>
      </c>
      <c r="H194">
        <v>6017002</v>
      </c>
      <c r="I194"/>
      <c r="J194"/>
      <c r="K194" s="93"/>
      <c r="L194">
        <v>20</v>
      </c>
      <c r="M194" t="s">
        <v>2441</v>
      </c>
      <c r="N194" s="97" t="s">
        <v>2442</v>
      </c>
      <c r="O194" s="97" t="s">
        <v>2443</v>
      </c>
      <c r="P194" s="97" t="s">
        <v>2444</v>
      </c>
      <c r="Q194" s="97" t="s">
        <v>2445</v>
      </c>
      <c r="R194" s="97"/>
      <c r="S194" s="97" t="s">
        <v>2446</v>
      </c>
      <c r="T194" s="97" t="s">
        <v>2447</v>
      </c>
      <c r="U194" s="97"/>
      <c r="V194" s="97" t="s">
        <v>298</v>
      </c>
      <c r="W194" s="98">
        <v>10760431</v>
      </c>
      <c r="X194" s="98"/>
      <c r="Y194" s="98" t="s">
        <v>386</v>
      </c>
      <c r="Z194" s="98"/>
      <c r="AA194" s="98" t="s">
        <v>45</v>
      </c>
      <c r="AB194" s="98" t="s">
        <v>387</v>
      </c>
      <c r="AC194" s="98" t="s">
        <v>46</v>
      </c>
      <c r="AD194" s="97" t="s">
        <v>47</v>
      </c>
      <c r="AE194" s="97"/>
      <c r="AF194" s="97" t="s">
        <v>49</v>
      </c>
      <c r="AG194" s="97" t="s">
        <v>2448</v>
      </c>
    </row>
    <row r="195" spans="1:33" ht="343.25" customHeight="1">
      <c r="A195" s="97" t="s">
        <v>2449</v>
      </c>
      <c r="B195" s="97" t="s">
        <v>2450</v>
      </c>
      <c r="C195" s="97" t="s">
        <v>2451</v>
      </c>
      <c r="D195">
        <v>2020</v>
      </c>
      <c r="E195" s="97" t="s">
        <v>406</v>
      </c>
      <c r="F195">
        <v>10</v>
      </c>
      <c r="G195">
        <v>7</v>
      </c>
      <c r="H195">
        <v>122</v>
      </c>
      <c r="I195"/>
      <c r="J195"/>
      <c r="K195" s="93"/>
      <c r="L195">
        <v>38</v>
      </c>
      <c r="M195" t="s">
        <v>2452</v>
      </c>
      <c r="N195" s="97" t="s">
        <v>2453</v>
      </c>
      <c r="O195" s="97" t="s">
        <v>2454</v>
      </c>
      <c r="P195" s="97" t="s">
        <v>2455</v>
      </c>
      <c r="Q195" s="97" t="s">
        <v>2456</v>
      </c>
      <c r="R195" s="97" t="s">
        <v>2457</v>
      </c>
      <c r="S195" s="97"/>
      <c r="T195" s="97" t="s">
        <v>2458</v>
      </c>
      <c r="U195" s="97"/>
      <c r="V195" s="97" t="s">
        <v>440</v>
      </c>
      <c r="W195" s="98">
        <v>20755309</v>
      </c>
      <c r="X195" s="98"/>
      <c r="Y195" s="98"/>
      <c r="Z195" s="98"/>
      <c r="AA195" s="98" t="s">
        <v>45</v>
      </c>
      <c r="AB195" s="98" t="s">
        <v>406</v>
      </c>
      <c r="AC195" s="98" t="s">
        <v>46</v>
      </c>
      <c r="AD195" s="97" t="s">
        <v>47</v>
      </c>
      <c r="AE195" s="97" t="s">
        <v>48</v>
      </c>
      <c r="AF195" s="97" t="s">
        <v>49</v>
      </c>
      <c r="AG195" s="97" t="s">
        <v>2459</v>
      </c>
    </row>
    <row r="196" spans="1:33" ht="343.25" customHeight="1">
      <c r="A196" s="97" t="s">
        <v>2460</v>
      </c>
      <c r="B196" s="97" t="s">
        <v>2461</v>
      </c>
      <c r="C196" s="97" t="s">
        <v>2462</v>
      </c>
      <c r="D196">
        <v>2025</v>
      </c>
      <c r="E196" s="97" t="s">
        <v>2463</v>
      </c>
      <c r="F196">
        <v>23</v>
      </c>
      <c r="G196">
        <v>4</v>
      </c>
      <c r="H196">
        <v>111560</v>
      </c>
      <c r="I196">
        <v>1759</v>
      </c>
      <c r="J196">
        <v>1794</v>
      </c>
      <c r="K196" s="93">
        <f>scopus[[#This Row],[Page end]]-scopus[[#This Row],[Page start]]</f>
        <v>35</v>
      </c>
      <c r="L196">
        <v>2</v>
      </c>
      <c r="M196" t="s">
        <v>2464</v>
      </c>
      <c r="N196" s="97" t="s">
        <v>2465</v>
      </c>
      <c r="O196" s="97" t="s">
        <v>2466</v>
      </c>
      <c r="P196" s="97" t="s">
        <v>2467</v>
      </c>
      <c r="Q196" s="97" t="s">
        <v>2468</v>
      </c>
      <c r="R196" s="97" t="s">
        <v>2469</v>
      </c>
      <c r="S196" s="97" t="s">
        <v>2470</v>
      </c>
      <c r="T196" s="97" t="s">
        <v>2471</v>
      </c>
      <c r="U196" s="97"/>
      <c r="V196" s="97" t="s">
        <v>2472</v>
      </c>
      <c r="W196" s="98" t="s">
        <v>2473</v>
      </c>
      <c r="X196" s="98"/>
      <c r="Y196" s="98"/>
      <c r="Z196" s="98"/>
      <c r="AA196" s="98" t="s">
        <v>45</v>
      </c>
      <c r="AB196" s="98" t="s">
        <v>2474</v>
      </c>
      <c r="AC196" s="98" t="s">
        <v>46</v>
      </c>
      <c r="AD196" s="97" t="s">
        <v>47</v>
      </c>
      <c r="AE196" s="97" t="s">
        <v>930</v>
      </c>
      <c r="AF196" s="97" t="s">
        <v>49</v>
      </c>
      <c r="AG196" s="97" t="s">
        <v>2475</v>
      </c>
    </row>
    <row r="197" spans="1:33" ht="343.25" customHeight="1">
      <c r="A197" s="97" t="s">
        <v>2476</v>
      </c>
      <c r="B197" s="97" t="s">
        <v>2477</v>
      </c>
      <c r="C197" s="97" t="s">
        <v>2478</v>
      </c>
      <c r="D197">
        <v>2025</v>
      </c>
      <c r="E197" s="97" t="s">
        <v>1503</v>
      </c>
      <c r="F197"/>
      <c r="G197"/>
      <c r="H197"/>
      <c r="I197">
        <v>840</v>
      </c>
      <c r="J197">
        <v>845</v>
      </c>
      <c r="K197" s="93">
        <f>scopus[[#This Row],[Page end]]-scopus[[#This Row],[Page start]]</f>
        <v>5</v>
      </c>
      <c r="L197">
        <v>0</v>
      </c>
      <c r="M197" t="s">
        <v>2479</v>
      </c>
      <c r="N197" s="97" t="s">
        <v>2480</v>
      </c>
      <c r="O197" s="97" t="s">
        <v>2481</v>
      </c>
      <c r="P197" s="97" t="s">
        <v>2482</v>
      </c>
      <c r="Q197" s="97" t="s">
        <v>2483</v>
      </c>
      <c r="R197" s="97" t="s">
        <v>2484</v>
      </c>
      <c r="S197" s="97" t="s">
        <v>2485</v>
      </c>
      <c r="T197" s="97"/>
      <c r="U197" s="97"/>
      <c r="V197" s="97" t="s">
        <v>1510</v>
      </c>
      <c r="W197" s="98"/>
      <c r="X197" s="98" t="s">
        <v>1511</v>
      </c>
      <c r="Y197" s="98"/>
      <c r="Z197" s="98"/>
      <c r="AA197" s="98" t="s">
        <v>45</v>
      </c>
      <c r="AB197" s="98" t="s">
        <v>1512</v>
      </c>
      <c r="AC197" s="98" t="s">
        <v>212</v>
      </c>
      <c r="AD197" s="97" t="s">
        <v>47</v>
      </c>
      <c r="AE197" s="97"/>
      <c r="AF197" s="97" t="s">
        <v>49</v>
      </c>
      <c r="AG197" s="97" t="s">
        <v>2486</v>
      </c>
    </row>
    <row r="198" spans="1:33" ht="343.25" customHeight="1">
      <c r="A198" s="97" t="s">
        <v>2487</v>
      </c>
      <c r="B198" s="97" t="s">
        <v>2488</v>
      </c>
      <c r="C198" s="97" t="s">
        <v>2489</v>
      </c>
      <c r="D198">
        <v>2020</v>
      </c>
      <c r="E198" s="97" t="s">
        <v>2490</v>
      </c>
      <c r="F198">
        <v>161</v>
      </c>
      <c r="G198"/>
      <c r="H198">
        <v>107173</v>
      </c>
      <c r="I198"/>
      <c r="J198"/>
      <c r="K198" s="93"/>
      <c r="L198">
        <v>50</v>
      </c>
      <c r="M198" t="s">
        <v>2491</v>
      </c>
      <c r="N198" s="97" t="s">
        <v>2492</v>
      </c>
      <c r="O198" s="97" t="s">
        <v>2493</v>
      </c>
      <c r="P198" s="97" t="s">
        <v>2494</v>
      </c>
      <c r="Q198" s="97" t="s">
        <v>2495</v>
      </c>
      <c r="R198" s="97" t="s">
        <v>2496</v>
      </c>
      <c r="S198" s="97" t="s">
        <v>2497</v>
      </c>
      <c r="T198" s="97" t="s">
        <v>2498</v>
      </c>
      <c r="U198" s="97"/>
      <c r="V198" s="97" t="s">
        <v>62</v>
      </c>
      <c r="W198" s="98" t="s">
        <v>2499</v>
      </c>
      <c r="X198" s="98"/>
      <c r="Y198" s="98" t="s">
        <v>2500</v>
      </c>
      <c r="Z198" s="98"/>
      <c r="AA198" s="98" t="s">
        <v>45</v>
      </c>
      <c r="AB198" s="98" t="s">
        <v>2501</v>
      </c>
      <c r="AC198" s="98" t="s">
        <v>46</v>
      </c>
      <c r="AD198" s="97" t="s">
        <v>47</v>
      </c>
      <c r="AE198" s="97"/>
      <c r="AF198" s="97" t="s">
        <v>49</v>
      </c>
      <c r="AG198" s="97" t="s">
        <v>2502</v>
      </c>
    </row>
    <row r="199" spans="1:33" ht="343.25" customHeight="1">
      <c r="A199" s="97" t="s">
        <v>2503</v>
      </c>
      <c r="B199" s="97" t="s">
        <v>2504</v>
      </c>
      <c r="C199" s="97" t="s">
        <v>2505</v>
      </c>
      <c r="D199">
        <v>2019</v>
      </c>
      <c r="E199" s="97" t="s">
        <v>289</v>
      </c>
      <c r="F199">
        <v>145</v>
      </c>
      <c r="G199">
        <v>3</v>
      </c>
      <c r="H199">
        <v>4018268</v>
      </c>
      <c r="I199"/>
      <c r="J199"/>
      <c r="K199" s="93"/>
      <c r="L199">
        <v>20</v>
      </c>
      <c r="M199" t="s">
        <v>2506</v>
      </c>
      <c r="N199" s="97" t="s">
        <v>2507</v>
      </c>
      <c r="O199" s="97" t="s">
        <v>2508</v>
      </c>
      <c r="P199" s="97" t="s">
        <v>2509</v>
      </c>
      <c r="Q199" s="97" t="s">
        <v>2510</v>
      </c>
      <c r="R199" s="97" t="s">
        <v>2511</v>
      </c>
      <c r="S199" s="97" t="s">
        <v>2512</v>
      </c>
      <c r="T199" s="97" t="s">
        <v>2513</v>
      </c>
      <c r="U199" s="97"/>
      <c r="V199" s="97" t="s">
        <v>298</v>
      </c>
      <c r="W199" s="98">
        <v>7339445</v>
      </c>
      <c r="X199" s="98"/>
      <c r="Y199" s="98" t="s">
        <v>299</v>
      </c>
      <c r="Z199" s="98"/>
      <c r="AA199" s="98" t="s">
        <v>45</v>
      </c>
      <c r="AB199" s="98" t="s">
        <v>300</v>
      </c>
      <c r="AC199" s="98" t="s">
        <v>46</v>
      </c>
      <c r="AD199" s="97" t="s">
        <v>47</v>
      </c>
      <c r="AE199" s="97"/>
      <c r="AF199" s="97" t="s">
        <v>49</v>
      </c>
      <c r="AG199" s="97" t="s">
        <v>2514</v>
      </c>
    </row>
    <row r="200" spans="1:33" ht="343.25" customHeight="1">
      <c r="A200" s="97" t="s">
        <v>2515</v>
      </c>
      <c r="B200" s="97" t="s">
        <v>2516</v>
      </c>
      <c r="C200" s="97" t="s">
        <v>2517</v>
      </c>
      <c r="D200">
        <v>2022</v>
      </c>
      <c r="E200" s="97" t="s">
        <v>2518</v>
      </c>
      <c r="F200">
        <v>28</v>
      </c>
      <c r="G200">
        <v>1</v>
      </c>
      <c r="H200"/>
      <c r="I200">
        <v>147</v>
      </c>
      <c r="J200">
        <v>164</v>
      </c>
      <c r="K200" s="93">
        <f>scopus[[#This Row],[Page end]]-scopus[[#This Row],[Page start]]</f>
        <v>17</v>
      </c>
      <c r="L200">
        <v>3</v>
      </c>
      <c r="M200" t="s">
        <v>2519</v>
      </c>
      <c r="N200" s="97" t="s">
        <v>2520</v>
      </c>
      <c r="O200" s="97" t="s">
        <v>2521</v>
      </c>
      <c r="P200" s="97" t="s">
        <v>2522</v>
      </c>
      <c r="Q200" s="97" t="s">
        <v>2523</v>
      </c>
      <c r="R200" s="97" t="s">
        <v>2524</v>
      </c>
      <c r="S200" s="97"/>
      <c r="T200" s="97"/>
      <c r="U200" s="97"/>
      <c r="V200" s="97" t="s">
        <v>2525</v>
      </c>
      <c r="W200" s="98">
        <v>9735763</v>
      </c>
      <c r="X200" s="98"/>
      <c r="Y200" s="98"/>
      <c r="Z200" s="98"/>
      <c r="AA200" s="98" t="s">
        <v>45</v>
      </c>
      <c r="AB200" s="98" t="s">
        <v>2526</v>
      </c>
      <c r="AC200" s="98" t="s">
        <v>46</v>
      </c>
      <c r="AD200" s="97" t="s">
        <v>47</v>
      </c>
      <c r="AE200" s="97" t="s">
        <v>456</v>
      </c>
      <c r="AF200" s="97" t="s">
        <v>49</v>
      </c>
      <c r="AG200" s="97" t="s">
        <v>2527</v>
      </c>
    </row>
    <row r="201" spans="1:33" ht="343.25" customHeight="1">
      <c r="A201" s="97" t="s">
        <v>2528</v>
      </c>
      <c r="B201" s="97" t="s">
        <v>2529</v>
      </c>
      <c r="C201" s="97" t="s">
        <v>2530</v>
      </c>
      <c r="D201">
        <v>2015</v>
      </c>
      <c r="E201" s="97" t="s">
        <v>2531</v>
      </c>
      <c r="F201">
        <v>27</v>
      </c>
      <c r="G201">
        <v>9</v>
      </c>
      <c r="H201">
        <v>4014251</v>
      </c>
      <c r="I201"/>
      <c r="J201"/>
      <c r="K201" s="93"/>
      <c r="L201">
        <v>66</v>
      </c>
      <c r="M201" t="s">
        <v>2532</v>
      </c>
      <c r="N201" s="97" t="s">
        <v>2533</v>
      </c>
      <c r="O201" s="97" t="s">
        <v>2534</v>
      </c>
      <c r="P201" s="97" t="s">
        <v>2535</v>
      </c>
      <c r="Q201" s="97" t="s">
        <v>2536</v>
      </c>
      <c r="R201" s="97" t="s">
        <v>2537</v>
      </c>
      <c r="S201" s="97" t="s">
        <v>2538</v>
      </c>
      <c r="T201" s="97" t="s">
        <v>2539</v>
      </c>
      <c r="U201" s="97"/>
      <c r="V201" s="97" t="s">
        <v>298</v>
      </c>
      <c r="W201" s="98">
        <v>8991561</v>
      </c>
      <c r="X201" s="98"/>
      <c r="Y201" s="98"/>
      <c r="Z201" s="98"/>
      <c r="AA201" s="98" t="s">
        <v>45</v>
      </c>
      <c r="AB201" s="98" t="s">
        <v>2540</v>
      </c>
      <c r="AC201" s="98" t="s">
        <v>46</v>
      </c>
      <c r="AD201" s="97" t="s">
        <v>47</v>
      </c>
      <c r="AE201" s="97"/>
      <c r="AF201" s="97" t="s">
        <v>49</v>
      </c>
      <c r="AG201" s="97" t="s">
        <v>2541</v>
      </c>
    </row>
    <row r="202" spans="1:33" ht="343.25" customHeight="1">
      <c r="A202" s="97" t="s">
        <v>2542</v>
      </c>
      <c r="B202" s="97" t="s">
        <v>2543</v>
      </c>
      <c r="C202" s="97" t="s">
        <v>2544</v>
      </c>
      <c r="D202">
        <v>2025</v>
      </c>
      <c r="E202" s="97" t="s">
        <v>174</v>
      </c>
      <c r="F202"/>
      <c r="G202"/>
      <c r="H202"/>
      <c r="I202">
        <v>1844</v>
      </c>
      <c r="J202">
        <v>1847</v>
      </c>
      <c r="K202" s="93">
        <f>scopus[[#This Row],[Page end]]-scopus[[#This Row],[Page start]]</f>
        <v>3</v>
      </c>
      <c r="L202">
        <v>0</v>
      </c>
      <c r="M202" t="s">
        <v>2545</v>
      </c>
      <c r="N202" s="97" t="s">
        <v>2546</v>
      </c>
      <c r="O202" s="97" t="s">
        <v>2547</v>
      </c>
      <c r="P202" s="97" t="s">
        <v>2548</v>
      </c>
      <c r="Q202" s="97" t="s">
        <v>2549</v>
      </c>
      <c r="R202" s="97" t="s">
        <v>2550</v>
      </c>
      <c r="S202" s="97" t="s">
        <v>2551</v>
      </c>
      <c r="T202" s="97"/>
      <c r="U202" s="97" t="s">
        <v>182</v>
      </c>
      <c r="V202" s="97" t="s">
        <v>94</v>
      </c>
      <c r="W202" s="98"/>
      <c r="X202" s="98" t="s">
        <v>183</v>
      </c>
      <c r="Y202" s="98"/>
      <c r="Z202" s="98"/>
      <c r="AA202" s="98" t="s">
        <v>45</v>
      </c>
      <c r="AB202" s="98" t="s">
        <v>184</v>
      </c>
      <c r="AC202" s="98" t="s">
        <v>97</v>
      </c>
      <c r="AD202" s="97" t="s">
        <v>47</v>
      </c>
      <c r="AE202" s="97"/>
      <c r="AF202" s="97" t="s">
        <v>49</v>
      </c>
      <c r="AG202" s="97" t="s">
        <v>2552</v>
      </c>
    </row>
    <row r="203" spans="1:33" ht="343.25" customHeight="1">
      <c r="A203" s="97" t="s">
        <v>2553</v>
      </c>
      <c r="B203" s="97" t="s">
        <v>2554</v>
      </c>
      <c r="C203" s="97" t="s">
        <v>2555</v>
      </c>
      <c r="D203">
        <v>2023</v>
      </c>
      <c r="E203" s="97" t="s">
        <v>2556</v>
      </c>
      <c r="F203">
        <v>42</v>
      </c>
      <c r="G203">
        <v>6</v>
      </c>
      <c r="H203"/>
      <c r="I203">
        <v>572</v>
      </c>
      <c r="J203">
        <v>583</v>
      </c>
      <c r="K203" s="93">
        <f>scopus[[#This Row],[Page end]]-scopus[[#This Row],[Page start]]</f>
        <v>11</v>
      </c>
      <c r="L203">
        <v>3</v>
      </c>
      <c r="M203" t="s">
        <v>2557</v>
      </c>
      <c r="N203" s="97" t="s">
        <v>2558</v>
      </c>
      <c r="O203" s="97" t="s">
        <v>2559</v>
      </c>
      <c r="P203" s="97" t="s">
        <v>2560</v>
      </c>
      <c r="Q203" s="97" t="s">
        <v>2561</v>
      </c>
      <c r="R203" s="97" t="s">
        <v>2562</v>
      </c>
      <c r="S203" s="97"/>
      <c r="T203" s="97" t="s">
        <v>2563</v>
      </c>
      <c r="U203" s="97"/>
      <c r="V203" s="97" t="s">
        <v>2564</v>
      </c>
      <c r="W203" s="98">
        <v>12254428</v>
      </c>
      <c r="X203" s="98"/>
      <c r="Y203" s="98"/>
      <c r="Z203" s="98"/>
      <c r="AA203" s="98" t="s">
        <v>2565</v>
      </c>
      <c r="AB203" s="98" t="s">
        <v>2566</v>
      </c>
      <c r="AC203" s="98" t="s">
        <v>46</v>
      </c>
      <c r="AD203" s="97" t="s">
        <v>47</v>
      </c>
      <c r="AE203" s="97"/>
      <c r="AF203" s="97" t="s">
        <v>49</v>
      </c>
      <c r="AG203" s="97" t="s">
        <v>2567</v>
      </c>
    </row>
    <row r="204" spans="1:33" ht="343.25" customHeight="1">
      <c r="A204" s="97" t="s">
        <v>2568</v>
      </c>
      <c r="B204" s="97" t="s">
        <v>2569</v>
      </c>
      <c r="C204" s="97" t="s">
        <v>2570</v>
      </c>
      <c r="D204">
        <v>2025</v>
      </c>
      <c r="E204" s="97" t="s">
        <v>2571</v>
      </c>
      <c r="F204">
        <v>46</v>
      </c>
      <c r="G204">
        <v>2</v>
      </c>
      <c r="H204"/>
      <c r="I204">
        <v>83</v>
      </c>
      <c r="J204">
        <v>93</v>
      </c>
      <c r="K204" s="93">
        <f>scopus[[#This Row],[Page end]]-scopus[[#This Row],[Page start]]</f>
        <v>10</v>
      </c>
      <c r="L204">
        <v>0</v>
      </c>
      <c r="M204" t="s">
        <v>2572</v>
      </c>
      <c r="N204" s="97" t="s">
        <v>2573</v>
      </c>
      <c r="O204" s="97" t="s">
        <v>2574</v>
      </c>
      <c r="P204" s="97" t="s">
        <v>2575</v>
      </c>
      <c r="Q204" s="97" t="s">
        <v>2576</v>
      </c>
      <c r="R204" s="97" t="s">
        <v>2577</v>
      </c>
      <c r="S204" s="97" t="s">
        <v>2578</v>
      </c>
      <c r="T204" s="97" t="s">
        <v>2579</v>
      </c>
      <c r="U204" s="97"/>
      <c r="V204" s="97" t="s">
        <v>2580</v>
      </c>
      <c r="W204" s="98">
        <v>10006869</v>
      </c>
      <c r="X204" s="98"/>
      <c r="Y204" s="98" t="s">
        <v>2581</v>
      </c>
      <c r="Z204" s="98"/>
      <c r="AA204" s="98" t="s">
        <v>2582</v>
      </c>
      <c r="AB204" s="98" t="s">
        <v>2583</v>
      </c>
      <c r="AC204" s="98" t="s">
        <v>46</v>
      </c>
      <c r="AD204" s="97" t="s">
        <v>47</v>
      </c>
      <c r="AE204" s="97"/>
      <c r="AF204" s="97" t="s">
        <v>49</v>
      </c>
      <c r="AG204" s="97" t="s">
        <v>2584</v>
      </c>
    </row>
    <row r="205" spans="1:33" ht="343.25" customHeight="1">
      <c r="A205" s="97" t="s">
        <v>2585</v>
      </c>
      <c r="B205" s="97" t="s">
        <v>2586</v>
      </c>
      <c r="C205" s="97" t="s">
        <v>2587</v>
      </c>
      <c r="D205">
        <v>2022</v>
      </c>
      <c r="E205" s="97" t="s">
        <v>2588</v>
      </c>
      <c r="F205">
        <v>12</v>
      </c>
      <c r="G205">
        <v>15</v>
      </c>
      <c r="H205">
        <v>7642</v>
      </c>
      <c r="I205"/>
      <c r="J205"/>
      <c r="K205" s="93"/>
      <c r="L205">
        <v>23</v>
      </c>
      <c r="M205" t="s">
        <v>2589</v>
      </c>
      <c r="N205" s="97" t="s">
        <v>2590</v>
      </c>
      <c r="O205" s="97" t="s">
        <v>2591</v>
      </c>
      <c r="P205" s="97" t="s">
        <v>2592</v>
      </c>
      <c r="Q205" s="97" t="s">
        <v>2593</v>
      </c>
      <c r="R205" s="97" t="s">
        <v>2594</v>
      </c>
      <c r="S205" s="97"/>
      <c r="T205" s="97" t="s">
        <v>2595</v>
      </c>
      <c r="U205" s="97"/>
      <c r="V205" s="97" t="s">
        <v>440</v>
      </c>
      <c r="W205" s="98">
        <v>20763417</v>
      </c>
      <c r="X205" s="98"/>
      <c r="Y205" s="98"/>
      <c r="Z205" s="98"/>
      <c r="AA205" s="98" t="s">
        <v>45</v>
      </c>
      <c r="AB205" s="98" t="s">
        <v>2596</v>
      </c>
      <c r="AC205" s="98" t="s">
        <v>46</v>
      </c>
      <c r="AD205" s="97" t="s">
        <v>47</v>
      </c>
      <c r="AE205" s="97" t="s">
        <v>48</v>
      </c>
      <c r="AF205" s="97" t="s">
        <v>49</v>
      </c>
      <c r="AG205" s="97" t="s">
        <v>2597</v>
      </c>
    </row>
    <row r="206" spans="1:33" ht="343.25" customHeight="1">
      <c r="A206" s="97" t="s">
        <v>2598</v>
      </c>
      <c r="B206" s="97" t="s">
        <v>2599</v>
      </c>
      <c r="C206" s="97" t="s">
        <v>2600</v>
      </c>
      <c r="D206">
        <v>2025</v>
      </c>
      <c r="E206" s="97" t="s">
        <v>174</v>
      </c>
      <c r="F206"/>
      <c r="G206"/>
      <c r="H206"/>
      <c r="I206">
        <v>3266</v>
      </c>
      <c r="J206">
        <v>3271</v>
      </c>
      <c r="K206" s="93">
        <f>scopus[[#This Row],[Page end]]-scopus[[#This Row],[Page start]]</f>
        <v>5</v>
      </c>
      <c r="L206">
        <v>0</v>
      </c>
      <c r="M206" t="s">
        <v>2601</v>
      </c>
      <c r="N206" s="97" t="s">
        <v>2602</v>
      </c>
      <c r="O206" s="97" t="s">
        <v>2603</v>
      </c>
      <c r="P206" s="97" t="s">
        <v>2604</v>
      </c>
      <c r="Q206" s="97" t="s">
        <v>2605</v>
      </c>
      <c r="R206" s="97" t="s">
        <v>2606</v>
      </c>
      <c r="S206" s="97" t="s">
        <v>2607</v>
      </c>
      <c r="T206" s="97"/>
      <c r="U206" s="97" t="s">
        <v>182</v>
      </c>
      <c r="V206" s="97" t="s">
        <v>94</v>
      </c>
      <c r="W206" s="98"/>
      <c r="X206" s="98" t="s">
        <v>183</v>
      </c>
      <c r="Y206" s="98"/>
      <c r="Z206" s="98"/>
      <c r="AA206" s="98" t="s">
        <v>45</v>
      </c>
      <c r="AB206" s="98" t="s">
        <v>184</v>
      </c>
      <c r="AC206" s="98" t="s">
        <v>97</v>
      </c>
      <c r="AD206" s="97" t="s">
        <v>47</v>
      </c>
      <c r="AE206" s="97"/>
      <c r="AF206" s="97" t="s">
        <v>49</v>
      </c>
      <c r="AG206" s="97" t="s">
        <v>2608</v>
      </c>
    </row>
    <row r="207" spans="1:33" ht="343.25" customHeight="1">
      <c r="A207" s="97" t="s">
        <v>2609</v>
      </c>
      <c r="B207" s="97" t="s">
        <v>2610</v>
      </c>
      <c r="C207" s="97" t="s">
        <v>2611</v>
      </c>
      <c r="D207">
        <v>2025</v>
      </c>
      <c r="E207" s="97" t="s">
        <v>2612</v>
      </c>
      <c r="F207">
        <v>27</v>
      </c>
      <c r="G207"/>
      <c r="H207"/>
      <c r="I207"/>
      <c r="J207"/>
      <c r="K207" s="93"/>
      <c r="L207">
        <v>0</v>
      </c>
      <c r="M207" t="s">
        <v>2613</v>
      </c>
      <c r="N207" s="97" t="s">
        <v>2614</v>
      </c>
      <c r="O207" s="97" t="s">
        <v>2615</v>
      </c>
      <c r="P207" s="97" t="s">
        <v>2616</v>
      </c>
      <c r="Q207" s="97" t="s">
        <v>2617</v>
      </c>
      <c r="R207" s="97" t="s">
        <v>2618</v>
      </c>
      <c r="S207" s="97"/>
      <c r="T207" s="97" t="s">
        <v>2619</v>
      </c>
      <c r="U207" s="97"/>
      <c r="V207" s="97" t="s">
        <v>2620</v>
      </c>
      <c r="W207" s="98">
        <v>7173644</v>
      </c>
      <c r="X207" s="98"/>
      <c r="Y207" s="98"/>
      <c r="Z207" s="98"/>
      <c r="AA207" s="98" t="s">
        <v>2621</v>
      </c>
      <c r="AB207" s="98" t="s">
        <v>2622</v>
      </c>
      <c r="AC207" s="98" t="s">
        <v>46</v>
      </c>
      <c r="AD207" s="97" t="s">
        <v>47</v>
      </c>
      <c r="AE207" s="97" t="s">
        <v>48</v>
      </c>
      <c r="AF207" s="97" t="s">
        <v>49</v>
      </c>
      <c r="AG207" s="97" t="s">
        <v>2623</v>
      </c>
    </row>
    <row r="208" spans="1:33" ht="343.25" customHeight="1">
      <c r="A208" s="97" t="s">
        <v>480</v>
      </c>
      <c r="B208" s="97" t="s">
        <v>481</v>
      </c>
      <c r="C208" s="97" t="s">
        <v>2624</v>
      </c>
      <c r="D208">
        <v>2023</v>
      </c>
      <c r="E208" s="97" t="s">
        <v>115</v>
      </c>
      <c r="F208">
        <v>241</v>
      </c>
      <c r="G208"/>
      <c r="H208"/>
      <c r="I208">
        <v>401</v>
      </c>
      <c r="J208">
        <v>409</v>
      </c>
      <c r="K208" s="93">
        <f>scopus[[#This Row],[Page end]]-scopus[[#This Row],[Page start]]</f>
        <v>8</v>
      </c>
      <c r="L208">
        <v>1</v>
      </c>
      <c r="M208" t="s">
        <v>2625</v>
      </c>
      <c r="N208" s="97" t="s">
        <v>2626</v>
      </c>
      <c r="O208" s="97" t="s">
        <v>2627</v>
      </c>
      <c r="P208" s="97" t="s">
        <v>2628</v>
      </c>
      <c r="Q208" s="97" t="s">
        <v>2629</v>
      </c>
      <c r="R208" s="97"/>
      <c r="S208" s="97" t="s">
        <v>2630</v>
      </c>
      <c r="T208" s="97" t="s">
        <v>683</v>
      </c>
      <c r="U208" s="97" t="s">
        <v>2631</v>
      </c>
      <c r="V208" s="97" t="s">
        <v>125</v>
      </c>
      <c r="W208" s="98">
        <v>23662557</v>
      </c>
      <c r="X208" s="98" t="s">
        <v>2632</v>
      </c>
      <c r="Y208" s="98"/>
      <c r="Z208" s="98"/>
      <c r="AA208" s="98" t="s">
        <v>45</v>
      </c>
      <c r="AB208" s="98" t="s">
        <v>127</v>
      </c>
      <c r="AC208" s="98" t="s">
        <v>97</v>
      </c>
      <c r="AD208" s="97" t="s">
        <v>47</v>
      </c>
      <c r="AE208" s="97"/>
      <c r="AF208" s="97" t="s">
        <v>49</v>
      </c>
      <c r="AG208" s="97" t="s">
        <v>2633</v>
      </c>
    </row>
    <row r="209" spans="1:33" ht="343.25" customHeight="1">
      <c r="A209" s="97" t="s">
        <v>2634</v>
      </c>
      <c r="B209" s="97">
        <v>55502022400</v>
      </c>
      <c r="C209" s="97" t="s">
        <v>2635</v>
      </c>
      <c r="D209">
        <v>2016</v>
      </c>
      <c r="E209" s="97" t="s">
        <v>319</v>
      </c>
      <c r="F209"/>
      <c r="G209"/>
      <c r="H209"/>
      <c r="I209"/>
      <c r="J209"/>
      <c r="K209" s="93"/>
      <c r="L209">
        <v>1</v>
      </c>
      <c r="M209"/>
      <c r="N209" s="97" t="s">
        <v>2636</v>
      </c>
      <c r="O209" s="97" t="s">
        <v>2637</v>
      </c>
      <c r="P209" s="97" t="s">
        <v>2638</v>
      </c>
      <c r="Q209" s="97" t="s">
        <v>2639</v>
      </c>
      <c r="R209" s="97" t="s">
        <v>2640</v>
      </c>
      <c r="S209" s="97" t="s">
        <v>2641</v>
      </c>
      <c r="T209" s="97" t="s">
        <v>2642</v>
      </c>
      <c r="U209" s="97"/>
      <c r="V209" s="97" t="s">
        <v>326</v>
      </c>
      <c r="W209" s="98"/>
      <c r="X209" s="98" t="s">
        <v>327</v>
      </c>
      <c r="Y209" s="98"/>
      <c r="Z209" s="98"/>
      <c r="AA209" s="98" t="s">
        <v>45</v>
      </c>
      <c r="AB209" s="98" t="s">
        <v>328</v>
      </c>
      <c r="AC209" s="98" t="s">
        <v>97</v>
      </c>
      <c r="AD209" s="97" t="s">
        <v>47</v>
      </c>
      <c r="AE209" s="97"/>
      <c r="AF209" s="97" t="s">
        <v>49</v>
      </c>
      <c r="AG209" s="97" t="s">
        <v>2643</v>
      </c>
    </row>
    <row r="210" spans="1:33" ht="343.25" customHeight="1">
      <c r="A210" s="97" t="s">
        <v>2644</v>
      </c>
      <c r="B210" s="97">
        <v>55326809300</v>
      </c>
      <c r="C210" s="97" t="s">
        <v>2645</v>
      </c>
      <c r="D210">
        <v>2019</v>
      </c>
      <c r="E210" s="97" t="s">
        <v>2646</v>
      </c>
      <c r="F210"/>
      <c r="G210"/>
      <c r="H210"/>
      <c r="I210">
        <v>75</v>
      </c>
      <c r="J210">
        <v>94</v>
      </c>
      <c r="K210" s="93">
        <f>scopus[[#This Row],[Page end]]-scopus[[#This Row],[Page start]]</f>
        <v>19</v>
      </c>
      <c r="L210">
        <v>0</v>
      </c>
      <c r="M210" t="s">
        <v>2647</v>
      </c>
      <c r="N210" s="97" t="s">
        <v>2648</v>
      </c>
      <c r="O210" s="97" t="s">
        <v>2649</v>
      </c>
      <c r="P210" s="97" t="s">
        <v>2650</v>
      </c>
      <c r="Q210" s="97" t="s">
        <v>2651</v>
      </c>
      <c r="R210" s="97"/>
      <c r="S210" s="97"/>
      <c r="T210" s="97"/>
      <c r="U210" s="97"/>
      <c r="V210" s="97" t="s">
        <v>2652</v>
      </c>
      <c r="W210" s="98"/>
      <c r="X210" s="98" t="s">
        <v>2653</v>
      </c>
      <c r="Y210" s="98"/>
      <c r="Z210" s="98"/>
      <c r="AA210" s="98" t="s">
        <v>45</v>
      </c>
      <c r="AB210" s="98" t="s">
        <v>2646</v>
      </c>
      <c r="AC210" s="98" t="s">
        <v>212</v>
      </c>
      <c r="AD210" s="97" t="s">
        <v>47</v>
      </c>
      <c r="AE210" s="97"/>
      <c r="AF210" s="97" t="s">
        <v>49</v>
      </c>
      <c r="AG210" s="97" t="s">
        <v>2654</v>
      </c>
    </row>
    <row r="211" spans="1:33" ht="343.25" customHeight="1">
      <c r="A211" s="97" t="s">
        <v>2655</v>
      </c>
      <c r="B211" s="97" t="s">
        <v>2656</v>
      </c>
      <c r="C211" s="97" t="s">
        <v>2657</v>
      </c>
      <c r="D211">
        <v>2025</v>
      </c>
      <c r="E211" s="97" t="s">
        <v>232</v>
      </c>
      <c r="F211">
        <v>475</v>
      </c>
      <c r="G211"/>
      <c r="H211">
        <v>141139</v>
      </c>
      <c r="I211"/>
      <c r="J211"/>
      <c r="K211" s="93"/>
      <c r="L211">
        <v>2</v>
      </c>
      <c r="M211" t="s">
        <v>2658</v>
      </c>
      <c r="N211" s="97" t="s">
        <v>2659</v>
      </c>
      <c r="O211" s="97" t="s">
        <v>2660</v>
      </c>
      <c r="P211" s="97" t="s">
        <v>2661</v>
      </c>
      <c r="Q211" s="97" t="s">
        <v>2662</v>
      </c>
      <c r="R211" s="97" t="s">
        <v>2663</v>
      </c>
      <c r="S211" s="97" t="s">
        <v>2664</v>
      </c>
      <c r="T211" s="97" t="s">
        <v>2665</v>
      </c>
      <c r="U211" s="97"/>
      <c r="V211" s="97" t="s">
        <v>62</v>
      </c>
      <c r="W211" s="98">
        <v>9500618</v>
      </c>
      <c r="X211" s="98"/>
      <c r="Y211" s="98" t="s">
        <v>241</v>
      </c>
      <c r="Z211" s="98"/>
      <c r="AA211" s="98" t="s">
        <v>45</v>
      </c>
      <c r="AB211" s="98" t="s">
        <v>242</v>
      </c>
      <c r="AC211" s="98" t="s">
        <v>46</v>
      </c>
      <c r="AD211" s="97" t="s">
        <v>47</v>
      </c>
      <c r="AE211" s="97" t="s">
        <v>456</v>
      </c>
      <c r="AF211" s="97" t="s">
        <v>49</v>
      </c>
      <c r="AG211" s="97" t="s">
        <v>2666</v>
      </c>
    </row>
    <row r="212" spans="1:33" ht="343.25" customHeight="1">
      <c r="A212" s="97" t="s">
        <v>2667</v>
      </c>
      <c r="B212" s="97" t="s">
        <v>2668</v>
      </c>
      <c r="C212" s="97" t="s">
        <v>2669</v>
      </c>
      <c r="D212">
        <v>2025</v>
      </c>
      <c r="E212" s="97" t="s">
        <v>1503</v>
      </c>
      <c r="F212"/>
      <c r="G212"/>
      <c r="H212"/>
      <c r="I212">
        <v>72</v>
      </c>
      <c r="J212">
        <v>77</v>
      </c>
      <c r="K212" s="93">
        <f>scopus[[#This Row],[Page end]]-scopus[[#This Row],[Page start]]</f>
        <v>5</v>
      </c>
      <c r="L212">
        <v>0</v>
      </c>
      <c r="M212" t="s">
        <v>2670</v>
      </c>
      <c r="N212" s="97" t="s">
        <v>2671</v>
      </c>
      <c r="O212" s="97" t="s">
        <v>2672</v>
      </c>
      <c r="P212" s="97" t="s">
        <v>2673</v>
      </c>
      <c r="Q212" s="97" t="s">
        <v>2674</v>
      </c>
      <c r="R212" s="97"/>
      <c r="S212" s="97" t="s">
        <v>2675</v>
      </c>
      <c r="T212" s="97"/>
      <c r="U212" s="97"/>
      <c r="V212" s="97" t="s">
        <v>1510</v>
      </c>
      <c r="W212" s="98"/>
      <c r="X212" s="98" t="s">
        <v>1511</v>
      </c>
      <c r="Y212" s="98"/>
      <c r="Z212" s="98"/>
      <c r="AA212" s="98" t="s">
        <v>45</v>
      </c>
      <c r="AB212" s="98" t="s">
        <v>1512</v>
      </c>
      <c r="AC212" s="98" t="s">
        <v>212</v>
      </c>
      <c r="AD212" s="97" t="s">
        <v>47</v>
      </c>
      <c r="AE212" s="97"/>
      <c r="AF212" s="97" t="s">
        <v>49</v>
      </c>
      <c r="AG212" s="97" t="s">
        <v>2676</v>
      </c>
    </row>
    <row r="213" spans="1:33" ht="343.25" customHeight="1">
      <c r="A213" s="97" t="s">
        <v>2677</v>
      </c>
      <c r="B213" s="97" t="s">
        <v>2678</v>
      </c>
      <c r="C213" s="97" t="s">
        <v>2679</v>
      </c>
      <c r="D213">
        <v>2021</v>
      </c>
      <c r="E213" s="97" t="s">
        <v>675</v>
      </c>
      <c r="F213">
        <v>35</v>
      </c>
      <c r="G213"/>
      <c r="H213">
        <v>106845</v>
      </c>
      <c r="I213"/>
      <c r="J213"/>
      <c r="K213" s="93"/>
      <c r="L213">
        <v>14</v>
      </c>
      <c r="M213" t="s">
        <v>2680</v>
      </c>
      <c r="N213" s="97" t="s">
        <v>2681</v>
      </c>
      <c r="O213" s="97" t="s">
        <v>2682</v>
      </c>
      <c r="P213" s="97" t="s">
        <v>2683</v>
      </c>
      <c r="Q213" s="97" t="s">
        <v>2684</v>
      </c>
      <c r="R213" s="97" t="s">
        <v>2685</v>
      </c>
      <c r="S213" s="97"/>
      <c r="T213" s="97" t="s">
        <v>2686</v>
      </c>
      <c r="U213" s="97"/>
      <c r="V213" s="97" t="s">
        <v>684</v>
      </c>
      <c r="W213" s="98">
        <v>23523409</v>
      </c>
      <c r="X213" s="98"/>
      <c r="Y213" s="98"/>
      <c r="Z213" s="98"/>
      <c r="AA213" s="98" t="s">
        <v>45</v>
      </c>
      <c r="AB213" s="98" t="s">
        <v>685</v>
      </c>
      <c r="AC213" s="98" t="s">
        <v>2687</v>
      </c>
      <c r="AD213" s="97" t="s">
        <v>47</v>
      </c>
      <c r="AE213" s="97" t="s">
        <v>48</v>
      </c>
      <c r="AF213" s="97" t="s">
        <v>49</v>
      </c>
      <c r="AG213" s="97" t="s">
        <v>2688</v>
      </c>
    </row>
    <row r="214" spans="1:33" ht="343.25" customHeight="1">
      <c r="A214" s="97" t="s">
        <v>2689</v>
      </c>
      <c r="B214" s="97" t="s">
        <v>2690</v>
      </c>
      <c r="C214" s="97" t="s">
        <v>2691</v>
      </c>
      <c r="D214">
        <v>2024</v>
      </c>
      <c r="E214" s="97" t="s">
        <v>2692</v>
      </c>
      <c r="F214">
        <v>24</v>
      </c>
      <c r="G214">
        <v>1</v>
      </c>
      <c r="H214">
        <v>28</v>
      </c>
      <c r="I214"/>
      <c r="J214"/>
      <c r="K214" s="93"/>
      <c r="L214">
        <v>3</v>
      </c>
      <c r="M214" t="s">
        <v>2693</v>
      </c>
      <c r="N214" s="97" t="s">
        <v>2694</v>
      </c>
      <c r="O214" s="97" t="s">
        <v>2695</v>
      </c>
      <c r="P214" s="97" t="s">
        <v>2696</v>
      </c>
      <c r="Q214" s="97" t="s">
        <v>2697</v>
      </c>
      <c r="R214" s="97" t="s">
        <v>2698</v>
      </c>
      <c r="S214" s="97" t="s">
        <v>2699</v>
      </c>
      <c r="T214" s="97" t="s">
        <v>2700</v>
      </c>
      <c r="U214" s="97"/>
      <c r="V214" s="97" t="s">
        <v>125</v>
      </c>
      <c r="W214" s="98">
        <v>16449665</v>
      </c>
      <c r="X214" s="98"/>
      <c r="Y214" s="98"/>
      <c r="Z214" s="98"/>
      <c r="AA214" s="98" t="s">
        <v>45</v>
      </c>
      <c r="AB214" s="98" t="s">
        <v>2701</v>
      </c>
      <c r="AC214" s="98" t="s">
        <v>46</v>
      </c>
      <c r="AD214" s="97" t="s">
        <v>47</v>
      </c>
      <c r="AE214" s="97"/>
      <c r="AF214" s="97" t="s">
        <v>49</v>
      </c>
      <c r="AG214" s="97" t="s">
        <v>2702</v>
      </c>
    </row>
    <row r="215" spans="1:33" ht="343.25" customHeight="1">
      <c r="A215" s="97" t="s">
        <v>939</v>
      </c>
      <c r="B215" s="97" t="s">
        <v>940</v>
      </c>
      <c r="C215" s="97" t="s">
        <v>2703</v>
      </c>
      <c r="D215">
        <v>2022</v>
      </c>
      <c r="E215" s="97" t="s">
        <v>406</v>
      </c>
      <c r="F215">
        <v>12</v>
      </c>
      <c r="G215">
        <v>2</v>
      </c>
      <c r="H215">
        <v>239</v>
      </c>
      <c r="I215"/>
      <c r="J215"/>
      <c r="K215" s="93"/>
      <c r="L215">
        <v>18</v>
      </c>
      <c r="M215" t="s">
        <v>2704</v>
      </c>
      <c r="N215" s="97" t="s">
        <v>2705</v>
      </c>
      <c r="O215" s="97" t="s">
        <v>2706</v>
      </c>
      <c r="P215" s="97" t="s">
        <v>2707</v>
      </c>
      <c r="Q215" s="97" t="s">
        <v>2708</v>
      </c>
      <c r="R215" s="97" t="s">
        <v>2709</v>
      </c>
      <c r="S215" s="97"/>
      <c r="T215" s="97" t="s">
        <v>2710</v>
      </c>
      <c r="U215" s="97"/>
      <c r="V215" s="97" t="s">
        <v>440</v>
      </c>
      <c r="W215" s="98">
        <v>20755309</v>
      </c>
      <c r="X215" s="98"/>
      <c r="Y215" s="98"/>
      <c r="Z215" s="98"/>
      <c r="AA215" s="98" t="s">
        <v>45</v>
      </c>
      <c r="AB215" s="98" t="s">
        <v>406</v>
      </c>
      <c r="AC215" s="98" t="s">
        <v>46</v>
      </c>
      <c r="AD215" s="97" t="s">
        <v>47</v>
      </c>
      <c r="AE215" s="97" t="s">
        <v>48</v>
      </c>
      <c r="AF215" s="97" t="s">
        <v>49</v>
      </c>
      <c r="AG215" s="97" t="s">
        <v>2711</v>
      </c>
    </row>
    <row r="216" spans="1:33" ht="343.25" customHeight="1">
      <c r="A216" s="97" t="s">
        <v>2712</v>
      </c>
      <c r="B216" s="97" t="s">
        <v>2713</v>
      </c>
      <c r="C216" s="97" t="s">
        <v>2714</v>
      </c>
      <c r="D216">
        <v>2019</v>
      </c>
      <c r="E216" s="97" t="s">
        <v>2248</v>
      </c>
      <c r="F216" t="s">
        <v>2249</v>
      </c>
      <c r="G216"/>
      <c r="H216"/>
      <c r="I216">
        <v>5007</v>
      </c>
      <c r="J216">
        <v>5012</v>
      </c>
      <c r="K216" s="93">
        <f>scopus[[#This Row],[Page end]]-scopus[[#This Row],[Page start]]</f>
        <v>5</v>
      </c>
      <c r="L216">
        <v>4</v>
      </c>
      <c r="M216" t="s">
        <v>2715</v>
      </c>
      <c r="N216" s="97" t="s">
        <v>2716</v>
      </c>
      <c r="O216" s="97" t="s">
        <v>2717</v>
      </c>
      <c r="P216" s="97" t="s">
        <v>2718</v>
      </c>
      <c r="Q216" s="97" t="s">
        <v>2719</v>
      </c>
      <c r="R216" s="97" t="s">
        <v>2720</v>
      </c>
      <c r="S216" s="97" t="s">
        <v>2721</v>
      </c>
      <c r="T216" s="97"/>
      <c r="U216" s="97" t="s">
        <v>2257</v>
      </c>
      <c r="V216" s="97" t="s">
        <v>2258</v>
      </c>
      <c r="W216" s="98">
        <v>22267808</v>
      </c>
      <c r="X216" s="98" t="s">
        <v>2259</v>
      </c>
      <c r="Y216" s="98"/>
      <c r="Z216" s="98"/>
      <c r="AA216" s="98" t="s">
        <v>45</v>
      </c>
      <c r="AB216" s="98" t="s">
        <v>2260</v>
      </c>
      <c r="AC216" s="98" t="s">
        <v>97</v>
      </c>
      <c r="AD216" s="97" t="s">
        <v>47</v>
      </c>
      <c r="AE216" s="97"/>
      <c r="AF216" s="97" t="s">
        <v>49</v>
      </c>
      <c r="AG216" s="97" t="s">
        <v>2722</v>
      </c>
    </row>
    <row r="217" spans="1:33" ht="343.25" customHeight="1">
      <c r="A217" s="97" t="s">
        <v>2723</v>
      </c>
      <c r="B217" s="97" t="s">
        <v>2724</v>
      </c>
      <c r="C217" s="97" t="s">
        <v>2725</v>
      </c>
      <c r="D217">
        <v>2014</v>
      </c>
      <c r="E217" s="97" t="s">
        <v>2726</v>
      </c>
      <c r="F217"/>
      <c r="G217"/>
      <c r="H217"/>
      <c r="I217"/>
      <c r="J217"/>
      <c r="K217" s="93"/>
      <c r="L217">
        <v>1</v>
      </c>
      <c r="M217"/>
      <c r="N217" s="97" t="s">
        <v>2727</v>
      </c>
      <c r="O217" s="97" t="s">
        <v>2728</v>
      </c>
      <c r="P217" s="97" t="s">
        <v>2729</v>
      </c>
      <c r="Q217" s="97" t="s">
        <v>2730</v>
      </c>
      <c r="R217" s="97"/>
      <c r="S217" s="97" t="s">
        <v>2731</v>
      </c>
      <c r="T217" s="97"/>
      <c r="U217" s="97" t="s">
        <v>2732</v>
      </c>
      <c r="V217" s="97" t="s">
        <v>2733</v>
      </c>
      <c r="W217" s="98"/>
      <c r="X217" s="98" t="s">
        <v>2734</v>
      </c>
      <c r="Y217" s="98"/>
      <c r="Z217" s="98"/>
      <c r="AA217" s="98" t="s">
        <v>45</v>
      </c>
      <c r="AB217" s="98" t="s">
        <v>2735</v>
      </c>
      <c r="AC217" s="98" t="s">
        <v>97</v>
      </c>
      <c r="AD217" s="97" t="s">
        <v>47</v>
      </c>
      <c r="AE217" s="97"/>
      <c r="AF217" s="97" t="s">
        <v>49</v>
      </c>
      <c r="AG217" s="97" t="s">
        <v>2736</v>
      </c>
    </row>
    <row r="218" spans="1:33" ht="343.25" customHeight="1">
      <c r="A218" s="97" t="s">
        <v>2737</v>
      </c>
      <c r="B218" s="97" t="s">
        <v>2738</v>
      </c>
      <c r="C218" s="97" t="s">
        <v>2739</v>
      </c>
      <c r="D218">
        <v>2019</v>
      </c>
      <c r="E218" s="97" t="s">
        <v>2740</v>
      </c>
      <c r="F218"/>
      <c r="G218"/>
      <c r="H218"/>
      <c r="I218">
        <v>729</v>
      </c>
      <c r="J218">
        <v>736</v>
      </c>
      <c r="K218" s="93">
        <f>scopus[[#This Row],[Page end]]-scopus[[#This Row],[Page start]]</f>
        <v>7</v>
      </c>
      <c r="L218">
        <v>0</v>
      </c>
      <c r="M218"/>
      <c r="N218" s="97" t="s">
        <v>2741</v>
      </c>
      <c r="O218" s="97" t="s">
        <v>2742</v>
      </c>
      <c r="P218" s="97" t="s">
        <v>2743</v>
      </c>
      <c r="Q218" s="97" t="s">
        <v>2744</v>
      </c>
      <c r="R218" s="97" t="s">
        <v>2745</v>
      </c>
      <c r="S218" s="97" t="s">
        <v>2746</v>
      </c>
      <c r="T218" s="97" t="s">
        <v>2747</v>
      </c>
      <c r="U218" s="97"/>
      <c r="V218" s="97" t="s">
        <v>835</v>
      </c>
      <c r="W218" s="98"/>
      <c r="X218" s="98" t="s">
        <v>2748</v>
      </c>
      <c r="Y218" s="98"/>
      <c r="Z218" s="98"/>
      <c r="AA218" s="98" t="s">
        <v>45</v>
      </c>
      <c r="AB218" s="98" t="s">
        <v>2749</v>
      </c>
      <c r="AC218" s="98" t="s">
        <v>97</v>
      </c>
      <c r="AD218" s="97" t="s">
        <v>47</v>
      </c>
      <c r="AE218" s="97"/>
      <c r="AF218" s="97" t="s">
        <v>49</v>
      </c>
      <c r="AG218" s="97" t="s">
        <v>2750</v>
      </c>
    </row>
    <row r="219" spans="1:33" ht="343.25" customHeight="1">
      <c r="A219" s="97" t="s">
        <v>2751</v>
      </c>
      <c r="B219" s="97" t="s">
        <v>2752</v>
      </c>
      <c r="C219" s="97" t="s">
        <v>2753</v>
      </c>
      <c r="D219">
        <v>2014</v>
      </c>
      <c r="E219" s="97" t="s">
        <v>2754</v>
      </c>
      <c r="F219"/>
      <c r="G219"/>
      <c r="H219"/>
      <c r="I219"/>
      <c r="J219"/>
      <c r="K219" s="93"/>
      <c r="L219">
        <v>3</v>
      </c>
      <c r="M219"/>
      <c r="N219" s="97" t="s">
        <v>2755</v>
      </c>
      <c r="O219" s="97" t="s">
        <v>2756</v>
      </c>
      <c r="P219" s="97" t="s">
        <v>2757</v>
      </c>
      <c r="Q219" s="97" t="s">
        <v>2758</v>
      </c>
      <c r="R219" s="97" t="s">
        <v>2759</v>
      </c>
      <c r="S219" s="97" t="s">
        <v>2760</v>
      </c>
      <c r="T219" s="97"/>
      <c r="U219" s="97" t="s">
        <v>2761</v>
      </c>
      <c r="V219" s="97" t="s">
        <v>94</v>
      </c>
      <c r="W219" s="98"/>
      <c r="X219" s="98"/>
      <c r="Y219" s="98"/>
      <c r="Z219" s="98"/>
      <c r="AA219" s="98" t="s">
        <v>45</v>
      </c>
      <c r="AB219" s="98" t="s">
        <v>2762</v>
      </c>
      <c r="AC219" s="98" t="s">
        <v>97</v>
      </c>
      <c r="AD219" s="97" t="s">
        <v>47</v>
      </c>
      <c r="AE219" s="97"/>
      <c r="AF219" s="97" t="s">
        <v>49</v>
      </c>
      <c r="AG219" s="97" t="s">
        <v>2763</v>
      </c>
    </row>
    <row r="220" spans="1:33" ht="343.25" customHeight="1">
      <c r="A220" s="97" t="s">
        <v>2764</v>
      </c>
      <c r="B220" s="97" t="s">
        <v>2765</v>
      </c>
      <c r="C220" s="97" t="s">
        <v>2766</v>
      </c>
      <c r="D220">
        <v>2017</v>
      </c>
      <c r="E220" s="97" t="s">
        <v>2106</v>
      </c>
      <c r="F220">
        <v>143</v>
      </c>
      <c r="G220"/>
      <c r="H220"/>
      <c r="I220">
        <v>1021</v>
      </c>
      <c r="J220">
        <v>1035</v>
      </c>
      <c r="K220" s="93">
        <f>scopus[[#This Row],[Page end]]-scopus[[#This Row],[Page start]]</f>
        <v>14</v>
      </c>
      <c r="L220">
        <v>67</v>
      </c>
      <c r="M220" t="s">
        <v>2767</v>
      </c>
      <c r="N220" s="97" t="s">
        <v>2768</v>
      </c>
      <c r="O220" s="97" t="s">
        <v>2769</v>
      </c>
      <c r="P220" s="97" t="s">
        <v>2770</v>
      </c>
      <c r="Q220" s="97" t="s">
        <v>2771</v>
      </c>
      <c r="R220" s="97" t="s">
        <v>2772</v>
      </c>
      <c r="S220" s="97" t="s">
        <v>2773</v>
      </c>
      <c r="T220" s="97" t="s">
        <v>2774</v>
      </c>
      <c r="U220" s="97"/>
      <c r="V220" s="97" t="s">
        <v>62</v>
      </c>
      <c r="W220" s="98">
        <v>9596526</v>
      </c>
      <c r="X220" s="98"/>
      <c r="Y220" s="98" t="s">
        <v>2115</v>
      </c>
      <c r="Z220" s="98"/>
      <c r="AA220" s="98" t="s">
        <v>45</v>
      </c>
      <c r="AB220" s="98" t="s">
        <v>2116</v>
      </c>
      <c r="AC220" s="98" t="s">
        <v>46</v>
      </c>
      <c r="AD220" s="97" t="s">
        <v>47</v>
      </c>
      <c r="AE220" s="97"/>
      <c r="AF220" s="97" t="s">
        <v>49</v>
      </c>
      <c r="AG220" s="97" t="s">
        <v>2775</v>
      </c>
    </row>
    <row r="221" spans="1:33" ht="343.25" customHeight="1">
      <c r="A221" s="97" t="s">
        <v>2776</v>
      </c>
      <c r="B221" s="97" t="s">
        <v>2777</v>
      </c>
      <c r="C221" s="97" t="s">
        <v>2778</v>
      </c>
      <c r="D221">
        <v>2017</v>
      </c>
      <c r="E221" s="97" t="s">
        <v>2779</v>
      </c>
      <c r="F221" t="s">
        <v>2780</v>
      </c>
      <c r="G221"/>
      <c r="H221"/>
      <c r="I221"/>
      <c r="J221"/>
      <c r="K221" s="93"/>
      <c r="L221">
        <v>0</v>
      </c>
      <c r="M221"/>
      <c r="N221" s="97" t="s">
        <v>2781</v>
      </c>
      <c r="O221" s="97" t="s">
        <v>2782</v>
      </c>
      <c r="P221" s="97" t="s">
        <v>2783</v>
      </c>
      <c r="Q221" s="97" t="s">
        <v>2784</v>
      </c>
      <c r="R221" s="97" t="s">
        <v>2785</v>
      </c>
      <c r="S221" s="97" t="s">
        <v>2786</v>
      </c>
      <c r="T221" s="97"/>
      <c r="U221" s="97"/>
      <c r="V221" s="97" t="s">
        <v>2787</v>
      </c>
      <c r="W221" s="98"/>
      <c r="X221" s="98"/>
      <c r="Y221" s="98"/>
      <c r="Z221" s="98"/>
      <c r="AA221" s="98" t="s">
        <v>45</v>
      </c>
      <c r="AB221" s="98" t="s">
        <v>2788</v>
      </c>
      <c r="AC221" s="98" t="s">
        <v>97</v>
      </c>
      <c r="AD221" s="97" t="s">
        <v>47</v>
      </c>
      <c r="AE221" s="97"/>
      <c r="AF221" s="97" t="s">
        <v>49</v>
      </c>
      <c r="AG221" s="97" t="s">
        <v>2789</v>
      </c>
    </row>
    <row r="222" spans="1:33" ht="343.25" customHeight="1">
      <c r="A222" s="97" t="s">
        <v>2790</v>
      </c>
      <c r="B222" s="97" t="s">
        <v>2791</v>
      </c>
      <c r="C222" s="97" t="s">
        <v>2792</v>
      </c>
      <c r="D222">
        <v>2021</v>
      </c>
      <c r="E222" s="97" t="s">
        <v>976</v>
      </c>
      <c r="F222"/>
      <c r="G222"/>
      <c r="H222"/>
      <c r="I222"/>
      <c r="J222"/>
      <c r="K222" s="93"/>
      <c r="L222">
        <v>0</v>
      </c>
      <c r="M222"/>
      <c r="N222" s="97" t="s">
        <v>2793</v>
      </c>
      <c r="O222" s="97" t="s">
        <v>2794</v>
      </c>
      <c r="P222" s="97" t="s">
        <v>2795</v>
      </c>
      <c r="Q222" s="97" t="s">
        <v>2796</v>
      </c>
      <c r="R222" s="97" t="s">
        <v>2797</v>
      </c>
      <c r="S222" s="97" t="s">
        <v>2798</v>
      </c>
      <c r="T222" s="97"/>
      <c r="U222" s="97"/>
      <c r="V222" s="97" t="s">
        <v>94</v>
      </c>
      <c r="W222" s="98"/>
      <c r="X222" s="98"/>
      <c r="Y222" s="98"/>
      <c r="Z222" s="98"/>
      <c r="AA222" s="98" t="s">
        <v>45</v>
      </c>
      <c r="AB222" s="98" t="s">
        <v>96</v>
      </c>
      <c r="AC222" s="98" t="s">
        <v>97</v>
      </c>
      <c r="AD222" s="97" t="s">
        <v>47</v>
      </c>
      <c r="AE222" s="97"/>
      <c r="AF222" s="97" t="s">
        <v>49</v>
      </c>
      <c r="AG222" s="97" t="s">
        <v>2799</v>
      </c>
    </row>
    <row r="223" spans="1:33" ht="343.25" customHeight="1">
      <c r="A223" s="97" t="s">
        <v>2800</v>
      </c>
      <c r="B223" s="97" t="s">
        <v>2801</v>
      </c>
      <c r="C223" s="97" t="s">
        <v>2802</v>
      </c>
      <c r="D223">
        <v>2020</v>
      </c>
      <c r="E223" s="97" t="s">
        <v>996</v>
      </c>
      <c r="F223">
        <v>28</v>
      </c>
      <c r="G223"/>
      <c r="H223"/>
      <c r="I223">
        <v>225</v>
      </c>
      <c r="J223">
        <v>234</v>
      </c>
      <c r="K223" s="93">
        <f>scopus[[#This Row],[Page end]]-scopus[[#This Row],[Page start]]</f>
        <v>9</v>
      </c>
      <c r="L223">
        <v>11</v>
      </c>
      <c r="M223" t="s">
        <v>2803</v>
      </c>
      <c r="N223" s="97" t="s">
        <v>2804</v>
      </c>
      <c r="O223" s="97" t="s">
        <v>2805</v>
      </c>
      <c r="P223" s="97" t="s">
        <v>2806</v>
      </c>
      <c r="Q223" s="97" t="s">
        <v>2807</v>
      </c>
      <c r="R223" s="97" t="s">
        <v>2808</v>
      </c>
      <c r="S223" s="97"/>
      <c r="T223" s="97" t="s">
        <v>2809</v>
      </c>
      <c r="U223" s="97"/>
      <c r="V223" s="97" t="s">
        <v>62</v>
      </c>
      <c r="W223" s="98">
        <v>23520124</v>
      </c>
      <c r="X223" s="98"/>
      <c r="Y223" s="98"/>
      <c r="Z223" s="98"/>
      <c r="AA223" s="98" t="s">
        <v>45</v>
      </c>
      <c r="AB223" s="98" t="s">
        <v>996</v>
      </c>
      <c r="AC223" s="98" t="s">
        <v>46</v>
      </c>
      <c r="AD223" s="97" t="s">
        <v>47</v>
      </c>
      <c r="AE223" s="97"/>
      <c r="AF223" s="97" t="s">
        <v>49</v>
      </c>
      <c r="AG223" s="97" t="s">
        <v>2810</v>
      </c>
    </row>
    <row r="224" spans="1:33" ht="343.25" customHeight="1">
      <c r="A224" s="97" t="s">
        <v>2811</v>
      </c>
      <c r="B224" s="97" t="s">
        <v>2812</v>
      </c>
      <c r="C224" s="97" t="s">
        <v>2813</v>
      </c>
      <c r="D224">
        <v>2022</v>
      </c>
      <c r="E224" s="97" t="s">
        <v>445</v>
      </c>
      <c r="F224">
        <v>254</v>
      </c>
      <c r="G224"/>
      <c r="H224">
        <v>113807</v>
      </c>
      <c r="I224"/>
      <c r="J224"/>
      <c r="K224" s="93"/>
      <c r="L224">
        <v>34</v>
      </c>
      <c r="M224" t="s">
        <v>2814</v>
      </c>
      <c r="N224" s="97" t="s">
        <v>2815</v>
      </c>
      <c r="O224" s="97" t="s">
        <v>2816</v>
      </c>
      <c r="P224" s="97" t="s">
        <v>2817</v>
      </c>
      <c r="Q224" s="97" t="s">
        <v>2818</v>
      </c>
      <c r="R224" s="97" t="s">
        <v>2819</v>
      </c>
      <c r="S224" s="97" t="s">
        <v>2820</v>
      </c>
      <c r="T224" s="97" t="s">
        <v>2821</v>
      </c>
      <c r="U224" s="97"/>
      <c r="V224" s="97" t="s">
        <v>62</v>
      </c>
      <c r="W224" s="98">
        <v>1410296</v>
      </c>
      <c r="X224" s="98"/>
      <c r="Y224" s="98" t="s">
        <v>454</v>
      </c>
      <c r="Z224" s="98"/>
      <c r="AA224" s="98" t="s">
        <v>45</v>
      </c>
      <c r="AB224" s="98" t="s">
        <v>455</v>
      </c>
      <c r="AC224" s="98" t="s">
        <v>46</v>
      </c>
      <c r="AD224" s="97" t="s">
        <v>47</v>
      </c>
      <c r="AE224" s="97" t="s">
        <v>930</v>
      </c>
      <c r="AF224" s="97" t="s">
        <v>49</v>
      </c>
      <c r="AG224" s="97" t="s">
        <v>2822</v>
      </c>
    </row>
    <row r="225" spans="1:33" ht="343.25" customHeight="1">
      <c r="A225" s="97" t="s">
        <v>2823</v>
      </c>
      <c r="B225" s="97" t="s">
        <v>2824</v>
      </c>
      <c r="C225" s="97" t="s">
        <v>2825</v>
      </c>
      <c r="D225">
        <v>2023</v>
      </c>
      <c r="E225" s="97" t="s">
        <v>2826</v>
      </c>
      <c r="F225">
        <v>8</v>
      </c>
      <c r="G225">
        <v>1</v>
      </c>
      <c r="H225"/>
      <c r="I225">
        <v>1</v>
      </c>
      <c r="J225">
        <v>12</v>
      </c>
      <c r="K225" s="93">
        <f>scopus[[#This Row],[Page end]]-scopus[[#This Row],[Page start]]</f>
        <v>11</v>
      </c>
      <c r="L225">
        <v>16</v>
      </c>
      <c r="M225" t="s">
        <v>2827</v>
      </c>
      <c r="N225" s="97" t="s">
        <v>2828</v>
      </c>
      <c r="O225" s="97" t="s">
        <v>2829</v>
      </c>
      <c r="P225" s="97" t="s">
        <v>2830</v>
      </c>
      <c r="Q225" s="97" t="s">
        <v>2831</v>
      </c>
      <c r="R225" s="97" t="s">
        <v>2832</v>
      </c>
      <c r="S225" s="97"/>
      <c r="T225" s="97" t="s">
        <v>2833</v>
      </c>
      <c r="U225" s="97"/>
      <c r="V225" s="97" t="s">
        <v>77</v>
      </c>
      <c r="W225" s="98">
        <v>23781394</v>
      </c>
      <c r="X225" s="98"/>
      <c r="Y225" s="98"/>
      <c r="Z225" s="98"/>
      <c r="AA225" s="98" t="s">
        <v>45</v>
      </c>
      <c r="AB225" s="98" t="s">
        <v>2834</v>
      </c>
      <c r="AC225" s="98" t="s">
        <v>46</v>
      </c>
      <c r="AD225" s="97" t="s">
        <v>47</v>
      </c>
      <c r="AE225" s="97" t="s">
        <v>80</v>
      </c>
      <c r="AF225" s="97" t="s">
        <v>49</v>
      </c>
      <c r="AG225" s="97" t="s">
        <v>2835</v>
      </c>
    </row>
    <row r="226" spans="1:33" ht="343.25" customHeight="1">
      <c r="A226" s="97" t="s">
        <v>1719</v>
      </c>
      <c r="B226" s="97" t="s">
        <v>1720</v>
      </c>
      <c r="C226" s="97" t="s">
        <v>2836</v>
      </c>
      <c r="D226">
        <v>2024</v>
      </c>
      <c r="E226" s="97" t="s">
        <v>204</v>
      </c>
      <c r="F226">
        <v>2024</v>
      </c>
      <c r="G226"/>
      <c r="H226"/>
      <c r="I226"/>
      <c r="J226"/>
      <c r="K226" s="93"/>
      <c r="L226">
        <v>0</v>
      </c>
      <c r="M226"/>
      <c r="N226" s="97" t="s">
        <v>2837</v>
      </c>
      <c r="O226" s="97" t="s">
        <v>2838</v>
      </c>
      <c r="P226" s="97" t="s">
        <v>2839</v>
      </c>
      <c r="Q226" s="97" t="s">
        <v>2840</v>
      </c>
      <c r="R226" s="97" t="s">
        <v>2841</v>
      </c>
      <c r="S226" s="97" t="s">
        <v>2842</v>
      </c>
      <c r="T226" s="97"/>
      <c r="U226" s="97"/>
      <c r="V226" s="97" t="s">
        <v>210</v>
      </c>
      <c r="W226" s="98">
        <v>30065933</v>
      </c>
      <c r="X226" s="98"/>
      <c r="Y226" s="98"/>
      <c r="Z226" s="98"/>
      <c r="AA226" s="98" t="s">
        <v>45</v>
      </c>
      <c r="AB226" s="98" t="s">
        <v>211</v>
      </c>
      <c r="AC226" s="98" t="s">
        <v>212</v>
      </c>
      <c r="AD226" s="97" t="s">
        <v>47</v>
      </c>
      <c r="AE226" s="97"/>
      <c r="AF226" s="97" t="s">
        <v>49</v>
      </c>
      <c r="AG226" s="97" t="s">
        <v>2843</v>
      </c>
    </row>
    <row r="227" spans="1:33" ht="343.25" customHeight="1">
      <c r="A227" s="97" t="s">
        <v>2844</v>
      </c>
      <c r="B227" s="97" t="s">
        <v>2845</v>
      </c>
      <c r="C227" s="97" t="s">
        <v>2846</v>
      </c>
      <c r="D227">
        <v>2025</v>
      </c>
      <c r="E227" s="97" t="s">
        <v>2847</v>
      </c>
      <c r="F227">
        <v>41</v>
      </c>
      <c r="G227">
        <v>7</v>
      </c>
      <c r="H227"/>
      <c r="I227">
        <v>193</v>
      </c>
      <c r="J227">
        <v>203</v>
      </c>
      <c r="K227" s="93">
        <f>scopus[[#This Row],[Page end]]-scopus[[#This Row],[Page start]]</f>
        <v>10</v>
      </c>
      <c r="L227">
        <v>0</v>
      </c>
      <c r="M227" t="s">
        <v>2848</v>
      </c>
      <c r="N227" s="97" t="s">
        <v>2849</v>
      </c>
      <c r="O227" s="97" t="s">
        <v>2850</v>
      </c>
      <c r="P227" s="97" t="s">
        <v>2851</v>
      </c>
      <c r="Q227" s="97" t="s">
        <v>2852</v>
      </c>
      <c r="R227" s="97" t="s">
        <v>2853</v>
      </c>
      <c r="S227" s="97"/>
      <c r="T227" s="97" t="s">
        <v>2854</v>
      </c>
      <c r="U227" s="97"/>
      <c r="V227" s="97" t="s">
        <v>2855</v>
      </c>
      <c r="W227" s="98">
        <v>27336239</v>
      </c>
      <c r="X227" s="98"/>
      <c r="Y227" s="98"/>
      <c r="Z227" s="98"/>
      <c r="AA227" s="98" t="s">
        <v>2565</v>
      </c>
      <c r="AB227" s="98" t="s">
        <v>2856</v>
      </c>
      <c r="AC227" s="98" t="s">
        <v>46</v>
      </c>
      <c r="AD227" s="97" t="s">
        <v>47</v>
      </c>
      <c r="AE227" s="97"/>
      <c r="AF227" s="97" t="s">
        <v>49</v>
      </c>
      <c r="AG227" s="97" t="s">
        <v>2857</v>
      </c>
    </row>
    <row r="228" spans="1:33" ht="343.25" customHeight="1">
      <c r="A228" s="97" t="s">
        <v>2858</v>
      </c>
      <c r="B228" s="97" t="s">
        <v>2859</v>
      </c>
      <c r="C228" s="97" t="s">
        <v>2860</v>
      </c>
      <c r="D228">
        <v>2017</v>
      </c>
      <c r="E228" s="97" t="s">
        <v>2861</v>
      </c>
      <c r="F228">
        <v>45</v>
      </c>
      <c r="G228">
        <v>6</v>
      </c>
      <c r="H228"/>
      <c r="I228">
        <v>846</v>
      </c>
      <c r="J228">
        <v>856</v>
      </c>
      <c r="K228" s="93">
        <f>scopus[[#This Row],[Page end]]-scopus[[#This Row],[Page start]]</f>
        <v>10</v>
      </c>
      <c r="L228">
        <v>7</v>
      </c>
      <c r="M228" t="s">
        <v>2862</v>
      </c>
      <c r="N228" s="97" t="s">
        <v>2863</v>
      </c>
      <c r="O228" s="97" t="s">
        <v>2864</v>
      </c>
      <c r="P228" s="97" t="s">
        <v>2865</v>
      </c>
      <c r="Q228" s="97" t="s">
        <v>2866</v>
      </c>
      <c r="R228" s="97" t="s">
        <v>2867</v>
      </c>
      <c r="S228" s="97" t="s">
        <v>2868</v>
      </c>
      <c r="T228" s="97" t="s">
        <v>2869</v>
      </c>
      <c r="U228" s="97"/>
      <c r="V228" s="97" t="s">
        <v>2870</v>
      </c>
      <c r="W228" s="98">
        <v>10170715</v>
      </c>
      <c r="X228" s="98"/>
      <c r="Y228" s="98"/>
      <c r="Z228" s="98"/>
      <c r="AA228" s="98" t="s">
        <v>45</v>
      </c>
      <c r="AB228" s="98" t="s">
        <v>2871</v>
      </c>
      <c r="AC228" s="98" t="s">
        <v>46</v>
      </c>
      <c r="AD228" s="97" t="s">
        <v>47</v>
      </c>
      <c r="AE228" s="97" t="s">
        <v>1538</v>
      </c>
      <c r="AF228" s="97" t="s">
        <v>49</v>
      </c>
      <c r="AG228" s="97" t="s">
        <v>2872</v>
      </c>
    </row>
    <row r="229" spans="1:33" ht="343.25" customHeight="1">
      <c r="A229" s="97" t="s">
        <v>2873</v>
      </c>
      <c r="B229" s="97" t="s">
        <v>2874</v>
      </c>
      <c r="C229" s="97" t="s">
        <v>2875</v>
      </c>
      <c r="D229">
        <v>2021</v>
      </c>
      <c r="E229" s="97" t="s">
        <v>204</v>
      </c>
      <c r="F229">
        <v>2021</v>
      </c>
      <c r="G229"/>
      <c r="H229" t="s">
        <v>2876</v>
      </c>
      <c r="I229"/>
      <c r="J229"/>
      <c r="K229" s="93"/>
      <c r="L229">
        <v>0</v>
      </c>
      <c r="M229"/>
      <c r="N229" s="97" t="s">
        <v>2877</v>
      </c>
      <c r="O229" s="97" t="s">
        <v>2878</v>
      </c>
      <c r="P229" s="97" t="s">
        <v>2879</v>
      </c>
      <c r="Q229" s="97" t="s">
        <v>2880</v>
      </c>
      <c r="R229" s="97" t="s">
        <v>2881</v>
      </c>
      <c r="S229" s="97" t="s">
        <v>2882</v>
      </c>
      <c r="T229" s="97"/>
      <c r="U229" s="97"/>
      <c r="V229" s="97" t="s">
        <v>210</v>
      </c>
      <c r="W229" s="98">
        <v>30065933</v>
      </c>
      <c r="X229" s="98"/>
      <c r="Y229" s="98"/>
      <c r="Z229" s="98"/>
      <c r="AA229" s="98" t="s">
        <v>45</v>
      </c>
      <c r="AB229" s="98" t="s">
        <v>211</v>
      </c>
      <c r="AC229" s="98" t="s">
        <v>212</v>
      </c>
      <c r="AD229" s="97" t="s">
        <v>47</v>
      </c>
      <c r="AE229" s="97"/>
      <c r="AF229" s="97" t="s">
        <v>49</v>
      </c>
      <c r="AG229" s="97" t="s">
        <v>2883</v>
      </c>
    </row>
    <row r="230" spans="1:33" ht="343.25" customHeight="1">
      <c r="A230" s="97" t="s">
        <v>2884</v>
      </c>
      <c r="B230" s="97" t="s">
        <v>2885</v>
      </c>
      <c r="C230" s="97" t="s">
        <v>2886</v>
      </c>
      <c r="D230">
        <v>2025</v>
      </c>
      <c r="E230" s="97" t="s">
        <v>996</v>
      </c>
      <c r="F230">
        <v>76</v>
      </c>
      <c r="G230"/>
      <c r="H230">
        <v>108949</v>
      </c>
      <c r="I230"/>
      <c r="J230"/>
      <c r="K230" s="93"/>
      <c r="L230">
        <v>2</v>
      </c>
      <c r="M230" t="s">
        <v>2887</v>
      </c>
      <c r="N230" s="97" t="s">
        <v>2888</v>
      </c>
      <c r="O230" s="97" t="s">
        <v>2889</v>
      </c>
      <c r="P230" s="97" t="s">
        <v>2890</v>
      </c>
      <c r="Q230" s="97" t="s">
        <v>2891</v>
      </c>
      <c r="R230" s="97" t="s">
        <v>2892</v>
      </c>
      <c r="S230" s="97" t="s">
        <v>2893</v>
      </c>
      <c r="T230" s="97" t="s">
        <v>2894</v>
      </c>
      <c r="U230" s="97"/>
      <c r="V230" s="97" t="s">
        <v>62</v>
      </c>
      <c r="W230" s="98">
        <v>23520124</v>
      </c>
      <c r="X230" s="98"/>
      <c r="Y230" s="98"/>
      <c r="Z230" s="98"/>
      <c r="AA230" s="98" t="s">
        <v>45</v>
      </c>
      <c r="AB230" s="98" t="s">
        <v>996</v>
      </c>
      <c r="AC230" s="98" t="s">
        <v>46</v>
      </c>
      <c r="AD230" s="97" t="s">
        <v>47</v>
      </c>
      <c r="AE230" s="97"/>
      <c r="AF230" s="97" t="s">
        <v>49</v>
      </c>
      <c r="AG230" s="97" t="s">
        <v>2895</v>
      </c>
    </row>
    <row r="231" spans="1:33" ht="343.25" customHeight="1">
      <c r="A231" s="97" t="s">
        <v>2896</v>
      </c>
      <c r="B231" s="97" t="s">
        <v>2897</v>
      </c>
      <c r="C231" s="97" t="s">
        <v>2898</v>
      </c>
      <c r="D231">
        <v>2025</v>
      </c>
      <c r="E231" s="97" t="s">
        <v>174</v>
      </c>
      <c r="F231"/>
      <c r="G231"/>
      <c r="H231"/>
      <c r="I231">
        <v>989</v>
      </c>
      <c r="J231">
        <v>996</v>
      </c>
      <c r="K231" s="93">
        <f>scopus[[#This Row],[Page end]]-scopus[[#This Row],[Page start]]</f>
        <v>7</v>
      </c>
      <c r="L231">
        <v>0</v>
      </c>
      <c r="M231" t="s">
        <v>2899</v>
      </c>
      <c r="N231" s="97" t="s">
        <v>2900</v>
      </c>
      <c r="O231" s="97" t="s">
        <v>2901</v>
      </c>
      <c r="P231" s="97" t="s">
        <v>2902</v>
      </c>
      <c r="Q231" s="97" t="s">
        <v>2903</v>
      </c>
      <c r="R231" s="97" t="s">
        <v>2904</v>
      </c>
      <c r="S231" s="97" t="s">
        <v>2905</v>
      </c>
      <c r="T231" s="97"/>
      <c r="U231" s="97" t="s">
        <v>182</v>
      </c>
      <c r="V231" s="97" t="s">
        <v>94</v>
      </c>
      <c r="W231" s="98"/>
      <c r="X231" s="98" t="s">
        <v>183</v>
      </c>
      <c r="Y231" s="98"/>
      <c r="Z231" s="98"/>
      <c r="AA231" s="98" t="s">
        <v>45</v>
      </c>
      <c r="AB231" s="98" t="s">
        <v>184</v>
      </c>
      <c r="AC231" s="98" t="s">
        <v>97</v>
      </c>
      <c r="AD231" s="97" t="s">
        <v>47</v>
      </c>
      <c r="AE231" s="97"/>
      <c r="AF231" s="97" t="s">
        <v>49</v>
      </c>
      <c r="AG231" s="97" t="s">
        <v>2906</v>
      </c>
    </row>
    <row r="232" spans="1:33" ht="343.25" customHeight="1">
      <c r="A232" s="97" t="s">
        <v>2907</v>
      </c>
      <c r="B232" s="97" t="s">
        <v>2908</v>
      </c>
      <c r="C232" s="97" t="s">
        <v>2909</v>
      </c>
      <c r="D232">
        <v>2023</v>
      </c>
      <c r="E232" s="97" t="s">
        <v>115</v>
      </c>
      <c r="F232" t="s">
        <v>2910</v>
      </c>
      <c r="G232"/>
      <c r="H232"/>
      <c r="I232">
        <v>476</v>
      </c>
      <c r="J232">
        <v>485</v>
      </c>
      <c r="K232" s="93">
        <f>scopus[[#This Row],[Page end]]-scopus[[#This Row],[Page start]]</f>
        <v>9</v>
      </c>
      <c r="L232">
        <v>6</v>
      </c>
      <c r="M232" t="s">
        <v>2911</v>
      </c>
      <c r="N232" s="97" t="s">
        <v>2912</v>
      </c>
      <c r="O232" s="97" t="s">
        <v>2913</v>
      </c>
      <c r="P232" s="97" t="s">
        <v>2914</v>
      </c>
      <c r="Q232" s="97" t="s">
        <v>2915</v>
      </c>
      <c r="R232" s="97" t="s">
        <v>2916</v>
      </c>
      <c r="S232" s="97" t="s">
        <v>2917</v>
      </c>
      <c r="T232" s="97" t="s">
        <v>2918</v>
      </c>
      <c r="U232" s="97" t="s">
        <v>2919</v>
      </c>
      <c r="V232" s="97" t="s">
        <v>125</v>
      </c>
      <c r="W232" s="98">
        <v>23662557</v>
      </c>
      <c r="X232" s="98" t="s">
        <v>2920</v>
      </c>
      <c r="Y232" s="98"/>
      <c r="Z232" s="98"/>
      <c r="AA232" s="98" t="s">
        <v>45</v>
      </c>
      <c r="AB232" s="98" t="s">
        <v>127</v>
      </c>
      <c r="AC232" s="98" t="s">
        <v>97</v>
      </c>
      <c r="AD232" s="97" t="s">
        <v>47</v>
      </c>
      <c r="AE232" s="97"/>
      <c r="AF232" s="97" t="s">
        <v>49</v>
      </c>
      <c r="AG232" s="97" t="s">
        <v>2921</v>
      </c>
    </row>
    <row r="233" spans="1:33" ht="343.25" customHeight="1">
      <c r="A233" s="97" t="s">
        <v>2922</v>
      </c>
      <c r="B233" s="97" t="s">
        <v>2923</v>
      </c>
      <c r="C233" s="97" t="s">
        <v>2924</v>
      </c>
      <c r="D233">
        <v>2021</v>
      </c>
      <c r="E233" s="97" t="s">
        <v>1337</v>
      </c>
      <c r="F233"/>
      <c r="G233"/>
      <c r="H233"/>
      <c r="I233"/>
      <c r="J233"/>
      <c r="K233" s="93"/>
      <c r="L233">
        <v>3</v>
      </c>
      <c r="M233" t="s">
        <v>2925</v>
      </c>
      <c r="N233" s="97" t="s">
        <v>2926</v>
      </c>
      <c r="O233" s="97" t="s">
        <v>2927</v>
      </c>
      <c r="P233" s="97" t="s">
        <v>2928</v>
      </c>
      <c r="Q233" s="97" t="s">
        <v>2929</v>
      </c>
      <c r="R233" s="97"/>
      <c r="S233" s="97" t="s">
        <v>2930</v>
      </c>
      <c r="T233" s="97"/>
      <c r="U233" s="97" t="s">
        <v>1344</v>
      </c>
      <c r="V233" s="97" t="s">
        <v>1241</v>
      </c>
      <c r="W233" s="98"/>
      <c r="X233" s="98" t="s">
        <v>1345</v>
      </c>
      <c r="Y233" s="98"/>
      <c r="Z233" s="98"/>
      <c r="AA233" s="98" t="s">
        <v>45</v>
      </c>
      <c r="AB233" s="98" t="s">
        <v>1346</v>
      </c>
      <c r="AC233" s="98" t="s">
        <v>97</v>
      </c>
      <c r="AD233" s="97" t="s">
        <v>47</v>
      </c>
      <c r="AE233" s="97"/>
      <c r="AF233" s="97" t="s">
        <v>49</v>
      </c>
      <c r="AG233" s="97" t="s">
        <v>2931</v>
      </c>
    </row>
    <row r="234" spans="1:33" ht="343.25" customHeight="1">
      <c r="A234" s="97" t="s">
        <v>2932</v>
      </c>
      <c r="B234" s="97" t="s">
        <v>2933</v>
      </c>
      <c r="C234" s="97" t="s">
        <v>2934</v>
      </c>
      <c r="D234">
        <v>2020</v>
      </c>
      <c r="E234" s="97" t="s">
        <v>2935</v>
      </c>
      <c r="F234">
        <v>1</v>
      </c>
      <c r="G234"/>
      <c r="H234"/>
      <c r="I234">
        <v>502</v>
      </c>
      <c r="J234">
        <v>509</v>
      </c>
      <c r="K234" s="93">
        <f>scopus[[#This Row],[Page end]]-scopus[[#This Row],[Page start]]</f>
        <v>7</v>
      </c>
      <c r="L234">
        <v>0</v>
      </c>
      <c r="M234"/>
      <c r="N234" s="97" t="s">
        <v>2936</v>
      </c>
      <c r="O234" s="97" t="s">
        <v>2937</v>
      </c>
      <c r="P234" s="97" t="s">
        <v>2938</v>
      </c>
      <c r="Q234" s="97" t="s">
        <v>2939</v>
      </c>
      <c r="R234" s="97" t="s">
        <v>2940</v>
      </c>
      <c r="S234" s="97" t="s">
        <v>2941</v>
      </c>
      <c r="T234" s="97"/>
      <c r="U234" s="97" t="s">
        <v>2942</v>
      </c>
      <c r="V234" s="97" t="s">
        <v>2943</v>
      </c>
      <c r="W234" s="98">
        <v>23119020</v>
      </c>
      <c r="X234" s="98" t="s">
        <v>2944</v>
      </c>
      <c r="Y234" s="98"/>
      <c r="Z234" s="98"/>
      <c r="AA234" s="98" t="s">
        <v>45</v>
      </c>
      <c r="AB234" s="98" t="s">
        <v>2945</v>
      </c>
      <c r="AC234" s="98" t="s">
        <v>97</v>
      </c>
      <c r="AD234" s="97" t="s">
        <v>47</v>
      </c>
      <c r="AE234" s="97"/>
      <c r="AF234" s="97" t="s">
        <v>49</v>
      </c>
      <c r="AG234" s="97" t="s">
        <v>2946</v>
      </c>
    </row>
    <row r="235" spans="1:33" ht="343.25" customHeight="1">
      <c r="A235" s="97" t="s">
        <v>2947</v>
      </c>
      <c r="B235" s="97" t="s">
        <v>2948</v>
      </c>
      <c r="C235" s="97" t="s">
        <v>2949</v>
      </c>
      <c r="D235">
        <v>2023</v>
      </c>
      <c r="E235" s="97" t="s">
        <v>2950</v>
      </c>
      <c r="F235">
        <v>2928</v>
      </c>
      <c r="G235">
        <v>1</v>
      </c>
      <c r="H235">
        <v>150007</v>
      </c>
      <c r="I235"/>
      <c r="J235"/>
      <c r="K235" s="93"/>
      <c r="L235">
        <v>1</v>
      </c>
      <c r="M235" t="s">
        <v>2951</v>
      </c>
      <c r="N235" s="97" t="s">
        <v>2952</v>
      </c>
      <c r="O235" s="97" t="s">
        <v>2953</v>
      </c>
      <c r="P235" s="97" t="s">
        <v>2954</v>
      </c>
      <c r="Q235" s="97" t="s">
        <v>2955</v>
      </c>
      <c r="R235" s="97"/>
      <c r="S235" s="97"/>
      <c r="T235" s="97" t="s">
        <v>2956</v>
      </c>
      <c r="U235" s="97" t="s">
        <v>2957</v>
      </c>
      <c r="V235" s="97" t="s">
        <v>2958</v>
      </c>
      <c r="W235" s="98" t="s">
        <v>2959</v>
      </c>
      <c r="X235" s="98"/>
      <c r="Y235" s="98"/>
      <c r="Z235" s="98"/>
      <c r="AA235" s="98" t="s">
        <v>45</v>
      </c>
      <c r="AB235" s="98" t="s">
        <v>2960</v>
      </c>
      <c r="AC235" s="98" t="s">
        <v>97</v>
      </c>
      <c r="AD235" s="97" t="s">
        <v>47</v>
      </c>
      <c r="AE235" s="97"/>
      <c r="AF235" s="97" t="s">
        <v>49</v>
      </c>
      <c r="AG235" s="97" t="s">
        <v>2961</v>
      </c>
    </row>
    <row r="236" spans="1:33" ht="343.25" customHeight="1">
      <c r="A236" s="97" t="s">
        <v>2962</v>
      </c>
      <c r="B236" s="97" t="s">
        <v>2963</v>
      </c>
      <c r="C236" s="97" t="s">
        <v>2964</v>
      </c>
      <c r="D236">
        <v>2025</v>
      </c>
      <c r="E236" s="97" t="s">
        <v>174</v>
      </c>
      <c r="F236"/>
      <c r="G236"/>
      <c r="H236"/>
      <c r="I236">
        <v>3280</v>
      </c>
      <c r="J236">
        <v>3287</v>
      </c>
      <c r="K236" s="93">
        <f>scopus[[#This Row],[Page end]]-scopus[[#This Row],[Page start]]</f>
        <v>7</v>
      </c>
      <c r="L236">
        <v>0</v>
      </c>
      <c r="M236" t="s">
        <v>2965</v>
      </c>
      <c r="N236" s="97" t="s">
        <v>2966</v>
      </c>
      <c r="O236" s="97" t="s">
        <v>2967</v>
      </c>
      <c r="P236" s="97" t="s">
        <v>2968</v>
      </c>
      <c r="Q236" s="97" t="s">
        <v>2969</v>
      </c>
      <c r="R236" s="97" t="s">
        <v>2970</v>
      </c>
      <c r="S236" s="97" t="s">
        <v>2971</v>
      </c>
      <c r="T236" s="97"/>
      <c r="U236" s="97" t="s">
        <v>182</v>
      </c>
      <c r="V236" s="97" t="s">
        <v>94</v>
      </c>
      <c r="W236" s="98"/>
      <c r="X236" s="98" t="s">
        <v>183</v>
      </c>
      <c r="Y236" s="98"/>
      <c r="Z236" s="98"/>
      <c r="AA236" s="98" t="s">
        <v>45</v>
      </c>
      <c r="AB236" s="98" t="s">
        <v>184</v>
      </c>
      <c r="AC236" s="98" t="s">
        <v>97</v>
      </c>
      <c r="AD236" s="97" t="s">
        <v>47</v>
      </c>
      <c r="AE236" s="97"/>
      <c r="AF236" s="97" t="s">
        <v>49</v>
      </c>
      <c r="AG236" s="97" t="s">
        <v>2972</v>
      </c>
    </row>
    <row r="237" spans="1:33" ht="343.25" customHeight="1">
      <c r="A237" s="97" t="s">
        <v>2118</v>
      </c>
      <c r="B237" s="97" t="s">
        <v>2119</v>
      </c>
      <c r="C237" s="97" t="s">
        <v>2973</v>
      </c>
      <c r="D237">
        <v>2022</v>
      </c>
      <c r="E237" s="97" t="s">
        <v>2463</v>
      </c>
      <c r="F237">
        <v>20</v>
      </c>
      <c r="G237">
        <v>11</v>
      </c>
      <c r="H237"/>
      <c r="I237">
        <v>5963</v>
      </c>
      <c r="J237">
        <v>6006</v>
      </c>
      <c r="K237" s="93">
        <f>scopus[[#This Row],[Page end]]-scopus[[#This Row],[Page start]]</f>
        <v>43</v>
      </c>
      <c r="L237">
        <v>18</v>
      </c>
      <c r="M237" t="s">
        <v>2974</v>
      </c>
      <c r="N237" s="97" t="s">
        <v>2975</v>
      </c>
      <c r="O237" s="97" t="s">
        <v>2976</v>
      </c>
      <c r="P237" s="97" t="s">
        <v>2977</v>
      </c>
      <c r="Q237" s="97" t="s">
        <v>2978</v>
      </c>
      <c r="R237" s="97" t="s">
        <v>2979</v>
      </c>
      <c r="S237" s="97" t="s">
        <v>2980</v>
      </c>
      <c r="T237" s="97" t="s">
        <v>2981</v>
      </c>
      <c r="U237" s="97"/>
      <c r="V237" s="97" t="s">
        <v>2472</v>
      </c>
      <c r="W237" s="98" t="s">
        <v>2473</v>
      </c>
      <c r="X237" s="98"/>
      <c r="Y237" s="98"/>
      <c r="Z237" s="98"/>
      <c r="AA237" s="98" t="s">
        <v>45</v>
      </c>
      <c r="AB237" s="98" t="s">
        <v>2474</v>
      </c>
      <c r="AC237" s="98" t="s">
        <v>46</v>
      </c>
      <c r="AD237" s="97" t="s">
        <v>47</v>
      </c>
      <c r="AE237" s="97" t="s">
        <v>930</v>
      </c>
      <c r="AF237" s="97" t="s">
        <v>49</v>
      </c>
      <c r="AG237" s="97" t="s">
        <v>2982</v>
      </c>
    </row>
    <row r="238" spans="1:33" ht="343.25" customHeight="1">
      <c r="A238" s="97" t="s">
        <v>1719</v>
      </c>
      <c r="B238" s="97" t="s">
        <v>1720</v>
      </c>
      <c r="C238" s="97" t="s">
        <v>2983</v>
      </c>
      <c r="D238">
        <v>2025</v>
      </c>
      <c r="E238" s="97" t="s">
        <v>2984</v>
      </c>
      <c r="F238">
        <v>4</v>
      </c>
      <c r="G238">
        <v>2</v>
      </c>
      <c r="H238"/>
      <c r="I238">
        <v>14</v>
      </c>
      <c r="J238">
        <v>29</v>
      </c>
      <c r="K238" s="93">
        <f>scopus[[#This Row],[Page end]]-scopus[[#This Row],[Page start]]</f>
        <v>15</v>
      </c>
      <c r="L238">
        <v>4</v>
      </c>
      <c r="M238" t="s">
        <v>2985</v>
      </c>
      <c r="N238" s="97" t="s">
        <v>2986</v>
      </c>
      <c r="O238" s="97" t="s">
        <v>2987</v>
      </c>
      <c r="P238" s="97" t="s">
        <v>2988</v>
      </c>
      <c r="Q238" s="97" t="s">
        <v>2989</v>
      </c>
      <c r="R238" s="97" t="s">
        <v>2990</v>
      </c>
      <c r="S238" s="97" t="s">
        <v>2991</v>
      </c>
      <c r="T238" s="97"/>
      <c r="U238" s="97"/>
      <c r="V238" s="97" t="s">
        <v>2992</v>
      </c>
      <c r="W238" s="98">
        <v>27727416</v>
      </c>
      <c r="X238" s="98"/>
      <c r="Y238" s="98"/>
      <c r="Z238" s="98"/>
      <c r="AA238" s="98" t="s">
        <v>45</v>
      </c>
      <c r="AB238" s="98" t="s">
        <v>2993</v>
      </c>
      <c r="AC238" s="98" t="s">
        <v>46</v>
      </c>
      <c r="AD238" s="97" t="s">
        <v>47</v>
      </c>
      <c r="AE238" s="97" t="s">
        <v>48</v>
      </c>
      <c r="AF238" s="97" t="s">
        <v>49</v>
      </c>
      <c r="AG238" s="97" t="s">
        <v>2994</v>
      </c>
    </row>
    <row r="239" spans="1:33" ht="343.25" customHeight="1">
      <c r="A239" s="97" t="s">
        <v>2995</v>
      </c>
      <c r="B239" s="97" t="s">
        <v>2996</v>
      </c>
      <c r="C239" s="97" t="s">
        <v>2997</v>
      </c>
      <c r="D239">
        <v>2025</v>
      </c>
      <c r="E239" s="97" t="s">
        <v>54</v>
      </c>
      <c r="F239">
        <v>114</v>
      </c>
      <c r="G239"/>
      <c r="H239">
        <v>114362</v>
      </c>
      <c r="I239"/>
      <c r="J239"/>
      <c r="K239" s="93"/>
      <c r="L239">
        <v>0</v>
      </c>
      <c r="M239" t="s">
        <v>2998</v>
      </c>
      <c r="N239" s="97" t="s">
        <v>2999</v>
      </c>
      <c r="O239" s="97" t="s">
        <v>3000</v>
      </c>
      <c r="P239" s="97" t="s">
        <v>3001</v>
      </c>
      <c r="Q239" s="97" t="s">
        <v>3002</v>
      </c>
      <c r="R239" s="97" t="s">
        <v>3003</v>
      </c>
      <c r="S239" s="97" t="s">
        <v>3004</v>
      </c>
      <c r="T239" s="97" t="s">
        <v>3005</v>
      </c>
      <c r="U239" s="97"/>
      <c r="V239" s="97" t="s">
        <v>62</v>
      </c>
      <c r="W239" s="98">
        <v>23527102</v>
      </c>
      <c r="X239" s="98"/>
      <c r="Y239" s="98"/>
      <c r="Z239" s="98"/>
      <c r="AA239" s="98" t="s">
        <v>45</v>
      </c>
      <c r="AB239" s="98" t="s">
        <v>63</v>
      </c>
      <c r="AC239" s="98" t="s">
        <v>46</v>
      </c>
      <c r="AD239" s="97" t="s">
        <v>47</v>
      </c>
      <c r="AE239" s="97"/>
      <c r="AF239" s="97" t="s">
        <v>49</v>
      </c>
      <c r="AG239" s="97" t="s">
        <v>3006</v>
      </c>
    </row>
    <row r="240" spans="1:33" ht="343.25" customHeight="1">
      <c r="A240" s="97" t="s">
        <v>3007</v>
      </c>
      <c r="B240" s="97" t="s">
        <v>3008</v>
      </c>
      <c r="C240" s="97" t="s">
        <v>3009</v>
      </c>
      <c r="D240">
        <v>2018</v>
      </c>
      <c r="E240" s="97" t="s">
        <v>3010</v>
      </c>
      <c r="F240" t="s">
        <v>3011</v>
      </c>
      <c r="G240"/>
      <c r="H240"/>
      <c r="I240">
        <v>400</v>
      </c>
      <c r="J240">
        <v>411</v>
      </c>
      <c r="K240" s="93">
        <f>scopus[[#This Row],[Page end]]-scopus[[#This Row],[Page start]]</f>
        <v>11</v>
      </c>
      <c r="L240">
        <v>13</v>
      </c>
      <c r="M240" t="s">
        <v>3012</v>
      </c>
      <c r="N240" s="97" t="s">
        <v>3013</v>
      </c>
      <c r="O240" s="97" t="s">
        <v>3014</v>
      </c>
      <c r="P240" s="97" t="s">
        <v>3015</v>
      </c>
      <c r="Q240" s="97" t="s">
        <v>3016</v>
      </c>
      <c r="R240" s="97"/>
      <c r="S240" s="97" t="s">
        <v>3017</v>
      </c>
      <c r="T240" s="97"/>
      <c r="U240" s="97" t="s">
        <v>490</v>
      </c>
      <c r="V240" s="97" t="s">
        <v>298</v>
      </c>
      <c r="W240" s="98"/>
      <c r="X240" s="98" t="s">
        <v>3018</v>
      </c>
      <c r="Y240" s="98"/>
      <c r="Z240" s="98"/>
      <c r="AA240" s="98" t="s">
        <v>45</v>
      </c>
      <c r="AB240" s="98" t="s">
        <v>3019</v>
      </c>
      <c r="AC240" s="98" t="s">
        <v>97</v>
      </c>
      <c r="AD240" s="97" t="s">
        <v>47</v>
      </c>
      <c r="AE240" s="97"/>
      <c r="AF240" s="97" t="s">
        <v>49</v>
      </c>
      <c r="AG240" s="97" t="s">
        <v>3020</v>
      </c>
    </row>
    <row r="241" spans="1:33" ht="343.25" customHeight="1">
      <c r="A241" s="97" t="s">
        <v>3021</v>
      </c>
      <c r="B241" s="97" t="s">
        <v>3022</v>
      </c>
      <c r="C241" s="97" t="s">
        <v>3023</v>
      </c>
      <c r="D241">
        <v>2025</v>
      </c>
      <c r="E241" s="97" t="s">
        <v>174</v>
      </c>
      <c r="F241"/>
      <c r="G241"/>
      <c r="H241"/>
      <c r="I241">
        <v>3936</v>
      </c>
      <c r="J241">
        <v>3941</v>
      </c>
      <c r="K241" s="93">
        <f>scopus[[#This Row],[Page end]]-scopus[[#This Row],[Page start]]</f>
        <v>5</v>
      </c>
      <c r="L241">
        <v>0</v>
      </c>
      <c r="M241" t="s">
        <v>3024</v>
      </c>
      <c r="N241" s="97" t="s">
        <v>3025</v>
      </c>
      <c r="O241" s="97" t="s">
        <v>3026</v>
      </c>
      <c r="P241" s="97" t="s">
        <v>3027</v>
      </c>
      <c r="Q241" s="97" t="s">
        <v>3028</v>
      </c>
      <c r="R241" s="97" t="s">
        <v>3029</v>
      </c>
      <c r="S241" s="97" t="s">
        <v>3030</v>
      </c>
      <c r="T241" s="97"/>
      <c r="U241" s="97" t="s">
        <v>182</v>
      </c>
      <c r="V241" s="97" t="s">
        <v>94</v>
      </c>
      <c r="W241" s="98"/>
      <c r="X241" s="98" t="s">
        <v>183</v>
      </c>
      <c r="Y241" s="98"/>
      <c r="Z241" s="98"/>
      <c r="AA241" s="98" t="s">
        <v>45</v>
      </c>
      <c r="AB241" s="98" t="s">
        <v>184</v>
      </c>
      <c r="AC241" s="98" t="s">
        <v>97</v>
      </c>
      <c r="AD241" s="97" t="s">
        <v>47</v>
      </c>
      <c r="AE241" s="97"/>
      <c r="AF241" s="97" t="s">
        <v>49</v>
      </c>
      <c r="AG241" s="97" t="s">
        <v>3031</v>
      </c>
    </row>
    <row r="242" spans="1:33" ht="343.25" customHeight="1">
      <c r="A242" s="97" t="s">
        <v>3032</v>
      </c>
      <c r="B242" s="97" t="s">
        <v>3033</v>
      </c>
      <c r="C242" s="97" t="s">
        <v>3034</v>
      </c>
      <c r="D242">
        <v>2014</v>
      </c>
      <c r="E242" s="97" t="s">
        <v>1878</v>
      </c>
      <c r="F242">
        <v>28</v>
      </c>
      <c r="G242">
        <v>6</v>
      </c>
      <c r="H242" t="s">
        <v>3035</v>
      </c>
      <c r="I242"/>
      <c r="J242"/>
      <c r="K242" s="93"/>
      <c r="L242">
        <v>4</v>
      </c>
      <c r="M242" t="s">
        <v>3036</v>
      </c>
      <c r="N242" s="97" t="s">
        <v>3037</v>
      </c>
      <c r="O242" s="97" t="s">
        <v>3038</v>
      </c>
      <c r="P242" s="97" t="s">
        <v>3039</v>
      </c>
      <c r="Q242" s="97" t="s">
        <v>3040</v>
      </c>
      <c r="R242" s="97" t="s">
        <v>3041</v>
      </c>
      <c r="S242" s="97" t="s">
        <v>3042</v>
      </c>
      <c r="T242" s="97"/>
      <c r="U242" s="97"/>
      <c r="V242" s="97" t="s">
        <v>298</v>
      </c>
      <c r="W242" s="98">
        <v>8873828</v>
      </c>
      <c r="X242" s="98"/>
      <c r="Y242" s="98" t="s">
        <v>1887</v>
      </c>
      <c r="Z242" s="98"/>
      <c r="AA242" s="98" t="s">
        <v>45</v>
      </c>
      <c r="AB242" s="98" t="s">
        <v>1888</v>
      </c>
      <c r="AC242" s="98" t="s">
        <v>46</v>
      </c>
      <c r="AD242" s="97" t="s">
        <v>47</v>
      </c>
      <c r="AE242" s="97"/>
      <c r="AF242" s="97" t="s">
        <v>49</v>
      </c>
      <c r="AG242" s="97" t="s">
        <v>3043</v>
      </c>
    </row>
    <row r="243" spans="1:33" ht="343.25" customHeight="1">
      <c r="A243" s="97" t="s">
        <v>3044</v>
      </c>
      <c r="B243" s="97" t="s">
        <v>3045</v>
      </c>
      <c r="C243" s="97" t="s">
        <v>3046</v>
      </c>
      <c r="D243">
        <v>2019</v>
      </c>
      <c r="E243" s="97" t="s">
        <v>232</v>
      </c>
      <c r="F243">
        <v>226</v>
      </c>
      <c r="G243"/>
      <c r="H243"/>
      <c r="I243">
        <v>162</v>
      </c>
      <c r="J243">
        <v>172</v>
      </c>
      <c r="K243" s="93">
        <f>scopus[[#This Row],[Page end]]-scopus[[#This Row],[Page start]]</f>
        <v>10</v>
      </c>
      <c r="L243">
        <v>3</v>
      </c>
      <c r="M243" t="s">
        <v>3047</v>
      </c>
      <c r="N243" s="97" t="s">
        <v>3048</v>
      </c>
      <c r="O243" s="97" t="s">
        <v>3049</v>
      </c>
      <c r="P243" s="97" t="s">
        <v>3050</v>
      </c>
      <c r="Q243" s="97" t="s">
        <v>3051</v>
      </c>
      <c r="R243" s="97" t="s">
        <v>3052</v>
      </c>
      <c r="S243" s="97" t="s">
        <v>3053</v>
      </c>
      <c r="T243" s="97" t="s">
        <v>3054</v>
      </c>
      <c r="U243" s="97"/>
      <c r="V243" s="97" t="s">
        <v>62</v>
      </c>
      <c r="W243" s="98">
        <v>9500618</v>
      </c>
      <c r="X243" s="98"/>
      <c r="Y243" s="98" t="s">
        <v>241</v>
      </c>
      <c r="Z243" s="98"/>
      <c r="AA243" s="98" t="s">
        <v>45</v>
      </c>
      <c r="AB243" s="98" t="s">
        <v>242</v>
      </c>
      <c r="AC243" s="98" t="s">
        <v>46</v>
      </c>
      <c r="AD243" s="97" t="s">
        <v>47</v>
      </c>
      <c r="AE243" s="97"/>
      <c r="AF243" s="97" t="s">
        <v>49</v>
      </c>
      <c r="AG243" s="97" t="s">
        <v>3055</v>
      </c>
    </row>
    <row r="244" spans="1:33" ht="343.25" customHeight="1">
      <c r="A244" s="97" t="s">
        <v>3056</v>
      </c>
      <c r="B244" s="97" t="s">
        <v>3057</v>
      </c>
      <c r="C244" s="97" t="s">
        <v>3058</v>
      </c>
      <c r="D244">
        <v>2021</v>
      </c>
      <c r="E244" s="97" t="s">
        <v>3059</v>
      </c>
      <c r="F244"/>
      <c r="G244"/>
      <c r="H244"/>
      <c r="I244">
        <v>397</v>
      </c>
      <c r="J244">
        <v>404</v>
      </c>
      <c r="K244" s="93">
        <f>scopus[[#This Row],[Page end]]-scopus[[#This Row],[Page start]]</f>
        <v>7</v>
      </c>
      <c r="L244">
        <v>0</v>
      </c>
      <c r="M244"/>
      <c r="N244" s="97" t="s">
        <v>3060</v>
      </c>
      <c r="O244" s="97" t="s">
        <v>3061</v>
      </c>
      <c r="P244" s="97" t="s">
        <v>3062</v>
      </c>
      <c r="Q244" s="97" t="s">
        <v>3063</v>
      </c>
      <c r="R244" s="97"/>
      <c r="S244" s="97" t="s">
        <v>3064</v>
      </c>
      <c r="T244" s="97" t="s">
        <v>3065</v>
      </c>
      <c r="U244" s="97"/>
      <c r="V244" s="97" t="s">
        <v>3066</v>
      </c>
      <c r="W244" s="98"/>
      <c r="X244" s="98" t="s">
        <v>3067</v>
      </c>
      <c r="Y244" s="98"/>
      <c r="Z244" s="98"/>
      <c r="AA244" s="98" t="s">
        <v>45</v>
      </c>
      <c r="AB244" s="98" t="s">
        <v>3068</v>
      </c>
      <c r="AC244" s="98" t="s">
        <v>97</v>
      </c>
      <c r="AD244" s="97" t="s">
        <v>47</v>
      </c>
      <c r="AE244" s="97"/>
      <c r="AF244" s="97" t="s">
        <v>49</v>
      </c>
      <c r="AG244" s="97" t="s">
        <v>3069</v>
      </c>
    </row>
    <row r="245" spans="1:33" ht="343.25" customHeight="1">
      <c r="A245" s="97" t="s">
        <v>3070</v>
      </c>
      <c r="B245" s="97" t="s">
        <v>3071</v>
      </c>
      <c r="C245" s="97" t="s">
        <v>3072</v>
      </c>
      <c r="D245">
        <v>2021</v>
      </c>
      <c r="E245" s="97" t="s">
        <v>3073</v>
      </c>
      <c r="F245"/>
      <c r="G245"/>
      <c r="H245"/>
      <c r="I245">
        <v>1590</v>
      </c>
      <c r="J245">
        <v>1597</v>
      </c>
      <c r="K245" s="93">
        <f>scopus[[#This Row],[Page end]]-scopus[[#This Row],[Page start]]</f>
        <v>7</v>
      </c>
      <c r="L245">
        <v>0</v>
      </c>
      <c r="M245" t="s">
        <v>3074</v>
      </c>
      <c r="N245" s="97" t="s">
        <v>3075</v>
      </c>
      <c r="O245" s="97" t="s">
        <v>3076</v>
      </c>
      <c r="P245" s="97" t="s">
        <v>3077</v>
      </c>
      <c r="Q245" s="97" t="s">
        <v>3078</v>
      </c>
      <c r="R245" s="97" t="s">
        <v>3079</v>
      </c>
      <c r="S245" s="97" t="s">
        <v>3080</v>
      </c>
      <c r="T245" s="97" t="s">
        <v>3081</v>
      </c>
      <c r="U245" s="97" t="s">
        <v>3082</v>
      </c>
      <c r="V245" s="97" t="s">
        <v>835</v>
      </c>
      <c r="W245" s="98"/>
      <c r="X245" s="98"/>
      <c r="Y245" s="98"/>
      <c r="Z245" s="98"/>
      <c r="AA245" s="98" t="s">
        <v>45</v>
      </c>
      <c r="AB245" s="98" t="s">
        <v>3083</v>
      </c>
      <c r="AC245" s="98" t="s">
        <v>97</v>
      </c>
      <c r="AD245" s="97" t="s">
        <v>47</v>
      </c>
      <c r="AE245" s="97"/>
      <c r="AF245" s="97" t="s">
        <v>49</v>
      </c>
      <c r="AG245" s="97" t="s">
        <v>3084</v>
      </c>
    </row>
    <row r="246" spans="1:33" ht="343.25" customHeight="1">
      <c r="A246" s="97" t="s">
        <v>3085</v>
      </c>
      <c r="B246" s="97" t="s">
        <v>3086</v>
      </c>
      <c r="C246" s="97" t="s">
        <v>3087</v>
      </c>
      <c r="D246">
        <v>2023</v>
      </c>
      <c r="E246" s="97" t="s">
        <v>115</v>
      </c>
      <c r="F246" t="s">
        <v>1942</v>
      </c>
      <c r="G246"/>
      <c r="H246"/>
      <c r="I246">
        <v>565</v>
      </c>
      <c r="J246">
        <v>575</v>
      </c>
      <c r="K246" s="93">
        <f>scopus[[#This Row],[Page end]]-scopus[[#This Row],[Page start]]</f>
        <v>10</v>
      </c>
      <c r="L246">
        <v>0</v>
      </c>
      <c r="M246" t="s">
        <v>3088</v>
      </c>
      <c r="N246" s="97" t="s">
        <v>3089</v>
      </c>
      <c r="O246" s="97" t="s">
        <v>1945</v>
      </c>
      <c r="P246" s="97" t="s">
        <v>3090</v>
      </c>
      <c r="Q246" s="97" t="s">
        <v>3091</v>
      </c>
      <c r="R246" s="97" t="s">
        <v>3092</v>
      </c>
      <c r="S246" s="97" t="s">
        <v>3093</v>
      </c>
      <c r="T246" s="97" t="s">
        <v>1950</v>
      </c>
      <c r="U246" s="97" t="s">
        <v>1116</v>
      </c>
      <c r="V246" s="97" t="s">
        <v>125</v>
      </c>
      <c r="W246" s="98">
        <v>23662557</v>
      </c>
      <c r="X246" s="98" t="s">
        <v>1951</v>
      </c>
      <c r="Y246" s="98"/>
      <c r="Z246" s="98"/>
      <c r="AA246" s="98" t="s">
        <v>45</v>
      </c>
      <c r="AB246" s="98" t="s">
        <v>127</v>
      </c>
      <c r="AC246" s="98" t="s">
        <v>97</v>
      </c>
      <c r="AD246" s="97" t="s">
        <v>47</v>
      </c>
      <c r="AE246" s="97"/>
      <c r="AF246" s="97" t="s">
        <v>49</v>
      </c>
      <c r="AG246" s="97" t="s">
        <v>3094</v>
      </c>
    </row>
    <row r="247" spans="1:33" ht="343.25" customHeight="1">
      <c r="A247" s="97" t="s">
        <v>3095</v>
      </c>
      <c r="B247" s="97" t="s">
        <v>3096</v>
      </c>
      <c r="C247" s="97" t="s">
        <v>3097</v>
      </c>
      <c r="D247">
        <v>2024</v>
      </c>
      <c r="E247" s="97" t="s">
        <v>3098</v>
      </c>
      <c r="F247">
        <v>9</v>
      </c>
      <c r="G247"/>
      <c r="H247"/>
      <c r="I247">
        <v>6740</v>
      </c>
      <c r="J247">
        <v>6747</v>
      </c>
      <c r="K247" s="93">
        <f>scopus[[#This Row],[Page end]]-scopus[[#This Row],[Page start]]</f>
        <v>7</v>
      </c>
      <c r="L247">
        <v>0</v>
      </c>
      <c r="M247"/>
      <c r="N247" s="97" t="s">
        <v>3099</v>
      </c>
      <c r="O247" s="97" t="s">
        <v>3100</v>
      </c>
      <c r="P247" s="97" t="s">
        <v>3101</v>
      </c>
      <c r="Q247" s="97" t="s">
        <v>3102</v>
      </c>
      <c r="R247" s="97"/>
      <c r="S247" s="97" t="s">
        <v>3103</v>
      </c>
      <c r="T247" s="97"/>
      <c r="U247" s="97"/>
      <c r="V247" s="97" t="s">
        <v>3104</v>
      </c>
      <c r="W247" s="98"/>
      <c r="X247" s="98" t="s">
        <v>3105</v>
      </c>
      <c r="Y247" s="98"/>
      <c r="Z247" s="98"/>
      <c r="AA247" s="98" t="s">
        <v>45</v>
      </c>
      <c r="AB247" s="98" t="s">
        <v>3106</v>
      </c>
      <c r="AC247" s="98" t="s">
        <v>97</v>
      </c>
      <c r="AD247" s="97" t="s">
        <v>47</v>
      </c>
      <c r="AE247" s="97"/>
      <c r="AF247" s="97" t="s">
        <v>49</v>
      </c>
      <c r="AG247" s="97" t="s">
        <v>3107</v>
      </c>
    </row>
    <row r="248" spans="1:33" ht="343.25" customHeight="1">
      <c r="A248" s="97" t="s">
        <v>3108</v>
      </c>
      <c r="B248" s="97" t="s">
        <v>3109</v>
      </c>
      <c r="C248" s="97" t="s">
        <v>3110</v>
      </c>
      <c r="D248">
        <v>2019</v>
      </c>
      <c r="E248" s="97" t="s">
        <v>3111</v>
      </c>
      <c r="F248"/>
      <c r="G248"/>
      <c r="H248"/>
      <c r="I248"/>
      <c r="J248"/>
      <c r="K248" s="93"/>
      <c r="L248">
        <v>4</v>
      </c>
      <c r="M248"/>
      <c r="N248" s="97" t="s">
        <v>3112</v>
      </c>
      <c r="O248" s="97" t="s">
        <v>3113</v>
      </c>
      <c r="P248" s="97" t="s">
        <v>3114</v>
      </c>
      <c r="Q248" s="97" t="s">
        <v>3115</v>
      </c>
      <c r="R248" s="97" t="s">
        <v>3116</v>
      </c>
      <c r="S248" s="97" t="s">
        <v>3117</v>
      </c>
      <c r="T248" s="97"/>
      <c r="U248" s="97" t="s">
        <v>3118</v>
      </c>
      <c r="V248" s="97" t="s">
        <v>3119</v>
      </c>
      <c r="W248" s="98"/>
      <c r="X248" s="98" t="s">
        <v>3120</v>
      </c>
      <c r="Y248" s="98"/>
      <c r="Z248" s="98"/>
      <c r="AA248" s="98" t="s">
        <v>45</v>
      </c>
      <c r="AB248" s="98" t="s">
        <v>3121</v>
      </c>
      <c r="AC248" s="98" t="s">
        <v>97</v>
      </c>
      <c r="AD248" s="97" t="s">
        <v>47</v>
      </c>
      <c r="AE248" s="97"/>
      <c r="AF248" s="97" t="s">
        <v>49</v>
      </c>
      <c r="AG248" s="97" t="s">
        <v>3122</v>
      </c>
    </row>
    <row r="249" spans="1:33" ht="343.25" customHeight="1">
      <c r="A249" s="97" t="s">
        <v>3123</v>
      </c>
      <c r="B249" s="97" t="s">
        <v>3124</v>
      </c>
      <c r="C249" s="97" t="s">
        <v>3125</v>
      </c>
      <c r="D249">
        <v>2016</v>
      </c>
      <c r="E249" s="97" t="s">
        <v>3126</v>
      </c>
      <c r="F249"/>
      <c r="G249"/>
      <c r="H249"/>
      <c r="I249">
        <v>3782</v>
      </c>
      <c r="J249">
        <v>3791</v>
      </c>
      <c r="K249" s="93">
        <f>scopus[[#This Row],[Page end]]-scopus[[#This Row],[Page start]]</f>
        <v>9</v>
      </c>
      <c r="L249">
        <v>5</v>
      </c>
      <c r="M249"/>
      <c r="N249" s="97" t="s">
        <v>3127</v>
      </c>
      <c r="O249" s="97" t="s">
        <v>3128</v>
      </c>
      <c r="P249" s="97" t="s">
        <v>3129</v>
      </c>
      <c r="Q249" s="97" t="s">
        <v>3130</v>
      </c>
      <c r="R249" s="97" t="s">
        <v>3131</v>
      </c>
      <c r="S249" s="97" t="s">
        <v>3132</v>
      </c>
      <c r="T249" s="97"/>
      <c r="U249" s="97" t="s">
        <v>3133</v>
      </c>
      <c r="V249" s="97" t="s">
        <v>3134</v>
      </c>
      <c r="W249" s="98"/>
      <c r="X249" s="98"/>
      <c r="Y249" s="98"/>
      <c r="Z249" s="98"/>
      <c r="AA249" s="98" t="s">
        <v>45</v>
      </c>
      <c r="AB249" s="98" t="s">
        <v>3135</v>
      </c>
      <c r="AC249" s="98" t="s">
        <v>97</v>
      </c>
      <c r="AD249" s="97" t="s">
        <v>47</v>
      </c>
      <c r="AE249" s="97"/>
      <c r="AF249" s="97" t="s">
        <v>49</v>
      </c>
      <c r="AG249" s="97" t="s">
        <v>3136</v>
      </c>
    </row>
    <row r="250" spans="1:33" ht="343.25" customHeight="1">
      <c r="A250" s="97" t="s">
        <v>3137</v>
      </c>
      <c r="B250" s="97" t="s">
        <v>3138</v>
      </c>
      <c r="C250" s="97" t="s">
        <v>3139</v>
      </c>
      <c r="D250">
        <v>2024</v>
      </c>
      <c r="E250" s="97" t="s">
        <v>675</v>
      </c>
      <c r="F250">
        <v>57</v>
      </c>
      <c r="G250"/>
      <c r="H250">
        <v>111172</v>
      </c>
      <c r="I250"/>
      <c r="J250"/>
      <c r="K250" s="93"/>
      <c r="L250">
        <v>0</v>
      </c>
      <c r="M250" t="s">
        <v>3140</v>
      </c>
      <c r="N250" s="97" t="s">
        <v>3141</v>
      </c>
      <c r="O250" s="97" t="s">
        <v>3142</v>
      </c>
      <c r="P250" s="97" t="s">
        <v>3143</v>
      </c>
      <c r="Q250" s="97" t="s">
        <v>3144</v>
      </c>
      <c r="R250" s="97" t="s">
        <v>3145</v>
      </c>
      <c r="S250" s="97" t="s">
        <v>3146</v>
      </c>
      <c r="T250" s="97" t="s">
        <v>3147</v>
      </c>
      <c r="U250" s="97"/>
      <c r="V250" s="97" t="s">
        <v>684</v>
      </c>
      <c r="W250" s="98">
        <v>23523409</v>
      </c>
      <c r="X250" s="98"/>
      <c r="Y250" s="98"/>
      <c r="Z250" s="98"/>
      <c r="AA250" s="98" t="s">
        <v>45</v>
      </c>
      <c r="AB250" s="98" t="s">
        <v>685</v>
      </c>
      <c r="AC250" s="98" t="s">
        <v>2687</v>
      </c>
      <c r="AD250" s="97" t="s">
        <v>47</v>
      </c>
      <c r="AE250" s="97" t="s">
        <v>48</v>
      </c>
      <c r="AF250" s="97" t="s">
        <v>49</v>
      </c>
      <c r="AG250" s="97" t="s">
        <v>3148</v>
      </c>
    </row>
    <row r="251" spans="1:33" ht="343.25" customHeight="1">
      <c r="A251" s="97" t="s">
        <v>3149</v>
      </c>
      <c r="B251" s="97" t="s">
        <v>3150</v>
      </c>
      <c r="C251" s="97" t="s">
        <v>3151</v>
      </c>
      <c r="D251">
        <v>2026</v>
      </c>
      <c r="E251" s="97" t="s">
        <v>3152</v>
      </c>
      <c r="F251">
        <v>222</v>
      </c>
      <c r="G251"/>
      <c r="H251">
        <v>114573</v>
      </c>
      <c r="I251"/>
      <c r="J251"/>
      <c r="K251" s="93"/>
      <c r="L251">
        <v>3</v>
      </c>
      <c r="M251" t="s">
        <v>3153</v>
      </c>
      <c r="N251" s="97" t="s">
        <v>3154</v>
      </c>
      <c r="O251" s="97" t="s">
        <v>3155</v>
      </c>
      <c r="P251" s="97" t="s">
        <v>3156</v>
      </c>
      <c r="Q251" s="97" t="s">
        <v>3157</v>
      </c>
      <c r="R251" s="97" t="s">
        <v>3158</v>
      </c>
      <c r="S251" t="s">
        <v>3159</v>
      </c>
      <c r="T251" t="s">
        <v>3160</v>
      </c>
      <c r="V251" s="97" t="s">
        <v>62</v>
      </c>
      <c r="W251" s="98">
        <v>2638231</v>
      </c>
      <c r="X251" s="98"/>
      <c r="Y251" s="98" t="s">
        <v>3161</v>
      </c>
      <c r="Z251" s="98"/>
      <c r="AA251" s="98" t="s">
        <v>45</v>
      </c>
      <c r="AB251" s="98" t="s">
        <v>3162</v>
      </c>
      <c r="AC251" s="98" t="s">
        <v>46</v>
      </c>
      <c r="AD251" s="97" t="s">
        <v>47</v>
      </c>
      <c r="AE251" s="97"/>
      <c r="AF251" s="97" t="s">
        <v>49</v>
      </c>
      <c r="AG251" s="97" t="s">
        <v>3163</v>
      </c>
    </row>
    <row r="252" spans="1:33">
      <c r="A252" s="97"/>
      <c r="B252" s="97"/>
      <c r="C252" s="97"/>
      <c r="D252"/>
      <c r="E252" s="97"/>
      <c r="F252"/>
      <c r="G252"/>
      <c r="H252"/>
      <c r="I252"/>
      <c r="J252"/>
      <c r="K252" s="93"/>
      <c r="L252"/>
      <c r="M252"/>
      <c r="Q252"/>
      <c r="R252" s="97"/>
      <c r="W252"/>
      <c r="X252"/>
      <c r="Y252"/>
      <c r="Z252"/>
      <c r="AA252"/>
      <c r="AB252"/>
      <c r="AC252"/>
    </row>
    <row r="253" spans="1:33">
      <c r="A253" s="97"/>
      <c r="B253" s="97"/>
      <c r="C253" s="97"/>
      <c r="D253"/>
      <c r="E253" s="97"/>
      <c r="F253"/>
      <c r="G253"/>
      <c r="H253"/>
      <c r="I253"/>
      <c r="J253"/>
      <c r="K253" s="93"/>
      <c r="L253"/>
      <c r="M253"/>
      <c r="Q253"/>
      <c r="R253" s="97"/>
      <c r="W253"/>
      <c r="X253"/>
      <c r="Y253"/>
      <c r="Z253"/>
      <c r="AA253"/>
      <c r="AB253"/>
      <c r="AC253"/>
    </row>
    <row r="254" spans="1:33">
      <c r="A254" s="97"/>
      <c r="B254" s="97"/>
      <c r="C254" s="97"/>
      <c r="D254"/>
      <c r="E254" s="97"/>
      <c r="F254"/>
      <c r="G254"/>
      <c r="H254"/>
      <c r="I254"/>
      <c r="J254"/>
      <c r="K254" s="93"/>
      <c r="L254"/>
      <c r="M254"/>
      <c r="Q254"/>
      <c r="W254"/>
      <c r="X254"/>
      <c r="Y254"/>
      <c r="Z254"/>
      <c r="AA254"/>
      <c r="AB254"/>
      <c r="AC254"/>
    </row>
    <row r="255" spans="1:33">
      <c r="A255" s="97"/>
      <c r="B255" s="97"/>
      <c r="C255" s="97"/>
      <c r="D255"/>
      <c r="E255" s="97"/>
      <c r="F255"/>
      <c r="G255"/>
      <c r="H255"/>
      <c r="I255"/>
      <c r="J255"/>
      <c r="K255" s="93"/>
      <c r="L255"/>
      <c r="M255"/>
      <c r="Q255"/>
      <c r="W255"/>
      <c r="X255"/>
      <c r="Y255"/>
      <c r="Z255"/>
      <c r="AA255"/>
      <c r="AB255"/>
      <c r="AC255"/>
    </row>
    <row r="256" spans="1:33">
      <c r="A256" s="97"/>
      <c r="B256" s="97"/>
      <c r="C256" s="97"/>
      <c r="D256"/>
      <c r="E256" s="97"/>
      <c r="F256"/>
      <c r="G256"/>
      <c r="H256"/>
      <c r="I256"/>
      <c r="J256"/>
      <c r="K256" s="93"/>
      <c r="L256"/>
      <c r="M256"/>
      <c r="Q256"/>
      <c r="W256"/>
      <c r="X256"/>
      <c r="Y256"/>
      <c r="Z256"/>
      <c r="AA256"/>
      <c r="AB256"/>
      <c r="AC256"/>
    </row>
    <row r="257" spans="1:29">
      <c r="A257" s="97"/>
      <c r="B257" s="97"/>
      <c r="C257" s="97"/>
      <c r="D257"/>
      <c r="E257" s="97"/>
      <c r="F257"/>
      <c r="G257"/>
      <c r="H257"/>
      <c r="I257"/>
      <c r="J257"/>
      <c r="K257" s="93"/>
      <c r="L257"/>
      <c r="M257"/>
      <c r="Q257"/>
      <c r="W257"/>
      <c r="X257"/>
      <c r="Y257"/>
      <c r="Z257"/>
      <c r="AA257"/>
      <c r="AB257"/>
      <c r="AC257"/>
    </row>
    <row r="258" spans="1:29">
      <c r="A258" s="97"/>
      <c r="B258" s="97"/>
      <c r="C258" s="97"/>
      <c r="D258"/>
      <c r="E258" s="97"/>
      <c r="F258"/>
      <c r="G258"/>
      <c r="H258"/>
      <c r="I258"/>
      <c r="J258"/>
      <c r="K258" s="93"/>
      <c r="L258"/>
      <c r="M258"/>
      <c r="Q258"/>
      <c r="W258"/>
      <c r="X258"/>
      <c r="Y258"/>
      <c r="Z258"/>
      <c r="AA258"/>
      <c r="AB258"/>
      <c r="AC258"/>
    </row>
    <row r="259" spans="1:29">
      <c r="A259" s="97"/>
      <c r="B259" s="97"/>
      <c r="C259" s="97"/>
      <c r="D259"/>
      <c r="E259" s="97"/>
      <c r="F259"/>
      <c r="G259"/>
      <c r="H259"/>
      <c r="I259"/>
      <c r="J259"/>
      <c r="K259" s="93"/>
      <c r="L259"/>
      <c r="M259"/>
      <c r="Q259"/>
      <c r="W259"/>
      <c r="X259"/>
      <c r="Y259"/>
      <c r="Z259"/>
      <c r="AA259"/>
      <c r="AB259"/>
      <c r="AC259"/>
    </row>
    <row r="260" spans="1:29">
      <c r="A260" s="97"/>
      <c r="B260" s="97"/>
      <c r="C260" s="97"/>
      <c r="D260"/>
      <c r="E260" s="97"/>
      <c r="F260"/>
      <c r="G260"/>
      <c r="H260"/>
      <c r="I260"/>
      <c r="J260"/>
      <c r="K260" s="93"/>
      <c r="L260"/>
      <c r="M260"/>
      <c r="Q260"/>
      <c r="W260"/>
      <c r="X260"/>
      <c r="Y260"/>
      <c r="Z260"/>
      <c r="AA260"/>
      <c r="AB260"/>
      <c r="AC260"/>
    </row>
    <row r="261" spans="1:29">
      <c r="A261" s="97"/>
      <c r="B261" s="97"/>
      <c r="C261" s="97"/>
      <c r="D261"/>
      <c r="E261" s="97"/>
      <c r="F261"/>
      <c r="G261"/>
      <c r="H261"/>
      <c r="I261"/>
      <c r="J261"/>
      <c r="K261" s="93"/>
      <c r="L261"/>
      <c r="M261"/>
      <c r="Q261"/>
      <c r="W261"/>
      <c r="X261"/>
      <c r="Y261"/>
      <c r="Z261"/>
      <c r="AA261"/>
      <c r="AB261"/>
      <c r="AC261"/>
    </row>
    <row r="262" spans="1:29">
      <c r="A262" s="97"/>
      <c r="B262" s="97"/>
      <c r="C262" s="97"/>
      <c r="D262"/>
      <c r="E262" s="97"/>
      <c r="F262"/>
      <c r="G262"/>
      <c r="H262"/>
      <c r="I262"/>
      <c r="J262"/>
      <c r="K262" s="93"/>
      <c r="L262"/>
      <c r="M262"/>
      <c r="Q262"/>
      <c r="W262"/>
      <c r="X262"/>
      <c r="Y262"/>
      <c r="Z262"/>
      <c r="AA262"/>
      <c r="AB262"/>
      <c r="AC262"/>
    </row>
    <row r="263" spans="1:29">
      <c r="A263" s="97"/>
      <c r="B263" s="97"/>
      <c r="C263" s="97"/>
      <c r="D263"/>
      <c r="E263" s="97"/>
      <c r="F263"/>
      <c r="G263"/>
      <c r="H263"/>
      <c r="I263"/>
      <c r="J263"/>
      <c r="K263" s="93"/>
      <c r="L263"/>
      <c r="M263"/>
      <c r="Q263"/>
      <c r="W263"/>
      <c r="X263"/>
      <c r="Y263"/>
      <c r="Z263"/>
      <c r="AA263"/>
      <c r="AB263"/>
      <c r="AC263"/>
    </row>
    <row r="264" spans="1:29">
      <c r="A264" s="97"/>
      <c r="B264" s="97"/>
      <c r="C264" s="97"/>
      <c r="D264"/>
      <c r="E264" s="97"/>
      <c r="F264"/>
      <c r="G264"/>
      <c r="H264"/>
      <c r="I264"/>
      <c r="J264"/>
      <c r="K264" s="93"/>
      <c r="L264"/>
      <c r="M264"/>
      <c r="Q264"/>
      <c r="W264"/>
      <c r="X264"/>
      <c r="Y264"/>
      <c r="Z264"/>
      <c r="AA264"/>
      <c r="AB264"/>
      <c r="AC264"/>
    </row>
    <row r="265" spans="1:29">
      <c r="A265" s="97"/>
      <c r="B265" s="97"/>
      <c r="C265" s="97"/>
      <c r="D265"/>
      <c r="E265" s="97"/>
      <c r="F265"/>
      <c r="G265"/>
      <c r="H265"/>
      <c r="I265"/>
      <c r="J265"/>
      <c r="K265" s="93"/>
      <c r="L265"/>
      <c r="M265"/>
      <c r="Q265"/>
      <c r="W265"/>
      <c r="X265"/>
      <c r="Y265"/>
      <c r="Z265"/>
      <c r="AA265"/>
      <c r="AB265"/>
      <c r="AC265"/>
    </row>
    <row r="266" spans="1:29">
      <c r="A266" s="97"/>
      <c r="B266" s="97"/>
      <c r="C266" s="97"/>
      <c r="D266"/>
      <c r="E266" s="97"/>
      <c r="F266"/>
      <c r="G266"/>
      <c r="H266"/>
      <c r="I266"/>
      <c r="J266"/>
      <c r="K266" s="93"/>
      <c r="L266"/>
      <c r="M266"/>
      <c r="Q266"/>
      <c r="W266"/>
      <c r="X266"/>
      <c r="Y266"/>
      <c r="Z266"/>
      <c r="AA266"/>
      <c r="AB266"/>
      <c r="AC266"/>
    </row>
    <row r="267" spans="1:29">
      <c r="A267" s="97"/>
      <c r="B267" s="97"/>
      <c r="C267" s="97"/>
      <c r="D267"/>
      <c r="E267" s="97"/>
      <c r="F267"/>
      <c r="G267"/>
      <c r="H267"/>
      <c r="I267"/>
      <c r="J267"/>
      <c r="K267" s="93"/>
      <c r="L267"/>
      <c r="M267"/>
      <c r="Q267"/>
      <c r="W267"/>
      <c r="X267"/>
      <c r="Y267"/>
      <c r="Z267"/>
      <c r="AA267"/>
      <c r="AB267"/>
      <c r="AC267"/>
    </row>
    <row r="268" spans="1:29">
      <c r="A268" s="97"/>
      <c r="B268" s="97"/>
      <c r="C268" s="97"/>
      <c r="D268"/>
      <c r="E268" s="97"/>
      <c r="F268"/>
      <c r="G268"/>
      <c r="H268"/>
      <c r="I268"/>
      <c r="J268"/>
      <c r="K268" s="93"/>
      <c r="L268"/>
      <c r="M268"/>
      <c r="Q268"/>
      <c r="W268"/>
      <c r="X268"/>
      <c r="Y268"/>
      <c r="Z268"/>
      <c r="AA268"/>
      <c r="AB268"/>
      <c r="AC268"/>
    </row>
    <row r="269" spans="1:29">
      <c r="A269" s="97"/>
      <c r="B269" s="97"/>
      <c r="C269" s="97"/>
      <c r="D269"/>
      <c r="E269" s="97"/>
      <c r="F269"/>
      <c r="G269"/>
      <c r="H269"/>
      <c r="I269"/>
      <c r="J269"/>
      <c r="K269" s="93"/>
      <c r="L269"/>
      <c r="M269"/>
      <c r="Q269"/>
      <c r="W269"/>
      <c r="X269"/>
      <c r="Y269"/>
      <c r="Z269"/>
      <c r="AA269"/>
      <c r="AB269"/>
      <c r="AC269"/>
    </row>
    <row r="270" spans="1:29">
      <c r="A270" s="97"/>
      <c r="B270" s="97"/>
      <c r="C270" s="97"/>
      <c r="D270"/>
      <c r="E270" s="97"/>
      <c r="F270"/>
      <c r="G270"/>
      <c r="H270"/>
      <c r="I270"/>
      <c r="J270"/>
      <c r="K270" s="93"/>
      <c r="L270"/>
      <c r="M270"/>
      <c r="Q270"/>
      <c r="W270"/>
      <c r="X270"/>
      <c r="Y270"/>
      <c r="Z270"/>
      <c r="AA270"/>
      <c r="AB270"/>
      <c r="AC270"/>
    </row>
    <row r="271" spans="1:29">
      <c r="A271" s="97"/>
      <c r="B271" s="97"/>
      <c r="C271" s="97"/>
      <c r="D271"/>
      <c r="E271" s="97"/>
      <c r="F271"/>
      <c r="G271"/>
      <c r="H271"/>
      <c r="I271"/>
      <c r="J271"/>
      <c r="K271" s="93"/>
      <c r="L271"/>
      <c r="M271"/>
      <c r="Q271"/>
      <c r="W271"/>
      <c r="X271"/>
      <c r="Y271"/>
      <c r="Z271"/>
      <c r="AA271"/>
      <c r="AB271"/>
      <c r="AC271"/>
    </row>
    <row r="272" spans="1:29">
      <c r="A272" s="97"/>
      <c r="B272" s="97"/>
      <c r="C272" s="97"/>
      <c r="D272"/>
      <c r="E272" s="97"/>
      <c r="F272"/>
      <c r="G272"/>
      <c r="H272"/>
      <c r="I272"/>
      <c r="J272"/>
      <c r="K272" s="93"/>
      <c r="L272"/>
      <c r="M272"/>
      <c r="Q272"/>
      <c r="W272"/>
      <c r="X272"/>
      <c r="Y272"/>
      <c r="Z272"/>
      <c r="AA272"/>
      <c r="AB272"/>
      <c r="AC272"/>
    </row>
    <row r="273" spans="1:33">
      <c r="A273" s="97"/>
      <c r="B273" s="97"/>
      <c r="C273" s="97"/>
      <c r="D273"/>
      <c r="E273" s="97"/>
      <c r="F273"/>
      <c r="G273"/>
      <c r="H273"/>
      <c r="I273"/>
      <c r="J273"/>
      <c r="K273" s="93"/>
      <c r="L273"/>
      <c r="M273"/>
      <c r="Q273"/>
      <c r="W273"/>
      <c r="X273"/>
      <c r="Y273"/>
      <c r="Z273"/>
      <c r="AA273"/>
      <c r="AB273"/>
      <c r="AC273"/>
    </row>
    <row r="274" spans="1:33">
      <c r="A274" s="97"/>
      <c r="B274" s="97"/>
      <c r="C274" s="97"/>
      <c r="D274"/>
      <c r="E274" s="97"/>
      <c r="F274"/>
      <c r="G274"/>
      <c r="H274"/>
      <c r="I274"/>
      <c r="J274"/>
      <c r="K274" s="93"/>
      <c r="L274"/>
      <c r="M274"/>
      <c r="Q274"/>
      <c r="W274"/>
      <c r="X274"/>
      <c r="Y274"/>
      <c r="Z274"/>
      <c r="AA274"/>
      <c r="AB274"/>
      <c r="AC274"/>
    </row>
    <row r="275" spans="1:33">
      <c r="A275" s="97"/>
      <c r="B275" s="97"/>
      <c r="C275" s="97"/>
      <c r="D275"/>
      <c r="E275" s="97"/>
      <c r="F275"/>
      <c r="G275"/>
      <c r="H275"/>
      <c r="I275"/>
      <c r="J275"/>
      <c r="K275" s="93"/>
      <c r="L275"/>
      <c r="M275"/>
      <c r="Q275"/>
      <c r="W275"/>
      <c r="X275"/>
      <c r="Y275"/>
      <c r="Z275"/>
      <c r="AA275"/>
      <c r="AB275"/>
      <c r="AC275"/>
    </row>
    <row r="276" spans="1:33">
      <c r="A276" s="97"/>
      <c r="B276" s="97"/>
      <c r="C276" s="97"/>
      <c r="D276"/>
      <c r="E276" s="97"/>
      <c r="F276"/>
      <c r="G276"/>
      <c r="H276"/>
      <c r="I276"/>
      <c r="J276"/>
      <c r="K276" s="93"/>
      <c r="L276"/>
      <c r="M276"/>
      <c r="Q276"/>
      <c r="W276"/>
      <c r="X276"/>
      <c r="Y276"/>
      <c r="Z276"/>
      <c r="AA276"/>
      <c r="AB276"/>
      <c r="AC276"/>
    </row>
    <row r="277" spans="1:33">
      <c r="A277" s="97"/>
      <c r="B277" s="97"/>
      <c r="C277" s="97"/>
      <c r="D277"/>
      <c r="E277" s="97"/>
      <c r="F277"/>
      <c r="G277"/>
      <c r="H277"/>
      <c r="I277"/>
      <c r="J277"/>
      <c r="K277" s="93"/>
      <c r="L277"/>
      <c r="M277"/>
      <c r="Q277"/>
      <c r="W277"/>
      <c r="X277"/>
      <c r="Y277"/>
      <c r="Z277"/>
      <c r="AA277"/>
      <c r="AB277"/>
      <c r="AC277"/>
    </row>
    <row r="278" spans="1:33">
      <c r="A278" s="97"/>
      <c r="B278" s="97"/>
      <c r="C278" s="97"/>
      <c r="D278"/>
      <c r="E278" s="97"/>
      <c r="F278"/>
      <c r="G278"/>
      <c r="H278"/>
      <c r="I278"/>
      <c r="J278"/>
      <c r="K278" s="93"/>
      <c r="L278"/>
      <c r="M278"/>
      <c r="Q278"/>
      <c r="W278"/>
      <c r="X278"/>
      <c r="Y278"/>
      <c r="Z278"/>
      <c r="AA278"/>
      <c r="AB278"/>
      <c r="AC278"/>
    </row>
    <row r="279" spans="1:33">
      <c r="A279" s="97"/>
      <c r="B279" s="97"/>
      <c r="C279" s="97"/>
      <c r="D279"/>
      <c r="E279" s="97"/>
      <c r="F279"/>
      <c r="G279"/>
      <c r="H279"/>
      <c r="I279"/>
      <c r="J279"/>
      <c r="K279" s="93"/>
      <c r="L279"/>
      <c r="M279"/>
      <c r="Q279"/>
      <c r="W279"/>
      <c r="X279"/>
      <c r="Y279"/>
      <c r="Z279"/>
      <c r="AA279"/>
      <c r="AB279"/>
      <c r="AC279"/>
    </row>
    <row r="280" spans="1:33">
      <c r="A280" s="97"/>
      <c r="B280" s="97"/>
      <c r="C280" s="97"/>
      <c r="D280"/>
      <c r="E280" s="97"/>
      <c r="F280"/>
      <c r="G280"/>
      <c r="H280"/>
      <c r="I280"/>
      <c r="J280"/>
      <c r="K280" s="93"/>
      <c r="L280"/>
      <c r="M280"/>
      <c r="Q280"/>
      <c r="W280"/>
      <c r="X280"/>
      <c r="Y280"/>
      <c r="Z280"/>
      <c r="AA280"/>
      <c r="AB280"/>
      <c r="AC280"/>
    </row>
    <row r="281" spans="1:33">
      <c r="A281" s="97"/>
      <c r="B281" s="97"/>
      <c r="C281" s="97"/>
      <c r="D281"/>
      <c r="E281" s="97"/>
      <c r="F281"/>
      <c r="G281"/>
      <c r="H281"/>
      <c r="I281"/>
      <c r="J281"/>
      <c r="K281" s="93"/>
      <c r="L281"/>
      <c r="M281"/>
      <c r="Q281"/>
      <c r="W281"/>
      <c r="X281"/>
      <c r="Y281"/>
      <c r="Z281"/>
      <c r="AA281"/>
      <c r="AB281"/>
      <c r="AC281"/>
    </row>
    <row r="282" spans="1:33">
      <c r="A282" s="94"/>
      <c r="B282" s="94"/>
      <c r="C282" s="94"/>
      <c r="D282" s="95"/>
      <c r="E282" s="94"/>
      <c r="F282" s="95"/>
      <c r="G282" s="95"/>
      <c r="H282" s="95"/>
      <c r="I282" s="93"/>
      <c r="J282" s="93"/>
      <c r="K282" s="93"/>
      <c r="L282" s="93"/>
      <c r="M282" s="24"/>
      <c r="N282" s="25"/>
      <c r="O282" s="25"/>
      <c r="P282" s="25"/>
      <c r="Q282" s="25"/>
      <c r="R282" s="89"/>
      <c r="S282" s="93"/>
      <c r="T282" s="93"/>
      <c r="U282" s="93"/>
      <c r="V282" s="93"/>
      <c r="W282" s="95"/>
      <c r="X282" s="95"/>
      <c r="Y282" s="95"/>
      <c r="Z282" s="95"/>
      <c r="AA282" s="95"/>
      <c r="AB282" s="95"/>
      <c r="AC282" s="95"/>
      <c r="AD282" s="93"/>
      <c r="AE282" s="93"/>
      <c r="AF282" s="93"/>
      <c r="AG282" s="93"/>
    </row>
    <row r="283" spans="1:33">
      <c r="A283" s="94"/>
      <c r="B283" s="94"/>
      <c r="C283" s="94"/>
      <c r="D283" s="95"/>
      <c r="E283" s="94"/>
      <c r="F283" s="95"/>
      <c r="G283" s="95"/>
      <c r="H283" s="95"/>
      <c r="I283" s="93"/>
      <c r="J283" s="93"/>
      <c r="K283" s="93"/>
      <c r="L283" s="93"/>
      <c r="M283" s="24"/>
      <c r="N283" s="25"/>
      <c r="O283" s="25"/>
      <c r="P283" s="25"/>
      <c r="Q283" s="25"/>
      <c r="R283" s="89"/>
      <c r="S283" s="93"/>
      <c r="T283" s="93"/>
      <c r="U283" s="93"/>
      <c r="V283" s="93"/>
      <c r="W283" s="95"/>
      <c r="X283" s="95"/>
      <c r="Y283" s="95"/>
      <c r="Z283" s="95"/>
      <c r="AA283" s="95"/>
      <c r="AB283" s="95"/>
      <c r="AC283" s="95"/>
      <c r="AD283" s="93"/>
      <c r="AE283" s="93"/>
      <c r="AF283" s="93"/>
      <c r="AG283" s="93"/>
    </row>
    <row r="284" spans="1:33">
      <c r="A284" s="94"/>
      <c r="B284" s="94"/>
      <c r="C284" s="94"/>
      <c r="D284" s="95"/>
      <c r="E284" s="94"/>
      <c r="F284" s="95"/>
      <c r="G284" s="95"/>
      <c r="H284" s="95"/>
      <c r="I284" s="93"/>
      <c r="J284" s="93"/>
      <c r="K284" s="93"/>
      <c r="L284" s="93"/>
      <c r="M284" s="24"/>
      <c r="N284" s="25"/>
      <c r="O284" s="25"/>
      <c r="P284" s="25"/>
      <c r="Q284" s="25"/>
      <c r="R284" s="89"/>
      <c r="S284" s="93"/>
      <c r="T284" s="93"/>
      <c r="U284" s="93"/>
      <c r="V284" s="93"/>
      <c r="W284" s="95"/>
      <c r="X284" s="95"/>
      <c r="Y284" s="95"/>
      <c r="Z284" s="95"/>
      <c r="AA284" s="95"/>
      <c r="AB284" s="95"/>
      <c r="AC284" s="95"/>
      <c r="AD284" s="93"/>
      <c r="AE284" s="93"/>
      <c r="AF284" s="93"/>
      <c r="AG284" s="93"/>
    </row>
    <row r="285" spans="1:33">
      <c r="A285" s="94"/>
      <c r="B285" s="94"/>
      <c r="C285" s="94"/>
      <c r="D285" s="95"/>
      <c r="E285" s="94"/>
      <c r="F285" s="95"/>
      <c r="G285" s="95"/>
      <c r="H285" s="95"/>
      <c r="I285" s="93"/>
      <c r="J285" s="93"/>
      <c r="K285" s="93"/>
      <c r="L285" s="93"/>
      <c r="M285" s="24"/>
      <c r="N285" s="25"/>
      <c r="O285" s="25"/>
      <c r="P285" s="25"/>
      <c r="Q285" s="25"/>
      <c r="R285" s="89"/>
      <c r="S285" s="93"/>
      <c r="T285" s="93"/>
      <c r="U285" s="93"/>
      <c r="V285" s="93"/>
      <c r="W285" s="95"/>
      <c r="X285" s="95"/>
      <c r="Y285" s="95"/>
      <c r="Z285" s="95"/>
      <c r="AA285" s="95"/>
      <c r="AB285" s="95"/>
      <c r="AC285" s="95"/>
      <c r="AD285" s="93"/>
      <c r="AE285" s="93"/>
      <c r="AF285" s="93"/>
      <c r="AG285" s="93"/>
    </row>
    <row r="286" spans="1:33">
      <c r="A286" s="94"/>
      <c r="B286" s="94"/>
      <c r="C286" s="94"/>
      <c r="D286" s="95"/>
      <c r="E286" s="94"/>
      <c r="F286" s="95"/>
      <c r="G286" s="95"/>
      <c r="H286" s="95"/>
      <c r="I286" s="93"/>
      <c r="J286" s="93"/>
      <c r="K286" s="93"/>
      <c r="L286" s="93"/>
      <c r="M286" s="24"/>
      <c r="N286" s="25"/>
      <c r="O286" s="25"/>
      <c r="P286" s="25"/>
      <c r="Q286" s="25"/>
      <c r="R286" s="89"/>
      <c r="S286" s="93"/>
      <c r="T286" s="93"/>
      <c r="U286" s="93"/>
      <c r="V286" s="93"/>
      <c r="W286" s="95"/>
      <c r="X286" s="95"/>
      <c r="Y286" s="95"/>
      <c r="Z286" s="95"/>
      <c r="AA286" s="95"/>
      <c r="AB286" s="95"/>
      <c r="AC286" s="95"/>
      <c r="AD286" s="93"/>
      <c r="AE286" s="93"/>
      <c r="AF286" s="93"/>
      <c r="AG286" s="93"/>
    </row>
    <row r="287" spans="1:33">
      <c r="A287" s="94"/>
      <c r="B287" s="94"/>
      <c r="C287" s="94"/>
      <c r="D287" s="95"/>
      <c r="E287" s="94"/>
      <c r="F287" s="95"/>
      <c r="G287" s="95"/>
      <c r="H287" s="95"/>
      <c r="I287" s="93"/>
      <c r="J287" s="93"/>
      <c r="K287" s="93"/>
      <c r="L287" s="93"/>
      <c r="M287" s="24"/>
      <c r="N287" s="25"/>
      <c r="O287" s="25"/>
      <c r="P287" s="25"/>
      <c r="Q287" s="25"/>
      <c r="R287" s="89"/>
      <c r="S287" s="93"/>
      <c r="T287" s="93"/>
      <c r="U287" s="93"/>
      <c r="V287" s="93"/>
      <c r="W287" s="95"/>
      <c r="X287" s="95"/>
      <c r="Y287" s="95"/>
      <c r="Z287" s="95"/>
      <c r="AA287" s="95"/>
      <c r="AB287" s="95"/>
      <c r="AC287" s="95"/>
      <c r="AD287" s="93"/>
      <c r="AE287" s="93"/>
      <c r="AF287" s="93"/>
      <c r="AG287" s="93"/>
    </row>
    <row r="288" spans="1:33">
      <c r="A288" s="94"/>
      <c r="B288" s="94"/>
      <c r="C288" s="94"/>
      <c r="D288" s="95"/>
      <c r="E288" s="94"/>
      <c r="F288" s="95"/>
      <c r="G288" s="95"/>
      <c r="H288" s="95"/>
      <c r="I288" s="93"/>
      <c r="J288" s="93"/>
      <c r="K288" s="93"/>
      <c r="L288" s="93"/>
      <c r="M288" s="24"/>
      <c r="N288" s="25"/>
      <c r="O288" s="25"/>
      <c r="P288" s="25"/>
      <c r="Q288" s="25"/>
      <c r="R288" s="89"/>
      <c r="S288" s="93"/>
      <c r="T288" s="93"/>
      <c r="U288" s="93"/>
      <c r="V288" s="93"/>
      <c r="W288" s="95"/>
      <c r="X288" s="95"/>
      <c r="Y288" s="95"/>
      <c r="Z288" s="95"/>
      <c r="AA288" s="95"/>
      <c r="AB288" s="95"/>
      <c r="AC288" s="95"/>
      <c r="AD288" s="93"/>
      <c r="AE288" s="93"/>
      <c r="AF288" s="93"/>
      <c r="AG288" s="93"/>
    </row>
    <row r="289" spans="1:33">
      <c r="A289" s="94"/>
      <c r="B289" s="94"/>
      <c r="C289" s="94"/>
      <c r="D289" s="95"/>
      <c r="E289" s="94"/>
      <c r="F289" s="95"/>
      <c r="G289" s="95"/>
      <c r="H289" s="95"/>
      <c r="I289" s="93"/>
      <c r="J289" s="93"/>
      <c r="K289" s="93"/>
      <c r="L289" s="93"/>
      <c r="M289" s="24"/>
      <c r="N289" s="25"/>
      <c r="O289" s="25"/>
      <c r="P289" s="25"/>
      <c r="Q289" s="25"/>
      <c r="R289" s="89"/>
      <c r="S289" s="93"/>
      <c r="T289" s="93"/>
      <c r="U289" s="93"/>
      <c r="V289" s="93"/>
      <c r="W289" s="95"/>
      <c r="X289" s="95"/>
      <c r="Y289" s="95"/>
      <c r="Z289" s="95"/>
      <c r="AA289" s="95"/>
      <c r="AB289" s="95"/>
      <c r="AC289" s="95"/>
      <c r="AD289" s="93"/>
      <c r="AE289" s="93"/>
      <c r="AF289" s="93"/>
      <c r="AG289" s="93"/>
    </row>
    <row r="290" spans="1:33">
      <c r="A290" s="94"/>
      <c r="B290" s="94"/>
      <c r="C290" s="94"/>
      <c r="D290" s="95"/>
      <c r="E290" s="94"/>
      <c r="F290" s="95"/>
      <c r="G290" s="95"/>
      <c r="H290" s="95"/>
      <c r="I290" s="93"/>
      <c r="J290" s="93"/>
      <c r="K290" s="93"/>
      <c r="L290" s="93"/>
      <c r="M290" s="24"/>
      <c r="N290" s="25"/>
      <c r="O290" s="25"/>
      <c r="P290" s="25"/>
      <c r="Q290" s="25"/>
      <c r="R290" s="89"/>
      <c r="S290" s="93"/>
      <c r="T290" s="93"/>
      <c r="U290" s="93"/>
      <c r="V290" s="93"/>
      <c r="W290" s="95"/>
      <c r="X290" s="95"/>
      <c r="Y290" s="95"/>
      <c r="Z290" s="95"/>
      <c r="AA290" s="95"/>
      <c r="AB290" s="95"/>
      <c r="AC290" s="95"/>
      <c r="AD290" s="93"/>
      <c r="AE290" s="93"/>
      <c r="AF290" s="93"/>
      <c r="AG290" s="93"/>
    </row>
    <row r="291" spans="1:33">
      <c r="A291" s="94"/>
      <c r="B291" s="94"/>
      <c r="C291" s="94"/>
      <c r="D291" s="95"/>
      <c r="E291" s="94"/>
      <c r="F291" s="95"/>
      <c r="G291" s="95"/>
      <c r="H291" s="95"/>
      <c r="I291" s="93"/>
      <c r="J291" s="93"/>
      <c r="K291" s="93"/>
      <c r="L291" s="93"/>
      <c r="M291" s="24"/>
      <c r="N291" s="25"/>
      <c r="O291" s="25"/>
      <c r="P291" s="25"/>
      <c r="Q291" s="25"/>
      <c r="R291" s="89"/>
      <c r="S291" s="93"/>
      <c r="T291" s="93"/>
      <c r="U291" s="93"/>
      <c r="V291" s="93"/>
      <c r="W291" s="95"/>
      <c r="X291" s="95"/>
      <c r="Y291" s="95"/>
      <c r="Z291" s="95"/>
      <c r="AA291" s="95"/>
      <c r="AB291" s="95"/>
      <c r="AC291" s="95"/>
      <c r="AD291" s="93"/>
      <c r="AE291" s="93"/>
      <c r="AF291" s="93"/>
      <c r="AG291" s="93"/>
    </row>
    <row r="292" spans="1:33">
      <c r="A292" s="94"/>
      <c r="B292" s="94"/>
      <c r="C292" s="94"/>
      <c r="D292" s="95"/>
      <c r="E292" s="94"/>
      <c r="F292" s="95"/>
      <c r="G292" s="95"/>
      <c r="H292" s="95"/>
      <c r="I292" s="93"/>
      <c r="J292" s="93"/>
      <c r="K292" s="93"/>
      <c r="L292" s="93"/>
      <c r="M292" s="24"/>
      <c r="N292" s="25"/>
      <c r="O292" s="25"/>
      <c r="P292" s="25"/>
      <c r="Q292" s="25"/>
      <c r="R292" s="89"/>
      <c r="S292" s="93"/>
      <c r="T292" s="93"/>
      <c r="U292" s="93"/>
      <c r="V292" s="93"/>
      <c r="W292" s="95"/>
      <c r="X292" s="95"/>
      <c r="Y292" s="95"/>
      <c r="Z292" s="95"/>
      <c r="AA292" s="95"/>
      <c r="AB292" s="95"/>
      <c r="AC292" s="95"/>
      <c r="AD292" s="93"/>
      <c r="AE292" s="93"/>
      <c r="AF292" s="93"/>
      <c r="AG292" s="93"/>
    </row>
    <row r="293" spans="1:33">
      <c r="A293" s="94"/>
      <c r="B293" s="94"/>
      <c r="C293" s="94"/>
      <c r="D293" s="95"/>
      <c r="E293" s="94"/>
      <c r="F293" s="95"/>
      <c r="G293" s="95"/>
      <c r="H293" s="95"/>
      <c r="I293" s="93"/>
      <c r="J293" s="93"/>
      <c r="K293" s="93"/>
      <c r="L293" s="93"/>
      <c r="M293" s="24"/>
      <c r="N293" s="25"/>
      <c r="O293" s="25"/>
      <c r="P293" s="25"/>
      <c r="Q293" s="25"/>
      <c r="R293" s="89"/>
      <c r="S293" s="93"/>
      <c r="T293" s="93"/>
      <c r="U293" s="93"/>
      <c r="V293" s="93"/>
      <c r="W293" s="95"/>
      <c r="X293" s="95"/>
      <c r="Y293" s="95"/>
      <c r="Z293" s="95"/>
      <c r="AA293" s="95"/>
      <c r="AB293" s="95"/>
      <c r="AC293" s="95"/>
      <c r="AD293" s="93"/>
      <c r="AE293" s="93"/>
      <c r="AF293" s="93"/>
      <c r="AG293" s="93"/>
    </row>
    <row r="294" spans="1:33">
      <c r="A294" s="94"/>
      <c r="B294" s="94"/>
      <c r="C294" s="94"/>
      <c r="D294" s="95"/>
      <c r="E294" s="94"/>
      <c r="F294" s="95"/>
      <c r="G294" s="95"/>
      <c r="H294" s="95"/>
      <c r="I294" s="93"/>
      <c r="J294" s="93"/>
      <c r="K294" s="93"/>
      <c r="L294" s="93"/>
      <c r="M294" s="24"/>
      <c r="N294" s="25"/>
      <c r="O294" s="25"/>
      <c r="P294" s="25"/>
      <c r="Q294" s="25"/>
      <c r="R294" s="89"/>
      <c r="S294" s="93"/>
      <c r="T294" s="93"/>
      <c r="U294" s="93"/>
      <c r="V294" s="93"/>
      <c r="W294" s="95"/>
      <c r="X294" s="95"/>
      <c r="Y294" s="95"/>
      <c r="Z294" s="95"/>
      <c r="AA294" s="95"/>
      <c r="AB294" s="95"/>
      <c r="AC294" s="95"/>
      <c r="AD294" s="93"/>
      <c r="AE294" s="93"/>
      <c r="AF294" s="93"/>
      <c r="AG294" s="93"/>
    </row>
    <row r="295" spans="1:33">
      <c r="A295" s="94"/>
      <c r="B295" s="94"/>
      <c r="C295" s="94"/>
      <c r="D295" s="95"/>
      <c r="E295" s="94"/>
      <c r="F295" s="95"/>
      <c r="G295" s="95"/>
      <c r="H295" s="95"/>
      <c r="I295" s="93"/>
      <c r="J295" s="93"/>
      <c r="K295" s="93"/>
      <c r="L295" s="93"/>
      <c r="M295" s="24"/>
      <c r="N295" s="25"/>
      <c r="O295" s="25"/>
      <c r="P295" s="25"/>
      <c r="Q295" s="25"/>
      <c r="R295" s="89"/>
      <c r="S295" s="93"/>
      <c r="T295" s="93"/>
      <c r="U295" s="93"/>
      <c r="V295" s="93"/>
      <c r="W295" s="95"/>
      <c r="X295" s="95"/>
      <c r="Y295" s="95"/>
      <c r="Z295" s="95"/>
      <c r="AA295" s="95"/>
      <c r="AB295" s="95"/>
      <c r="AC295" s="95"/>
      <c r="AD295" s="93"/>
      <c r="AE295" s="93"/>
      <c r="AF295" s="93"/>
      <c r="AG295" s="93"/>
    </row>
    <row r="296" spans="1:33">
      <c r="A296" s="94"/>
      <c r="B296" s="94"/>
      <c r="C296" s="94"/>
      <c r="D296" s="95"/>
      <c r="E296" s="94"/>
      <c r="F296" s="95"/>
      <c r="G296" s="95"/>
      <c r="H296" s="95"/>
      <c r="I296" s="93"/>
      <c r="J296" s="93"/>
      <c r="K296" s="93"/>
      <c r="L296" s="93"/>
      <c r="M296" s="24"/>
      <c r="N296" s="25"/>
      <c r="O296" s="25"/>
      <c r="P296" s="25"/>
      <c r="Q296" s="25"/>
      <c r="R296" s="89"/>
      <c r="S296" s="93"/>
      <c r="T296" s="93"/>
      <c r="U296" s="93"/>
      <c r="V296" s="93"/>
      <c r="W296" s="95"/>
      <c r="X296" s="95"/>
      <c r="Y296" s="95"/>
      <c r="Z296" s="95"/>
      <c r="AA296" s="95"/>
      <c r="AB296" s="95"/>
      <c r="AC296" s="95"/>
      <c r="AD296" s="93"/>
      <c r="AE296" s="93"/>
      <c r="AF296" s="93"/>
      <c r="AG296" s="93"/>
    </row>
    <row r="297" spans="1:33">
      <c r="A297" s="94"/>
      <c r="B297" s="94"/>
      <c r="C297" s="94"/>
      <c r="D297" s="95"/>
      <c r="E297" s="94"/>
      <c r="F297" s="95"/>
      <c r="G297" s="95"/>
      <c r="H297" s="95"/>
      <c r="I297" s="93"/>
      <c r="J297" s="93"/>
      <c r="K297" s="93"/>
      <c r="L297" s="93"/>
      <c r="M297" s="24"/>
      <c r="N297" s="25"/>
      <c r="O297" s="25"/>
      <c r="P297" s="25"/>
      <c r="Q297" s="25"/>
      <c r="R297" s="89"/>
      <c r="S297" s="93"/>
      <c r="T297" s="93"/>
      <c r="U297" s="93"/>
      <c r="V297" s="93"/>
      <c r="W297" s="95"/>
      <c r="X297" s="95"/>
      <c r="Y297" s="95"/>
      <c r="Z297" s="95"/>
      <c r="AA297" s="95"/>
      <c r="AB297" s="95"/>
      <c r="AC297" s="95"/>
      <c r="AD297" s="93"/>
      <c r="AE297" s="93"/>
      <c r="AF297" s="93"/>
      <c r="AG297" s="93"/>
    </row>
    <row r="298" spans="1:33">
      <c r="A298" s="94"/>
      <c r="B298" s="94"/>
      <c r="C298" s="94"/>
      <c r="D298" s="95"/>
      <c r="E298" s="94"/>
      <c r="F298" s="95"/>
      <c r="G298" s="95"/>
      <c r="H298" s="95"/>
      <c r="I298" s="93"/>
      <c r="J298" s="93"/>
      <c r="K298" s="93"/>
      <c r="L298" s="93"/>
      <c r="M298" s="24"/>
      <c r="N298" s="25"/>
      <c r="O298" s="25"/>
      <c r="P298" s="25"/>
      <c r="Q298" s="25"/>
      <c r="R298" s="89"/>
      <c r="S298" s="93"/>
      <c r="T298" s="93"/>
      <c r="U298" s="93"/>
      <c r="V298" s="93"/>
      <c r="W298" s="95"/>
      <c r="X298" s="95"/>
      <c r="Y298" s="95"/>
      <c r="Z298" s="95"/>
      <c r="AA298" s="95"/>
      <c r="AB298" s="95"/>
      <c r="AC298" s="95"/>
      <c r="AD298" s="93"/>
      <c r="AE298" s="93"/>
      <c r="AF298" s="93"/>
      <c r="AG298" s="93"/>
    </row>
    <row r="299" spans="1:33">
      <c r="A299" s="94"/>
      <c r="B299" s="94"/>
      <c r="C299" s="94"/>
      <c r="D299" s="95"/>
      <c r="E299" s="94"/>
      <c r="F299" s="95"/>
      <c r="G299" s="95"/>
      <c r="H299" s="95"/>
      <c r="I299" s="93"/>
      <c r="J299" s="93"/>
      <c r="K299" s="93"/>
      <c r="L299" s="93"/>
      <c r="M299" s="24"/>
      <c r="N299" s="25"/>
      <c r="O299" s="25"/>
      <c r="P299" s="25"/>
      <c r="Q299" s="25"/>
      <c r="R299" s="89"/>
      <c r="S299" s="93"/>
      <c r="T299" s="93"/>
      <c r="U299" s="93"/>
      <c r="V299" s="93"/>
      <c r="W299" s="95"/>
      <c r="X299" s="95"/>
      <c r="Y299" s="95"/>
      <c r="Z299" s="95"/>
      <c r="AA299" s="95"/>
      <c r="AB299" s="95"/>
      <c r="AC299" s="95"/>
      <c r="AD299" s="93"/>
      <c r="AE299" s="93"/>
      <c r="AF299" s="93"/>
      <c r="AG299" s="93"/>
    </row>
    <row r="300" spans="1:33">
      <c r="A300" s="94"/>
      <c r="B300" s="94"/>
      <c r="C300" s="94"/>
      <c r="D300" s="95"/>
      <c r="E300" s="94"/>
      <c r="F300" s="95"/>
      <c r="G300" s="95"/>
      <c r="H300" s="95"/>
      <c r="I300" s="93"/>
      <c r="J300" s="93"/>
      <c r="K300" s="93"/>
      <c r="L300" s="93"/>
      <c r="M300" s="24"/>
      <c r="N300" s="25"/>
      <c r="O300" s="25"/>
      <c r="P300" s="25"/>
      <c r="Q300" s="25"/>
      <c r="R300" s="89"/>
      <c r="S300" s="93"/>
      <c r="T300" s="93"/>
      <c r="U300" s="93"/>
      <c r="V300" s="93"/>
      <c r="W300" s="95"/>
      <c r="X300" s="95"/>
      <c r="Y300" s="95"/>
      <c r="Z300" s="95"/>
      <c r="AA300" s="95"/>
      <c r="AB300" s="95"/>
      <c r="AC300" s="95"/>
      <c r="AD300" s="93"/>
      <c r="AE300" s="93"/>
      <c r="AF300" s="93"/>
      <c r="AG300" s="93"/>
    </row>
    <row r="301" spans="1:33">
      <c r="A301" s="94"/>
      <c r="B301" s="94"/>
      <c r="C301" s="94"/>
      <c r="D301" s="95"/>
      <c r="E301" s="94"/>
      <c r="F301" s="95"/>
      <c r="G301" s="95"/>
      <c r="H301" s="95"/>
      <c r="I301" s="93"/>
      <c r="J301" s="93"/>
      <c r="K301" s="93"/>
      <c r="L301" s="93"/>
      <c r="M301" s="24"/>
      <c r="N301" s="25"/>
      <c r="O301" s="25"/>
      <c r="P301" s="25"/>
      <c r="Q301" s="25"/>
      <c r="R301" s="89"/>
      <c r="S301" s="93"/>
      <c r="T301" s="93"/>
      <c r="U301" s="93"/>
      <c r="V301" s="93"/>
      <c r="W301" s="95"/>
      <c r="X301" s="95"/>
      <c r="Y301" s="95"/>
      <c r="Z301" s="95"/>
      <c r="AA301" s="95"/>
      <c r="AB301" s="95"/>
      <c r="AC301" s="95"/>
      <c r="AD301" s="93"/>
      <c r="AE301" s="93"/>
      <c r="AF301" s="93"/>
      <c r="AG301" s="93"/>
    </row>
    <row r="302" spans="1:33">
      <c r="A302" s="94"/>
      <c r="B302" s="94"/>
      <c r="C302" s="94"/>
      <c r="D302" s="95"/>
      <c r="E302" s="94"/>
      <c r="F302" s="95"/>
      <c r="G302" s="95"/>
      <c r="H302" s="95"/>
      <c r="I302" s="93"/>
      <c r="J302" s="93"/>
      <c r="K302" s="93"/>
      <c r="L302" s="93"/>
      <c r="M302" s="24"/>
      <c r="N302" s="25"/>
      <c r="O302" s="25"/>
      <c r="P302" s="25"/>
      <c r="Q302" s="25"/>
      <c r="R302" s="89"/>
      <c r="S302" s="93"/>
      <c r="T302" s="93"/>
      <c r="U302" s="93"/>
      <c r="V302" s="93"/>
      <c r="W302" s="95"/>
      <c r="X302" s="95"/>
      <c r="Y302" s="95"/>
      <c r="Z302" s="95"/>
      <c r="AA302" s="95"/>
      <c r="AB302" s="95"/>
      <c r="AC302" s="95"/>
      <c r="AD302" s="93"/>
      <c r="AE302" s="93"/>
      <c r="AF302" s="93"/>
      <c r="AG302" s="93"/>
    </row>
    <row r="303" spans="1:33">
      <c r="A303" s="94"/>
      <c r="B303" s="94"/>
      <c r="C303" s="94"/>
      <c r="D303" s="95"/>
      <c r="E303" s="94"/>
      <c r="F303" s="95"/>
      <c r="G303" s="95"/>
      <c r="H303" s="95"/>
      <c r="I303" s="93"/>
      <c r="J303" s="93"/>
      <c r="K303" s="93"/>
      <c r="L303" s="93"/>
      <c r="M303" s="24"/>
      <c r="N303" s="25"/>
      <c r="O303" s="25"/>
      <c r="P303" s="25"/>
      <c r="Q303" s="25"/>
      <c r="R303" s="89"/>
      <c r="S303" s="93"/>
      <c r="T303" s="93"/>
      <c r="U303" s="93"/>
      <c r="V303" s="93"/>
      <c r="W303" s="95"/>
      <c r="X303" s="95"/>
      <c r="Y303" s="95"/>
      <c r="Z303" s="95"/>
      <c r="AA303" s="95"/>
      <c r="AB303" s="95"/>
      <c r="AC303" s="95"/>
      <c r="AD303" s="93"/>
      <c r="AE303" s="93"/>
      <c r="AF303" s="93"/>
      <c r="AG303" s="93"/>
    </row>
    <row r="304" spans="1:33">
      <c r="A304" s="94"/>
      <c r="B304" s="94"/>
      <c r="C304" s="94"/>
      <c r="D304" s="95"/>
      <c r="E304" s="94"/>
      <c r="F304" s="95"/>
      <c r="G304" s="95"/>
      <c r="H304" s="95"/>
      <c r="I304" s="93"/>
      <c r="J304" s="93"/>
      <c r="K304" s="93"/>
      <c r="L304" s="93"/>
      <c r="M304" s="24"/>
      <c r="N304" s="25"/>
      <c r="O304" s="25"/>
      <c r="P304" s="25"/>
      <c r="Q304" s="25"/>
      <c r="R304" s="89"/>
      <c r="S304" s="93"/>
      <c r="T304" s="93"/>
      <c r="U304" s="93"/>
      <c r="V304" s="93"/>
      <c r="W304" s="95"/>
      <c r="X304" s="95"/>
      <c r="Y304" s="95"/>
      <c r="Z304" s="95"/>
      <c r="AA304" s="95"/>
      <c r="AB304" s="95"/>
      <c r="AC304" s="95"/>
      <c r="AD304" s="93"/>
      <c r="AE304" s="93"/>
      <c r="AF304" s="93"/>
      <c r="AG304" s="93"/>
    </row>
    <row r="305" spans="1:33">
      <c r="A305" s="94"/>
      <c r="B305" s="94"/>
      <c r="C305" s="94"/>
      <c r="D305" s="95"/>
      <c r="E305" s="94"/>
      <c r="F305" s="95"/>
      <c r="G305" s="95"/>
      <c r="H305" s="95"/>
      <c r="I305" s="93"/>
      <c r="J305" s="93"/>
      <c r="K305" s="93"/>
      <c r="L305" s="93"/>
      <c r="M305" s="24"/>
      <c r="N305" s="25"/>
      <c r="O305" s="25"/>
      <c r="P305" s="25"/>
      <c r="Q305" s="25"/>
      <c r="R305" s="89"/>
      <c r="S305" s="93"/>
      <c r="T305" s="93"/>
      <c r="U305" s="93"/>
      <c r="V305" s="93"/>
      <c r="W305" s="95"/>
      <c r="X305" s="95"/>
      <c r="Y305" s="95"/>
      <c r="Z305" s="95"/>
      <c r="AA305" s="95"/>
      <c r="AB305" s="95"/>
      <c r="AC305" s="95"/>
      <c r="AD305" s="93"/>
      <c r="AE305" s="93"/>
      <c r="AF305" s="93"/>
      <c r="AG305" s="93"/>
    </row>
    <row r="306" spans="1:33">
      <c r="A306" s="94"/>
      <c r="B306" s="94"/>
      <c r="C306" s="94"/>
      <c r="D306" s="95"/>
      <c r="E306" s="94"/>
      <c r="F306" s="95"/>
      <c r="G306" s="95"/>
      <c r="H306" s="95"/>
      <c r="I306" s="93"/>
      <c r="J306" s="93"/>
      <c r="K306" s="93"/>
      <c r="L306" s="93"/>
      <c r="M306" s="24"/>
      <c r="N306" s="25"/>
      <c r="O306" s="25"/>
      <c r="P306" s="25"/>
      <c r="Q306" s="25"/>
      <c r="R306" s="89"/>
      <c r="S306" s="93"/>
      <c r="T306" s="93"/>
      <c r="U306" s="93"/>
      <c r="V306" s="93"/>
      <c r="W306" s="95"/>
      <c r="X306" s="95"/>
      <c r="Y306" s="95"/>
      <c r="Z306" s="95"/>
      <c r="AA306" s="95"/>
      <c r="AB306" s="95"/>
      <c r="AC306" s="95"/>
      <c r="AD306" s="93"/>
      <c r="AE306" s="93"/>
      <c r="AF306" s="93"/>
      <c r="AG306" s="93"/>
    </row>
    <row r="307" spans="1:33">
      <c r="A307" s="94"/>
      <c r="B307" s="94"/>
      <c r="C307" s="94"/>
      <c r="D307" s="95"/>
      <c r="E307" s="94"/>
      <c r="F307" s="95"/>
      <c r="G307" s="95"/>
      <c r="H307" s="95"/>
      <c r="I307" s="93"/>
      <c r="J307" s="93"/>
      <c r="K307" s="93"/>
      <c r="L307" s="93"/>
      <c r="M307" s="24"/>
      <c r="N307" s="25"/>
      <c r="O307" s="25"/>
      <c r="P307" s="25"/>
      <c r="Q307" s="25"/>
      <c r="R307" s="89"/>
      <c r="S307" s="93"/>
      <c r="T307" s="93"/>
      <c r="U307" s="93"/>
      <c r="V307" s="93"/>
      <c r="W307" s="95"/>
      <c r="X307" s="95"/>
      <c r="Y307" s="95"/>
      <c r="Z307" s="95"/>
      <c r="AA307" s="95"/>
      <c r="AB307" s="95"/>
      <c r="AC307" s="95"/>
      <c r="AD307" s="93"/>
      <c r="AE307" s="93"/>
      <c r="AF307" s="93"/>
      <c r="AG307" s="93"/>
    </row>
    <row r="308" spans="1:33">
      <c r="A308" s="94"/>
      <c r="B308" s="94"/>
      <c r="C308" s="94"/>
      <c r="D308" s="95"/>
      <c r="E308" s="94"/>
      <c r="F308" s="95"/>
      <c r="G308" s="95"/>
      <c r="H308" s="95"/>
      <c r="I308" s="93"/>
      <c r="J308" s="93"/>
      <c r="K308" s="93"/>
      <c r="L308" s="93"/>
      <c r="M308" s="24"/>
      <c r="N308" s="25"/>
      <c r="O308" s="25"/>
      <c r="P308" s="25"/>
      <c r="Q308" s="25"/>
      <c r="R308" s="89"/>
      <c r="S308" s="93"/>
      <c r="T308" s="93"/>
      <c r="U308" s="93"/>
      <c r="V308" s="93"/>
      <c r="W308" s="95"/>
      <c r="X308" s="95"/>
      <c r="Y308" s="95"/>
      <c r="Z308" s="95"/>
      <c r="AA308" s="95"/>
      <c r="AB308" s="95"/>
      <c r="AC308" s="95"/>
      <c r="AD308" s="93"/>
      <c r="AE308" s="93"/>
      <c r="AF308" s="93"/>
      <c r="AG308" s="93"/>
    </row>
    <row r="309" spans="1:33">
      <c r="A309" s="94"/>
      <c r="B309" s="94"/>
      <c r="C309" s="94"/>
      <c r="D309" s="95"/>
      <c r="E309" s="94"/>
      <c r="F309" s="95"/>
      <c r="G309" s="95"/>
      <c r="H309" s="95"/>
      <c r="I309" s="93"/>
      <c r="J309" s="93"/>
      <c r="K309" s="93"/>
      <c r="L309" s="93"/>
      <c r="M309" s="24"/>
      <c r="N309" s="25"/>
      <c r="O309" s="25"/>
      <c r="P309" s="25"/>
      <c r="Q309" s="25"/>
      <c r="R309" s="89"/>
      <c r="S309" s="93"/>
      <c r="T309" s="93"/>
      <c r="U309" s="93"/>
      <c r="V309" s="93"/>
      <c r="W309" s="95"/>
      <c r="X309" s="95"/>
      <c r="Y309" s="95"/>
      <c r="Z309" s="95"/>
      <c r="AA309" s="95"/>
      <c r="AB309" s="95"/>
      <c r="AC309" s="95"/>
      <c r="AD309" s="93"/>
      <c r="AE309" s="93"/>
      <c r="AF309" s="93"/>
      <c r="AG309" s="93"/>
    </row>
    <row r="310" spans="1:33">
      <c r="A310" s="94"/>
      <c r="B310" s="94"/>
      <c r="C310" s="94"/>
      <c r="D310" s="95"/>
      <c r="E310" s="94"/>
      <c r="F310" s="95"/>
      <c r="G310" s="95"/>
      <c r="H310" s="95"/>
      <c r="I310" s="93"/>
      <c r="J310" s="93"/>
      <c r="K310" s="93"/>
      <c r="L310" s="93"/>
      <c r="M310" s="24"/>
      <c r="N310" s="25"/>
      <c r="O310" s="25"/>
      <c r="P310" s="25"/>
      <c r="Q310" s="25"/>
      <c r="R310" s="89"/>
      <c r="S310" s="93"/>
      <c r="T310" s="93"/>
      <c r="U310" s="93"/>
      <c r="V310" s="93"/>
      <c r="W310" s="95"/>
      <c r="X310" s="95"/>
      <c r="Y310" s="95"/>
      <c r="Z310" s="95"/>
      <c r="AA310" s="95"/>
      <c r="AB310" s="95"/>
      <c r="AC310" s="95"/>
      <c r="AD310" s="93"/>
      <c r="AE310" s="93"/>
      <c r="AF310" s="93"/>
      <c r="AG310" s="93"/>
    </row>
    <row r="311" spans="1:33">
      <c r="A311" s="94"/>
      <c r="B311" s="94"/>
      <c r="C311" s="94"/>
      <c r="D311" s="95"/>
      <c r="E311" s="94"/>
      <c r="F311" s="95"/>
      <c r="G311" s="95"/>
      <c r="H311" s="95"/>
      <c r="I311" s="93"/>
      <c r="J311" s="93"/>
      <c r="K311" s="93"/>
      <c r="L311" s="93"/>
      <c r="M311" s="24"/>
      <c r="N311" s="25"/>
      <c r="O311" s="25"/>
      <c r="P311" s="25"/>
      <c r="Q311" s="25"/>
      <c r="R311" s="89"/>
      <c r="S311" s="93"/>
      <c r="T311" s="93"/>
      <c r="U311" s="93"/>
      <c r="V311" s="93"/>
      <c r="W311" s="95"/>
      <c r="X311" s="95"/>
      <c r="Y311" s="95"/>
      <c r="Z311" s="95"/>
      <c r="AA311" s="95"/>
      <c r="AB311" s="95"/>
      <c r="AC311" s="95"/>
      <c r="AD311" s="93"/>
      <c r="AE311" s="93"/>
      <c r="AF311" s="93"/>
      <c r="AG311" s="93"/>
    </row>
    <row r="312" spans="1:33">
      <c r="A312" s="94"/>
      <c r="B312" s="94"/>
      <c r="C312" s="94"/>
      <c r="D312" s="95"/>
      <c r="E312" s="94"/>
      <c r="F312" s="95"/>
      <c r="G312" s="95"/>
      <c r="H312" s="95"/>
      <c r="I312" s="93"/>
      <c r="J312" s="93"/>
      <c r="K312" s="93"/>
      <c r="L312" s="93"/>
      <c r="M312" s="24"/>
      <c r="N312" s="25"/>
      <c r="O312" s="25"/>
      <c r="P312" s="25"/>
      <c r="Q312" s="25"/>
      <c r="R312" s="89"/>
      <c r="S312" s="93"/>
      <c r="T312" s="93"/>
      <c r="U312" s="93"/>
      <c r="V312" s="93"/>
      <c r="W312" s="95"/>
      <c r="X312" s="95"/>
      <c r="Y312" s="95"/>
      <c r="Z312" s="95"/>
      <c r="AA312" s="95"/>
      <c r="AB312" s="95"/>
      <c r="AC312" s="95"/>
      <c r="AD312" s="93"/>
      <c r="AE312" s="93"/>
      <c r="AF312" s="93"/>
      <c r="AG312" s="93"/>
    </row>
    <row r="313" spans="1:33">
      <c r="A313" s="94"/>
      <c r="B313" s="94"/>
      <c r="C313" s="94"/>
      <c r="D313" s="95"/>
      <c r="E313" s="94"/>
      <c r="F313" s="95"/>
      <c r="G313" s="95"/>
      <c r="H313" s="95"/>
      <c r="I313" s="93"/>
      <c r="J313" s="93"/>
      <c r="K313" s="93"/>
      <c r="L313" s="93"/>
      <c r="M313" s="24"/>
      <c r="N313" s="25"/>
      <c r="O313" s="25"/>
      <c r="P313" s="25"/>
      <c r="Q313" s="25"/>
      <c r="R313" s="89"/>
      <c r="S313" s="93"/>
      <c r="T313" s="93"/>
      <c r="U313" s="93"/>
      <c r="V313" s="93"/>
      <c r="W313" s="95"/>
      <c r="X313" s="95"/>
      <c r="Y313" s="95"/>
      <c r="Z313" s="95"/>
      <c r="AA313" s="95"/>
      <c r="AB313" s="95"/>
      <c r="AC313" s="95"/>
      <c r="AD313" s="93"/>
      <c r="AE313" s="93"/>
      <c r="AF313" s="93"/>
      <c r="AG313" s="93"/>
    </row>
    <row r="314" spans="1:33">
      <c r="A314" s="94"/>
      <c r="B314" s="94"/>
      <c r="C314" s="94"/>
      <c r="D314" s="95"/>
      <c r="E314" s="94"/>
      <c r="F314" s="95"/>
      <c r="G314" s="95"/>
      <c r="H314" s="95"/>
      <c r="I314" s="93"/>
      <c r="J314" s="93"/>
      <c r="K314" s="93"/>
      <c r="L314" s="93"/>
      <c r="M314" s="24"/>
      <c r="N314" s="25"/>
      <c r="O314" s="25"/>
      <c r="P314" s="25"/>
      <c r="Q314" s="25"/>
      <c r="R314" s="89"/>
      <c r="S314" s="93"/>
      <c r="T314" s="93"/>
      <c r="U314" s="93"/>
      <c r="V314" s="93"/>
      <c r="W314" s="95"/>
      <c r="X314" s="95"/>
      <c r="Y314" s="95"/>
      <c r="Z314" s="95"/>
      <c r="AA314" s="95"/>
      <c r="AB314" s="95"/>
      <c r="AC314" s="95"/>
      <c r="AD314" s="93"/>
      <c r="AE314" s="93"/>
      <c r="AF314" s="93"/>
      <c r="AG314" s="93"/>
    </row>
    <row r="315" spans="1:33">
      <c r="A315" s="94"/>
      <c r="B315" s="94"/>
      <c r="C315" s="94"/>
      <c r="D315" s="95"/>
      <c r="E315" s="94"/>
      <c r="F315" s="95"/>
      <c r="G315" s="95"/>
      <c r="H315" s="95"/>
      <c r="I315" s="93"/>
      <c r="J315" s="93"/>
      <c r="K315" s="93"/>
      <c r="L315" s="93"/>
      <c r="M315" s="24"/>
      <c r="N315" s="25"/>
      <c r="O315" s="25"/>
      <c r="P315" s="25"/>
      <c r="Q315" s="25"/>
      <c r="R315" s="89"/>
      <c r="S315" s="93"/>
      <c r="T315" s="93"/>
      <c r="U315" s="93"/>
      <c r="V315" s="93"/>
      <c r="W315" s="95"/>
      <c r="X315" s="95"/>
      <c r="Y315" s="95"/>
      <c r="Z315" s="95"/>
      <c r="AA315" s="95"/>
      <c r="AB315" s="95"/>
      <c r="AC315" s="95"/>
      <c r="AD315" s="93"/>
      <c r="AE315" s="93"/>
      <c r="AF315" s="93"/>
      <c r="AG315" s="93"/>
    </row>
    <row r="316" spans="1:33">
      <c r="A316" s="94"/>
      <c r="B316" s="94"/>
      <c r="C316" s="94"/>
      <c r="D316" s="95"/>
      <c r="E316" s="94"/>
      <c r="F316" s="95"/>
      <c r="G316" s="95"/>
      <c r="H316" s="95"/>
      <c r="I316" s="93"/>
      <c r="J316" s="93"/>
      <c r="K316" s="93"/>
      <c r="L316" s="93"/>
      <c r="M316" s="24"/>
      <c r="N316" s="25"/>
      <c r="O316" s="25"/>
      <c r="P316" s="25"/>
      <c r="Q316" s="25"/>
      <c r="R316" s="89"/>
      <c r="S316" s="93"/>
      <c r="T316" s="93"/>
      <c r="U316" s="93"/>
      <c r="V316" s="93"/>
      <c r="W316" s="95"/>
      <c r="X316" s="95"/>
      <c r="Y316" s="95"/>
      <c r="Z316" s="95"/>
      <c r="AA316" s="95"/>
      <c r="AB316" s="95"/>
      <c r="AC316" s="95"/>
      <c r="AD316" s="93"/>
      <c r="AE316" s="93"/>
      <c r="AF316" s="93"/>
      <c r="AG316" s="93"/>
    </row>
    <row r="317" spans="1:33">
      <c r="A317" s="94"/>
      <c r="B317" s="94"/>
      <c r="C317" s="94"/>
      <c r="D317" s="95"/>
      <c r="E317" s="94"/>
      <c r="F317" s="95"/>
      <c r="G317" s="95"/>
      <c r="H317" s="95"/>
      <c r="I317" s="93"/>
      <c r="J317" s="93"/>
      <c r="K317" s="93"/>
      <c r="L317" s="93"/>
      <c r="M317" s="24"/>
      <c r="N317" s="25"/>
      <c r="O317" s="25"/>
      <c r="P317" s="25"/>
      <c r="Q317" s="25"/>
      <c r="R317" s="89"/>
      <c r="S317" s="93"/>
      <c r="T317" s="93"/>
      <c r="U317" s="93"/>
      <c r="V317" s="93"/>
      <c r="W317" s="95"/>
      <c r="X317" s="95"/>
      <c r="Y317" s="95"/>
      <c r="Z317" s="95"/>
      <c r="AA317" s="95"/>
      <c r="AB317" s="95"/>
      <c r="AC317" s="95"/>
      <c r="AD317" s="93"/>
      <c r="AE317" s="93"/>
      <c r="AF317" s="93"/>
      <c r="AG317" s="93"/>
    </row>
    <row r="318" spans="1:33">
      <c r="A318" s="94"/>
      <c r="B318" s="94"/>
      <c r="C318" s="94"/>
      <c r="D318" s="95"/>
      <c r="E318" s="94"/>
      <c r="F318" s="95"/>
      <c r="G318" s="95"/>
      <c r="H318" s="95"/>
      <c r="I318" s="93"/>
      <c r="J318" s="93"/>
      <c r="K318" s="93"/>
      <c r="L318" s="93"/>
      <c r="M318" s="24"/>
      <c r="N318" s="25"/>
      <c r="O318" s="25"/>
      <c r="P318" s="25"/>
      <c r="Q318" s="25"/>
      <c r="R318" s="89"/>
      <c r="S318" s="93"/>
      <c r="T318" s="93"/>
      <c r="U318" s="93"/>
      <c r="V318" s="93"/>
      <c r="W318" s="95"/>
      <c r="X318" s="95"/>
      <c r="Y318" s="95"/>
      <c r="Z318" s="95"/>
      <c r="AA318" s="95"/>
      <c r="AB318" s="95"/>
      <c r="AC318" s="95"/>
      <c r="AD318" s="93"/>
      <c r="AE318" s="93"/>
      <c r="AF318" s="93"/>
      <c r="AG318" s="93"/>
    </row>
    <row r="319" spans="1:33">
      <c r="A319" s="94"/>
      <c r="B319" s="94"/>
      <c r="C319" s="94"/>
      <c r="D319" s="95"/>
      <c r="E319" s="94"/>
      <c r="F319" s="95"/>
      <c r="G319" s="95"/>
      <c r="H319" s="95"/>
      <c r="I319" s="93"/>
      <c r="J319" s="93"/>
      <c r="K319" s="93"/>
      <c r="L319" s="93"/>
      <c r="M319" s="24"/>
      <c r="N319" s="25"/>
      <c r="O319" s="25"/>
      <c r="P319" s="25"/>
      <c r="Q319" s="25"/>
      <c r="R319" s="89"/>
      <c r="S319" s="93"/>
      <c r="T319" s="93"/>
      <c r="U319" s="93"/>
      <c r="V319" s="93"/>
      <c r="W319" s="95"/>
      <c r="X319" s="95"/>
      <c r="Y319" s="95"/>
      <c r="Z319" s="95"/>
      <c r="AA319" s="95"/>
      <c r="AB319" s="95"/>
      <c r="AC319" s="95"/>
      <c r="AD319" s="93"/>
      <c r="AE319" s="93"/>
      <c r="AF319" s="93"/>
      <c r="AG319" s="93"/>
    </row>
    <row r="320" spans="1:33">
      <c r="A320" s="94"/>
      <c r="B320" s="94"/>
      <c r="C320" s="94"/>
      <c r="D320" s="95"/>
      <c r="E320" s="94"/>
      <c r="F320" s="95"/>
      <c r="G320" s="95"/>
      <c r="H320" s="95"/>
      <c r="I320" s="93"/>
      <c r="J320" s="93"/>
      <c r="K320" s="93"/>
      <c r="L320" s="93"/>
      <c r="M320" s="24"/>
      <c r="N320" s="25"/>
      <c r="O320" s="25"/>
      <c r="P320" s="25"/>
      <c r="Q320" s="25"/>
      <c r="R320" s="89"/>
      <c r="S320" s="93"/>
      <c r="T320" s="93"/>
      <c r="U320" s="93"/>
      <c r="V320" s="93"/>
      <c r="W320" s="95"/>
      <c r="X320" s="95"/>
      <c r="Y320" s="95"/>
      <c r="Z320" s="95"/>
      <c r="AA320" s="95"/>
      <c r="AB320" s="95"/>
      <c r="AC320" s="95"/>
      <c r="AD320" s="93"/>
      <c r="AE320" s="93"/>
      <c r="AF320" s="93"/>
      <c r="AG320" s="93"/>
    </row>
    <row r="321" spans="1:33">
      <c r="A321" s="94"/>
      <c r="B321" s="94"/>
      <c r="C321" s="94"/>
      <c r="D321" s="95"/>
      <c r="E321" s="94"/>
      <c r="F321" s="95"/>
      <c r="G321" s="95"/>
      <c r="H321" s="95"/>
      <c r="I321" s="93"/>
      <c r="J321" s="93"/>
      <c r="K321" s="93"/>
      <c r="L321" s="93"/>
      <c r="M321" s="24"/>
      <c r="N321" s="25"/>
      <c r="O321" s="25"/>
      <c r="P321" s="25"/>
      <c r="Q321" s="25"/>
      <c r="R321" s="89"/>
      <c r="S321" s="93"/>
      <c r="T321" s="93"/>
      <c r="U321" s="93"/>
      <c r="V321" s="93"/>
      <c r="W321" s="95"/>
      <c r="X321" s="95"/>
      <c r="Y321" s="95"/>
      <c r="Z321" s="95"/>
      <c r="AA321" s="95"/>
      <c r="AB321" s="95"/>
      <c r="AC321" s="95"/>
      <c r="AD321" s="93"/>
      <c r="AE321" s="93"/>
      <c r="AF321" s="93"/>
      <c r="AG321" s="93"/>
    </row>
    <row r="322" spans="1:33">
      <c r="A322" s="94"/>
      <c r="B322" s="94"/>
      <c r="C322" s="94"/>
      <c r="D322" s="95"/>
      <c r="E322" s="94"/>
      <c r="F322" s="95"/>
      <c r="G322" s="95"/>
      <c r="H322" s="95"/>
      <c r="I322" s="93"/>
      <c r="J322" s="93"/>
      <c r="K322" s="93"/>
      <c r="L322" s="93"/>
      <c r="M322" s="24"/>
      <c r="N322" s="25"/>
      <c r="O322" s="25"/>
      <c r="P322" s="25"/>
      <c r="Q322" s="25"/>
      <c r="R322" s="89"/>
      <c r="S322" s="93"/>
      <c r="T322" s="93"/>
      <c r="U322" s="93"/>
      <c r="V322" s="93"/>
      <c r="W322" s="95"/>
      <c r="X322" s="95"/>
      <c r="Y322" s="95"/>
      <c r="Z322" s="95"/>
      <c r="AA322" s="95"/>
      <c r="AB322" s="95"/>
      <c r="AC322" s="95"/>
      <c r="AD322" s="93"/>
      <c r="AE322" s="93"/>
      <c r="AF322" s="93"/>
      <c r="AG322" s="93"/>
    </row>
    <row r="323" spans="1:33">
      <c r="A323" s="94"/>
      <c r="B323" s="94"/>
      <c r="C323" s="94"/>
      <c r="D323" s="95"/>
      <c r="E323" s="94"/>
      <c r="F323" s="95"/>
      <c r="G323" s="95"/>
      <c r="H323" s="95"/>
      <c r="I323" s="93"/>
      <c r="J323" s="93"/>
      <c r="K323" s="93"/>
      <c r="L323" s="93"/>
      <c r="M323" s="24"/>
      <c r="N323" s="25"/>
      <c r="O323" s="25"/>
      <c r="P323" s="25"/>
      <c r="Q323" s="25"/>
      <c r="R323" s="89"/>
      <c r="S323" s="93"/>
      <c r="T323" s="93"/>
      <c r="U323" s="93"/>
      <c r="V323" s="93"/>
      <c r="W323" s="95"/>
      <c r="X323" s="95"/>
      <c r="Y323" s="95"/>
      <c r="Z323" s="95"/>
      <c r="AA323" s="95"/>
      <c r="AB323" s="95"/>
      <c r="AC323" s="95"/>
      <c r="AD323" s="93"/>
      <c r="AE323" s="93"/>
      <c r="AF323" s="93"/>
      <c r="AG323" s="93"/>
    </row>
    <row r="324" spans="1:33">
      <c r="A324" s="94"/>
      <c r="B324" s="94"/>
      <c r="C324" s="94"/>
      <c r="D324" s="95"/>
      <c r="E324" s="94"/>
      <c r="F324" s="95"/>
      <c r="G324" s="95"/>
      <c r="H324" s="95"/>
      <c r="I324" s="93"/>
      <c r="J324" s="93"/>
      <c r="K324" s="93"/>
      <c r="L324" s="93"/>
      <c r="M324" s="24"/>
      <c r="N324" s="25"/>
      <c r="O324" s="25"/>
      <c r="P324" s="25"/>
      <c r="Q324" s="25"/>
      <c r="R324" s="89"/>
      <c r="S324" s="93"/>
      <c r="T324" s="93"/>
      <c r="U324" s="93"/>
      <c r="V324" s="93"/>
      <c r="W324" s="95"/>
      <c r="X324" s="95"/>
      <c r="Y324" s="95"/>
      <c r="Z324" s="95"/>
      <c r="AA324" s="95"/>
      <c r="AB324" s="95"/>
      <c r="AC324" s="95"/>
      <c r="AD324" s="93"/>
      <c r="AE324" s="93"/>
      <c r="AF324" s="93"/>
      <c r="AG324" s="93"/>
    </row>
    <row r="325" spans="1:33">
      <c r="A325" s="94"/>
      <c r="B325" s="94"/>
      <c r="C325" s="94"/>
      <c r="D325" s="95"/>
      <c r="E325" s="94"/>
      <c r="F325" s="95"/>
      <c r="G325" s="95"/>
      <c r="H325" s="95"/>
      <c r="I325" s="93"/>
      <c r="J325" s="93"/>
      <c r="K325" s="93"/>
      <c r="L325" s="93"/>
      <c r="M325" s="24"/>
      <c r="N325" s="25"/>
      <c r="O325" s="25"/>
      <c r="P325" s="25"/>
      <c r="Q325" s="25"/>
      <c r="R325" s="89"/>
      <c r="S325" s="93"/>
      <c r="T325" s="93"/>
      <c r="U325" s="93"/>
      <c r="V325" s="93"/>
      <c r="W325" s="95"/>
      <c r="X325" s="95"/>
      <c r="Y325" s="95"/>
      <c r="Z325" s="95"/>
      <c r="AA325" s="95"/>
      <c r="AB325" s="95"/>
      <c r="AC325" s="95"/>
      <c r="AD325" s="93"/>
      <c r="AE325" s="93"/>
      <c r="AF325" s="93"/>
      <c r="AG325" s="93"/>
    </row>
    <row r="326" spans="1:33">
      <c r="A326" s="94"/>
      <c r="B326" s="94"/>
      <c r="C326" s="94"/>
      <c r="D326" s="95"/>
      <c r="E326" s="94"/>
      <c r="F326" s="95"/>
      <c r="G326" s="95"/>
      <c r="H326" s="95"/>
      <c r="I326" s="93"/>
      <c r="J326" s="93"/>
      <c r="K326" s="93"/>
      <c r="L326" s="93"/>
      <c r="M326" s="24"/>
      <c r="N326" s="25"/>
      <c r="O326" s="25"/>
      <c r="P326" s="25"/>
      <c r="Q326" s="25"/>
      <c r="R326" s="89"/>
      <c r="S326" s="93"/>
      <c r="T326" s="93"/>
      <c r="U326" s="93"/>
      <c r="V326" s="93"/>
      <c r="W326" s="95"/>
      <c r="X326" s="95"/>
      <c r="Y326" s="95"/>
      <c r="Z326" s="95"/>
      <c r="AA326" s="95"/>
      <c r="AB326" s="95"/>
      <c r="AC326" s="95"/>
      <c r="AD326" s="93"/>
      <c r="AE326" s="93"/>
      <c r="AF326" s="93"/>
      <c r="AG326" s="93"/>
    </row>
    <row r="327" spans="1:33">
      <c r="A327" s="94"/>
      <c r="B327" s="94"/>
      <c r="C327" s="94"/>
      <c r="D327" s="95"/>
      <c r="E327" s="94"/>
      <c r="F327" s="95"/>
      <c r="G327" s="95"/>
      <c r="H327" s="95"/>
      <c r="I327" s="93"/>
      <c r="J327" s="93"/>
      <c r="K327" s="93"/>
      <c r="L327" s="93"/>
      <c r="M327" s="24"/>
      <c r="N327" s="25"/>
      <c r="O327" s="25"/>
      <c r="P327" s="25"/>
      <c r="Q327" s="25"/>
      <c r="R327" s="89"/>
      <c r="S327" s="93"/>
      <c r="T327" s="93"/>
      <c r="U327" s="93"/>
      <c r="V327" s="93"/>
      <c r="W327" s="95"/>
      <c r="X327" s="95"/>
      <c r="Y327" s="95"/>
      <c r="Z327" s="95"/>
      <c r="AA327" s="95"/>
      <c r="AB327" s="95"/>
      <c r="AC327" s="95"/>
      <c r="AD327" s="93"/>
      <c r="AE327" s="93"/>
      <c r="AF327" s="93"/>
      <c r="AG327" s="93"/>
    </row>
    <row r="328" spans="1:33">
      <c r="A328" s="94"/>
      <c r="B328" s="94"/>
      <c r="C328" s="94"/>
      <c r="D328" s="95"/>
      <c r="E328" s="94"/>
      <c r="F328" s="95"/>
      <c r="G328" s="95"/>
      <c r="H328" s="95"/>
      <c r="I328" s="93"/>
      <c r="J328" s="93"/>
      <c r="K328" s="93"/>
      <c r="L328" s="93"/>
      <c r="M328" s="24"/>
      <c r="N328" s="25"/>
      <c r="O328" s="25"/>
      <c r="P328" s="25"/>
      <c r="Q328" s="25"/>
      <c r="R328" s="89"/>
      <c r="S328" s="93"/>
      <c r="T328" s="93"/>
      <c r="U328" s="93"/>
      <c r="V328" s="93"/>
      <c r="W328" s="95"/>
      <c r="X328" s="95"/>
      <c r="Y328" s="95"/>
      <c r="Z328" s="95"/>
      <c r="AA328" s="95"/>
      <c r="AB328" s="95"/>
      <c r="AC328" s="95"/>
      <c r="AD328" s="93"/>
      <c r="AE328" s="93"/>
      <c r="AF328" s="93"/>
      <c r="AG328" s="93"/>
    </row>
    <row r="329" spans="1:33">
      <c r="A329" s="94"/>
      <c r="B329" s="94"/>
      <c r="C329" s="94"/>
      <c r="D329" s="95"/>
      <c r="E329" s="94"/>
      <c r="F329" s="95"/>
      <c r="G329" s="95"/>
      <c r="H329" s="95"/>
      <c r="I329" s="93"/>
      <c r="J329" s="93"/>
      <c r="K329" s="93"/>
      <c r="L329" s="93"/>
      <c r="M329" s="24"/>
      <c r="N329" s="25"/>
      <c r="O329" s="25"/>
      <c r="P329" s="25"/>
      <c r="Q329" s="25"/>
      <c r="R329" s="89"/>
      <c r="S329" s="93"/>
      <c r="T329" s="93"/>
      <c r="U329" s="93"/>
      <c r="V329" s="93"/>
      <c r="W329" s="95"/>
      <c r="X329" s="95"/>
      <c r="Y329" s="95"/>
      <c r="Z329" s="95"/>
      <c r="AA329" s="95"/>
      <c r="AB329" s="95"/>
      <c r="AC329" s="95"/>
      <c r="AD329" s="93"/>
      <c r="AE329" s="93"/>
      <c r="AF329" s="93"/>
      <c r="AG329" s="93"/>
    </row>
    <row r="330" spans="1:33">
      <c r="A330" s="94"/>
      <c r="B330" s="94"/>
      <c r="C330" s="94"/>
      <c r="D330" s="95"/>
      <c r="E330" s="94"/>
      <c r="F330" s="95"/>
      <c r="G330" s="95"/>
      <c r="H330" s="95"/>
      <c r="I330" s="93"/>
      <c r="J330" s="93"/>
      <c r="K330" s="93"/>
      <c r="L330" s="93"/>
      <c r="M330" s="24"/>
      <c r="N330" s="25"/>
      <c r="O330" s="25"/>
      <c r="P330" s="25"/>
      <c r="Q330" s="25"/>
      <c r="R330" s="89"/>
      <c r="S330" s="93"/>
      <c r="T330" s="93"/>
      <c r="U330" s="93"/>
      <c r="V330" s="93"/>
      <c r="W330" s="95"/>
      <c r="X330" s="95"/>
      <c r="Y330" s="95"/>
      <c r="Z330" s="95"/>
      <c r="AA330" s="95"/>
      <c r="AB330" s="95"/>
      <c r="AC330" s="95"/>
      <c r="AD330" s="93"/>
      <c r="AE330" s="93"/>
      <c r="AF330" s="93"/>
      <c r="AG330" s="93"/>
    </row>
    <row r="331" spans="1:33">
      <c r="A331" s="94"/>
      <c r="B331" s="94"/>
      <c r="C331" s="94"/>
      <c r="D331" s="95"/>
      <c r="E331" s="94"/>
      <c r="F331" s="95"/>
      <c r="G331" s="95"/>
      <c r="H331" s="95"/>
      <c r="I331" s="93"/>
      <c r="J331" s="93"/>
      <c r="K331" s="93"/>
      <c r="L331" s="93"/>
      <c r="M331" s="24"/>
      <c r="N331" s="25"/>
      <c r="O331" s="25"/>
      <c r="P331" s="25"/>
      <c r="Q331" s="25"/>
      <c r="R331" s="89"/>
      <c r="S331" s="93"/>
      <c r="T331" s="93"/>
      <c r="U331" s="93"/>
      <c r="V331" s="93"/>
      <c r="W331" s="95"/>
      <c r="X331" s="95"/>
      <c r="Y331" s="95"/>
      <c r="Z331" s="95"/>
      <c r="AA331" s="95"/>
      <c r="AB331" s="95"/>
      <c r="AC331" s="95"/>
      <c r="AD331" s="93"/>
      <c r="AE331" s="93"/>
      <c r="AF331" s="93"/>
      <c r="AG331" s="93"/>
    </row>
    <row r="332" spans="1:33">
      <c r="A332" s="94"/>
      <c r="B332" s="94"/>
      <c r="C332" s="94"/>
      <c r="D332" s="95"/>
      <c r="E332" s="94"/>
      <c r="F332" s="95"/>
      <c r="G332" s="95"/>
      <c r="H332" s="95"/>
      <c r="I332" s="93"/>
      <c r="J332" s="93"/>
      <c r="K332" s="93"/>
      <c r="L332" s="93"/>
      <c r="M332" s="24"/>
      <c r="N332" s="25"/>
      <c r="O332" s="25"/>
      <c r="P332" s="25"/>
      <c r="Q332" s="25"/>
      <c r="R332" s="89"/>
      <c r="S332" s="93"/>
      <c r="T332" s="93"/>
      <c r="U332" s="93"/>
      <c r="V332" s="93"/>
      <c r="W332" s="95"/>
      <c r="X332" s="95"/>
      <c r="Y332" s="95"/>
      <c r="Z332" s="95"/>
      <c r="AA332" s="95"/>
      <c r="AB332" s="95"/>
      <c r="AC332" s="95"/>
      <c r="AD332" s="93"/>
      <c r="AE332" s="93"/>
      <c r="AF332" s="93"/>
      <c r="AG332" s="93"/>
    </row>
    <row r="333" spans="1:33">
      <c r="A333" s="94"/>
      <c r="B333" s="94"/>
      <c r="C333" s="94"/>
      <c r="D333" s="95"/>
      <c r="E333" s="94"/>
      <c r="F333" s="95"/>
      <c r="G333" s="95"/>
      <c r="H333" s="95"/>
      <c r="I333" s="93"/>
      <c r="J333" s="93"/>
      <c r="K333" s="93"/>
      <c r="L333" s="93"/>
      <c r="M333" s="24"/>
      <c r="N333" s="25"/>
      <c r="O333" s="25"/>
      <c r="P333" s="25"/>
      <c r="Q333" s="25"/>
      <c r="R333" s="89"/>
      <c r="S333" s="93"/>
      <c r="T333" s="93"/>
      <c r="U333" s="93"/>
      <c r="V333" s="93"/>
      <c r="W333" s="95"/>
      <c r="X333" s="95"/>
      <c r="Y333" s="95"/>
      <c r="Z333" s="95"/>
      <c r="AA333" s="95"/>
      <c r="AB333" s="95"/>
      <c r="AC333" s="95"/>
      <c r="AD333" s="93"/>
      <c r="AE333" s="93"/>
      <c r="AF333" s="93"/>
      <c r="AG333" s="93"/>
    </row>
    <row r="334" spans="1:33">
      <c r="A334" s="94"/>
      <c r="B334" s="94"/>
      <c r="C334" s="94"/>
      <c r="D334" s="95"/>
      <c r="E334" s="94"/>
      <c r="F334" s="95"/>
      <c r="G334" s="95"/>
      <c r="H334" s="95"/>
      <c r="I334" s="93"/>
      <c r="J334" s="93"/>
      <c r="K334" s="93"/>
      <c r="L334" s="93"/>
      <c r="M334" s="24"/>
      <c r="N334" s="25"/>
      <c r="O334" s="25"/>
      <c r="P334" s="25"/>
      <c r="Q334" s="25"/>
      <c r="R334" s="89"/>
      <c r="S334" s="93"/>
      <c r="T334" s="93"/>
      <c r="U334" s="93"/>
      <c r="V334" s="93"/>
      <c r="W334" s="95"/>
      <c r="X334" s="95"/>
      <c r="Y334" s="95"/>
      <c r="Z334" s="95"/>
      <c r="AA334" s="95"/>
      <c r="AB334" s="95"/>
      <c r="AC334" s="95"/>
      <c r="AD334" s="93"/>
      <c r="AE334" s="93"/>
      <c r="AF334" s="93"/>
      <c r="AG334" s="93"/>
    </row>
    <row r="335" spans="1:33">
      <c r="A335" s="94"/>
      <c r="B335" s="94"/>
      <c r="C335" s="94"/>
      <c r="D335" s="95"/>
      <c r="E335" s="94"/>
      <c r="F335" s="95"/>
      <c r="G335" s="95"/>
      <c r="H335" s="95"/>
      <c r="I335" s="93"/>
      <c r="J335" s="93"/>
      <c r="K335" s="93"/>
      <c r="L335" s="93"/>
      <c r="M335" s="24"/>
      <c r="N335" s="25"/>
      <c r="O335" s="25"/>
      <c r="P335" s="25"/>
      <c r="Q335" s="25"/>
      <c r="R335" s="89"/>
      <c r="S335" s="93"/>
      <c r="T335" s="93"/>
      <c r="U335" s="93"/>
      <c r="V335" s="93"/>
      <c r="W335" s="95"/>
      <c r="X335" s="95"/>
      <c r="Y335" s="95"/>
      <c r="Z335" s="95"/>
      <c r="AA335" s="95"/>
      <c r="AB335" s="95"/>
      <c r="AC335" s="95"/>
      <c r="AD335" s="93"/>
      <c r="AE335" s="93"/>
      <c r="AF335" s="93"/>
      <c r="AG335" s="93"/>
    </row>
    <row r="336" spans="1:33">
      <c r="A336" s="94"/>
      <c r="B336" s="94"/>
      <c r="C336" s="94"/>
      <c r="D336" s="95"/>
      <c r="E336" s="94"/>
      <c r="F336" s="95"/>
      <c r="G336" s="95"/>
      <c r="H336" s="95"/>
      <c r="I336" s="93"/>
      <c r="J336" s="93"/>
      <c r="K336" s="93"/>
      <c r="L336" s="93"/>
      <c r="M336" s="24"/>
      <c r="N336" s="25"/>
      <c r="O336" s="25"/>
      <c r="P336" s="25"/>
      <c r="Q336" s="25"/>
      <c r="R336" s="89"/>
      <c r="S336" s="93"/>
      <c r="T336" s="93"/>
      <c r="U336" s="93"/>
      <c r="V336" s="93"/>
      <c r="W336" s="95"/>
      <c r="X336" s="95"/>
      <c r="Y336" s="95"/>
      <c r="Z336" s="95"/>
      <c r="AA336" s="95"/>
      <c r="AB336" s="95"/>
      <c r="AC336" s="95"/>
      <c r="AD336" s="93"/>
      <c r="AE336" s="93"/>
      <c r="AF336" s="93"/>
      <c r="AG336" s="93"/>
    </row>
    <row r="337" spans="1:33">
      <c r="A337" s="94"/>
      <c r="B337" s="94"/>
      <c r="C337" s="94"/>
      <c r="D337" s="95"/>
      <c r="E337" s="94"/>
      <c r="F337" s="95"/>
      <c r="G337" s="95"/>
      <c r="H337" s="95"/>
      <c r="I337" s="93"/>
      <c r="J337" s="93"/>
      <c r="K337" s="93"/>
      <c r="L337" s="93"/>
      <c r="M337" s="24"/>
      <c r="N337" s="25"/>
      <c r="O337" s="25"/>
      <c r="P337" s="25"/>
      <c r="Q337" s="25"/>
      <c r="R337" s="89"/>
      <c r="S337" s="93"/>
      <c r="T337" s="93"/>
      <c r="U337" s="93"/>
      <c r="V337" s="93"/>
      <c r="W337" s="95"/>
      <c r="X337" s="95"/>
      <c r="Y337" s="95"/>
      <c r="Z337" s="95"/>
      <c r="AA337" s="95"/>
      <c r="AB337" s="95"/>
      <c r="AC337" s="95"/>
      <c r="AD337" s="93"/>
      <c r="AE337" s="93"/>
      <c r="AF337" s="93"/>
      <c r="AG337" s="93"/>
    </row>
    <row r="338" spans="1:33">
      <c r="A338" s="94"/>
      <c r="B338" s="94"/>
      <c r="C338" s="94"/>
      <c r="D338" s="95"/>
      <c r="E338" s="94"/>
      <c r="F338" s="95"/>
      <c r="G338" s="95"/>
      <c r="H338" s="95"/>
      <c r="I338" s="93"/>
      <c r="J338" s="93"/>
      <c r="K338" s="93"/>
      <c r="L338" s="93"/>
      <c r="M338" s="24"/>
      <c r="N338" s="25"/>
      <c r="O338" s="25"/>
      <c r="P338" s="25"/>
      <c r="Q338" s="25"/>
      <c r="R338" s="89"/>
      <c r="S338" s="93"/>
      <c r="T338" s="93"/>
      <c r="U338" s="93"/>
      <c r="V338" s="93"/>
      <c r="W338" s="95"/>
      <c r="X338" s="95"/>
      <c r="Y338" s="95"/>
      <c r="Z338" s="95"/>
      <c r="AA338" s="95"/>
      <c r="AB338" s="95"/>
      <c r="AC338" s="95"/>
      <c r="AD338" s="93"/>
      <c r="AE338" s="93"/>
      <c r="AF338" s="93"/>
      <c r="AG338" s="93"/>
    </row>
    <row r="339" spans="1:33">
      <c r="A339" s="94"/>
      <c r="B339" s="94"/>
      <c r="C339" s="94"/>
      <c r="D339" s="95"/>
      <c r="E339" s="94"/>
      <c r="F339" s="95"/>
      <c r="G339" s="95"/>
      <c r="H339" s="95"/>
      <c r="I339" s="93"/>
      <c r="J339" s="93"/>
      <c r="K339" s="93"/>
      <c r="L339" s="93"/>
      <c r="M339" s="24"/>
      <c r="N339" s="25"/>
      <c r="O339" s="25"/>
      <c r="P339" s="25"/>
      <c r="Q339" s="25"/>
      <c r="R339" s="89"/>
      <c r="S339" s="93"/>
      <c r="T339" s="93"/>
      <c r="U339" s="93"/>
      <c r="V339" s="93"/>
      <c r="W339" s="95"/>
      <c r="X339" s="95"/>
      <c r="Y339" s="95"/>
      <c r="Z339" s="95"/>
      <c r="AA339" s="95"/>
      <c r="AB339" s="95"/>
      <c r="AC339" s="95"/>
      <c r="AD339" s="93"/>
      <c r="AE339" s="93"/>
      <c r="AF339" s="93"/>
      <c r="AG339" s="93"/>
    </row>
    <row r="340" spans="1:33">
      <c r="A340" s="94"/>
      <c r="B340" s="94"/>
      <c r="C340" s="94"/>
      <c r="D340" s="95"/>
      <c r="E340" s="94"/>
      <c r="F340" s="95"/>
      <c r="G340" s="95"/>
      <c r="H340" s="95"/>
      <c r="I340" s="93"/>
      <c r="J340" s="93"/>
      <c r="K340" s="93"/>
      <c r="L340" s="93"/>
      <c r="M340" s="24"/>
      <c r="N340" s="25"/>
      <c r="O340" s="25"/>
      <c r="P340" s="25"/>
      <c r="Q340" s="25"/>
      <c r="R340" s="89"/>
      <c r="S340" s="93"/>
      <c r="T340" s="93"/>
      <c r="U340" s="93"/>
      <c r="V340" s="93"/>
      <c r="W340" s="95"/>
      <c r="X340" s="95"/>
      <c r="Y340" s="95"/>
      <c r="Z340" s="95"/>
      <c r="AA340" s="95"/>
      <c r="AB340" s="95"/>
      <c r="AC340" s="95"/>
      <c r="AD340" s="93"/>
      <c r="AE340" s="93"/>
      <c r="AF340" s="93"/>
      <c r="AG340" s="93"/>
    </row>
    <row r="341" spans="1:33">
      <c r="A341" s="94"/>
      <c r="B341" s="94"/>
      <c r="C341" s="94"/>
      <c r="D341" s="95"/>
      <c r="E341" s="94"/>
      <c r="F341" s="95"/>
      <c r="G341" s="95"/>
      <c r="H341" s="95"/>
      <c r="I341" s="93"/>
      <c r="J341" s="93"/>
      <c r="K341" s="93"/>
      <c r="L341" s="93"/>
      <c r="M341" s="24"/>
      <c r="N341" s="25"/>
      <c r="O341" s="25"/>
      <c r="P341" s="25"/>
      <c r="Q341" s="25"/>
      <c r="R341" s="89"/>
      <c r="S341" s="93"/>
      <c r="T341" s="93"/>
      <c r="U341" s="93"/>
      <c r="V341" s="93"/>
      <c r="W341" s="95"/>
      <c r="X341" s="95"/>
      <c r="Y341" s="95"/>
      <c r="Z341" s="95"/>
      <c r="AA341" s="95"/>
      <c r="AB341" s="95"/>
      <c r="AC341" s="95"/>
      <c r="AD341" s="93"/>
      <c r="AE341" s="93"/>
      <c r="AF341" s="93"/>
      <c r="AG341" s="93"/>
    </row>
    <row r="342" spans="1:33">
      <c r="A342" s="94"/>
      <c r="B342" s="94"/>
      <c r="C342" s="94"/>
      <c r="D342" s="95"/>
      <c r="E342" s="94"/>
      <c r="F342" s="95"/>
      <c r="G342" s="95"/>
      <c r="H342" s="95"/>
      <c r="I342" s="93"/>
      <c r="J342" s="93"/>
      <c r="K342" s="93"/>
      <c r="L342" s="93"/>
      <c r="M342" s="24"/>
      <c r="N342" s="25"/>
      <c r="O342" s="25"/>
      <c r="P342" s="25"/>
      <c r="Q342" s="25"/>
      <c r="R342" s="89"/>
      <c r="S342" s="93"/>
      <c r="T342" s="93"/>
      <c r="U342" s="93"/>
      <c r="V342" s="93"/>
      <c r="W342" s="95"/>
      <c r="X342" s="95"/>
      <c r="Y342" s="95"/>
      <c r="Z342" s="95"/>
      <c r="AA342" s="95"/>
      <c r="AB342" s="95"/>
      <c r="AC342" s="95"/>
      <c r="AD342" s="93"/>
      <c r="AE342" s="93"/>
      <c r="AF342" s="93"/>
      <c r="AG342" s="93"/>
    </row>
    <row r="343" spans="1:33">
      <c r="A343" s="94"/>
      <c r="B343" s="94"/>
      <c r="C343" s="94"/>
      <c r="D343" s="95"/>
      <c r="E343" s="94"/>
      <c r="F343" s="95"/>
      <c r="G343" s="95"/>
      <c r="H343" s="95"/>
      <c r="I343" s="93"/>
      <c r="J343" s="93"/>
      <c r="K343" s="93"/>
      <c r="L343" s="93"/>
      <c r="M343" s="24"/>
      <c r="N343" s="25"/>
      <c r="O343" s="25"/>
      <c r="P343" s="25"/>
      <c r="Q343" s="25"/>
      <c r="R343" s="89"/>
      <c r="S343" s="93"/>
      <c r="T343" s="93"/>
      <c r="U343" s="93"/>
      <c r="V343" s="93"/>
      <c r="W343" s="95"/>
      <c r="X343" s="95"/>
      <c r="Y343" s="95"/>
      <c r="Z343" s="95"/>
      <c r="AA343" s="95"/>
      <c r="AB343" s="95"/>
      <c r="AC343" s="95"/>
      <c r="AD343" s="93"/>
      <c r="AE343" s="93"/>
      <c r="AF343" s="93"/>
      <c r="AG343" s="93"/>
    </row>
    <row r="344" spans="1:33">
      <c r="A344" s="94"/>
      <c r="B344" s="94"/>
      <c r="C344" s="94"/>
      <c r="D344" s="95"/>
      <c r="E344" s="94"/>
      <c r="F344" s="95"/>
      <c r="G344" s="95"/>
      <c r="H344" s="95"/>
      <c r="I344" s="93"/>
      <c r="J344" s="93"/>
      <c r="K344" s="93"/>
      <c r="L344" s="93"/>
      <c r="M344" s="24"/>
      <c r="N344" s="25"/>
      <c r="O344" s="25"/>
      <c r="P344" s="25"/>
      <c r="Q344" s="25"/>
      <c r="R344" s="89"/>
      <c r="S344" s="93"/>
      <c r="T344" s="93"/>
      <c r="U344" s="93"/>
      <c r="V344" s="93"/>
      <c r="W344" s="95"/>
      <c r="X344" s="95"/>
      <c r="Y344" s="95"/>
      <c r="Z344" s="95"/>
      <c r="AA344" s="95"/>
      <c r="AB344" s="95"/>
      <c r="AC344" s="95"/>
      <c r="AD344" s="93"/>
      <c r="AE344" s="93"/>
      <c r="AF344" s="93"/>
      <c r="AG344" s="93"/>
    </row>
    <row r="345" spans="1:33">
      <c r="A345" s="94"/>
      <c r="B345" s="94"/>
      <c r="C345" s="94"/>
      <c r="D345" s="95"/>
      <c r="E345" s="94"/>
      <c r="F345" s="95"/>
      <c r="G345" s="95"/>
      <c r="H345" s="95"/>
      <c r="I345" s="93"/>
      <c r="J345" s="93"/>
      <c r="K345" s="93"/>
      <c r="L345" s="93"/>
      <c r="M345" s="24"/>
      <c r="N345" s="25"/>
      <c r="O345" s="25"/>
      <c r="P345" s="25"/>
      <c r="Q345" s="25"/>
      <c r="R345" s="89"/>
      <c r="S345" s="93"/>
      <c r="T345" s="93"/>
      <c r="U345" s="93"/>
      <c r="V345" s="93"/>
      <c r="W345" s="95"/>
      <c r="X345" s="95"/>
      <c r="Y345" s="95"/>
      <c r="Z345" s="95"/>
      <c r="AA345" s="95"/>
      <c r="AB345" s="95"/>
      <c r="AC345" s="95"/>
      <c r="AD345" s="93"/>
      <c r="AE345" s="93"/>
      <c r="AF345" s="93"/>
      <c r="AG345" s="93"/>
    </row>
    <row r="346" spans="1:33">
      <c r="A346" s="94"/>
      <c r="B346" s="94"/>
      <c r="C346" s="94"/>
      <c r="D346" s="95"/>
      <c r="E346" s="94"/>
      <c r="F346" s="95"/>
      <c r="G346" s="95"/>
      <c r="H346" s="95"/>
      <c r="I346" s="93"/>
      <c r="J346" s="93"/>
      <c r="K346" s="93"/>
      <c r="L346" s="93"/>
      <c r="M346" s="24"/>
      <c r="N346" s="25"/>
      <c r="O346" s="25"/>
      <c r="P346" s="25"/>
      <c r="Q346" s="25"/>
      <c r="R346" s="89"/>
      <c r="S346" s="93"/>
      <c r="T346" s="93"/>
      <c r="U346" s="93"/>
      <c r="V346" s="93"/>
      <c r="W346" s="95"/>
      <c r="X346" s="95"/>
      <c r="Y346" s="95"/>
      <c r="Z346" s="95"/>
      <c r="AA346" s="95"/>
      <c r="AB346" s="95"/>
      <c r="AC346" s="95"/>
      <c r="AD346" s="93"/>
      <c r="AE346" s="93"/>
      <c r="AF346" s="93"/>
      <c r="AG346" s="93"/>
    </row>
    <row r="347" spans="1:33">
      <c r="A347" s="94"/>
      <c r="B347" s="94"/>
      <c r="C347" s="94"/>
      <c r="D347" s="95"/>
      <c r="E347" s="94"/>
      <c r="F347" s="95"/>
      <c r="G347" s="95"/>
      <c r="H347" s="95"/>
      <c r="I347" s="93"/>
      <c r="J347" s="93"/>
      <c r="K347" s="93"/>
      <c r="L347" s="93"/>
      <c r="M347" s="24"/>
      <c r="N347" s="25"/>
      <c r="O347" s="25"/>
      <c r="P347" s="25"/>
      <c r="Q347" s="25"/>
      <c r="R347" s="89"/>
      <c r="S347" s="93"/>
      <c r="T347" s="93"/>
      <c r="U347" s="93"/>
      <c r="V347" s="93"/>
      <c r="W347" s="95"/>
      <c r="X347" s="95"/>
      <c r="Y347" s="95"/>
      <c r="Z347" s="95"/>
      <c r="AA347" s="95"/>
      <c r="AB347" s="95"/>
      <c r="AC347" s="95"/>
      <c r="AD347" s="93"/>
      <c r="AE347" s="93"/>
      <c r="AF347" s="93"/>
      <c r="AG347" s="93"/>
    </row>
    <row r="348" spans="1:33">
      <c r="A348" s="94"/>
      <c r="B348" s="94"/>
      <c r="C348" s="94"/>
      <c r="D348" s="95"/>
      <c r="E348" s="94"/>
      <c r="F348" s="95"/>
      <c r="G348" s="95"/>
      <c r="H348" s="95"/>
      <c r="I348" s="93"/>
      <c r="J348" s="93"/>
      <c r="K348" s="93"/>
      <c r="L348" s="93"/>
      <c r="M348" s="24"/>
      <c r="N348" s="25"/>
      <c r="O348" s="25"/>
      <c r="P348" s="25"/>
      <c r="Q348" s="25"/>
      <c r="R348" s="89"/>
      <c r="S348" s="93"/>
      <c r="T348" s="93"/>
      <c r="U348" s="93"/>
      <c r="V348" s="93"/>
      <c r="W348" s="95"/>
      <c r="X348" s="95"/>
      <c r="Y348" s="95"/>
      <c r="Z348" s="95"/>
      <c r="AA348" s="95"/>
      <c r="AB348" s="95"/>
      <c r="AC348" s="95"/>
      <c r="AD348" s="93"/>
      <c r="AE348" s="93"/>
      <c r="AF348" s="93"/>
      <c r="AG348" s="93"/>
    </row>
    <row r="349" spans="1:33">
      <c r="A349" s="94"/>
      <c r="B349" s="94"/>
      <c r="C349" s="94"/>
      <c r="D349" s="95"/>
      <c r="E349" s="94"/>
      <c r="F349" s="95"/>
      <c r="G349" s="95"/>
      <c r="H349" s="95"/>
      <c r="I349" s="93"/>
      <c r="J349" s="93"/>
      <c r="K349" s="93"/>
      <c r="L349" s="93"/>
      <c r="M349" s="24"/>
      <c r="N349" s="25"/>
      <c r="O349" s="25"/>
      <c r="P349" s="25"/>
      <c r="Q349" s="25"/>
      <c r="R349" s="89"/>
      <c r="S349" s="93"/>
      <c r="T349" s="93"/>
      <c r="U349" s="93"/>
      <c r="V349" s="93"/>
      <c r="W349" s="95"/>
      <c r="X349" s="95"/>
      <c r="Y349" s="95"/>
      <c r="Z349" s="95"/>
      <c r="AA349" s="95"/>
      <c r="AB349" s="95"/>
      <c r="AC349" s="95"/>
      <c r="AD349" s="93"/>
      <c r="AE349" s="93"/>
      <c r="AF349" s="93"/>
      <c r="AG349" s="93"/>
    </row>
    <row r="350" spans="1:33">
      <c r="A350" s="94"/>
      <c r="B350" s="94"/>
      <c r="C350" s="94"/>
      <c r="D350" s="95"/>
      <c r="E350" s="94"/>
      <c r="F350" s="95"/>
      <c r="G350" s="95"/>
      <c r="H350" s="95"/>
      <c r="I350" s="93"/>
      <c r="J350" s="93"/>
      <c r="K350" s="93"/>
      <c r="L350" s="93"/>
      <c r="M350" s="24"/>
      <c r="N350" s="25"/>
      <c r="O350" s="25"/>
      <c r="P350" s="25"/>
      <c r="Q350" s="25"/>
      <c r="R350" s="89"/>
      <c r="S350" s="93"/>
      <c r="T350" s="93"/>
      <c r="U350" s="93"/>
      <c r="V350" s="93"/>
      <c r="W350" s="95"/>
      <c r="X350" s="95"/>
      <c r="Y350" s="95"/>
      <c r="Z350" s="95"/>
      <c r="AA350" s="95"/>
      <c r="AB350" s="95"/>
      <c r="AC350" s="95"/>
      <c r="AD350" s="93"/>
      <c r="AE350" s="93"/>
      <c r="AF350" s="93"/>
      <c r="AG350" s="93"/>
    </row>
    <row r="351" spans="1:33">
      <c r="A351" s="94"/>
      <c r="B351" s="94"/>
      <c r="C351" s="94"/>
      <c r="D351" s="95"/>
      <c r="E351" s="94"/>
      <c r="F351" s="95"/>
      <c r="G351" s="95"/>
      <c r="H351" s="95"/>
      <c r="I351" s="93"/>
      <c r="J351" s="93"/>
      <c r="K351" s="93"/>
      <c r="L351" s="93"/>
      <c r="M351" s="24"/>
      <c r="N351" s="25"/>
      <c r="O351" s="25"/>
      <c r="P351" s="25"/>
      <c r="Q351" s="25"/>
      <c r="R351" s="89"/>
      <c r="S351" s="93"/>
      <c r="T351" s="93"/>
      <c r="U351" s="93"/>
      <c r="V351" s="93"/>
      <c r="W351" s="95"/>
      <c r="X351" s="95"/>
      <c r="Y351" s="95"/>
      <c r="Z351" s="95"/>
      <c r="AA351" s="95"/>
      <c r="AB351" s="95"/>
      <c r="AC351" s="95"/>
      <c r="AD351" s="93"/>
      <c r="AE351" s="93"/>
      <c r="AF351" s="93"/>
      <c r="AG351" s="93"/>
    </row>
    <row r="352" spans="1:33">
      <c r="A352" s="94"/>
      <c r="B352" s="94"/>
      <c r="C352" s="94"/>
      <c r="D352" s="95"/>
      <c r="E352" s="94"/>
      <c r="F352" s="95"/>
      <c r="G352" s="95"/>
      <c r="H352" s="95"/>
      <c r="I352" s="93"/>
      <c r="J352" s="93"/>
      <c r="K352" s="93"/>
      <c r="L352" s="93"/>
      <c r="M352" s="24"/>
      <c r="N352" s="25"/>
      <c r="O352" s="25"/>
      <c r="P352" s="25"/>
      <c r="Q352" s="25"/>
      <c r="R352" s="89"/>
      <c r="S352" s="93"/>
      <c r="T352" s="93"/>
      <c r="U352" s="93"/>
      <c r="V352" s="93"/>
      <c r="W352" s="95"/>
      <c r="X352" s="95"/>
      <c r="Y352" s="95"/>
      <c r="Z352" s="95"/>
      <c r="AA352" s="95"/>
      <c r="AB352" s="95"/>
      <c r="AC352" s="95"/>
      <c r="AD352" s="93"/>
      <c r="AE352" s="93"/>
      <c r="AF352" s="93"/>
      <c r="AG352" s="93"/>
    </row>
    <row r="353" spans="1:33">
      <c r="A353" s="94"/>
      <c r="B353" s="94"/>
      <c r="C353" s="94"/>
      <c r="D353" s="95"/>
      <c r="E353" s="94"/>
      <c r="F353" s="95"/>
      <c r="G353" s="95"/>
      <c r="H353" s="95"/>
      <c r="I353" s="93"/>
      <c r="J353" s="93"/>
      <c r="K353" s="93"/>
      <c r="L353" s="93"/>
      <c r="M353" s="24"/>
      <c r="N353" s="25"/>
      <c r="O353" s="25"/>
      <c r="P353" s="25"/>
      <c r="Q353" s="25"/>
      <c r="R353" s="89"/>
      <c r="S353" s="93"/>
      <c r="T353" s="93"/>
      <c r="U353" s="93"/>
      <c r="V353" s="93"/>
      <c r="W353" s="95"/>
      <c r="X353" s="95"/>
      <c r="Y353" s="95"/>
      <c r="Z353" s="95"/>
      <c r="AA353" s="95"/>
      <c r="AB353" s="95"/>
      <c r="AC353" s="95"/>
      <c r="AD353" s="93"/>
      <c r="AE353" s="93"/>
      <c r="AF353" s="93"/>
      <c r="AG353" s="93"/>
    </row>
    <row r="354" spans="1:33">
      <c r="A354" s="94"/>
      <c r="B354" s="94"/>
      <c r="C354" s="94"/>
      <c r="D354" s="95"/>
      <c r="E354" s="94"/>
      <c r="F354" s="95"/>
      <c r="G354" s="95"/>
      <c r="H354" s="95"/>
      <c r="I354" s="93"/>
      <c r="J354" s="93"/>
      <c r="K354" s="93"/>
      <c r="L354" s="93"/>
      <c r="M354" s="24"/>
      <c r="N354" s="25"/>
      <c r="O354" s="25"/>
      <c r="P354" s="25"/>
      <c r="Q354" s="25"/>
      <c r="R354" s="89"/>
      <c r="S354" s="93"/>
      <c r="T354" s="93"/>
      <c r="U354" s="93"/>
      <c r="V354" s="93"/>
      <c r="W354" s="95"/>
      <c r="X354" s="95"/>
      <c r="Y354" s="95"/>
      <c r="Z354" s="95"/>
      <c r="AA354" s="95"/>
      <c r="AB354" s="95"/>
      <c r="AC354" s="95"/>
      <c r="AD354" s="93"/>
      <c r="AE354" s="93"/>
      <c r="AF354" s="93"/>
      <c r="AG354" s="93"/>
    </row>
    <row r="355" spans="1:33">
      <c r="A355" s="94"/>
      <c r="B355" s="94"/>
      <c r="C355" s="94"/>
      <c r="D355" s="95"/>
      <c r="E355" s="94"/>
      <c r="F355" s="95"/>
      <c r="G355" s="95"/>
      <c r="H355" s="95"/>
      <c r="I355" s="93"/>
      <c r="J355" s="93"/>
      <c r="K355" s="93"/>
      <c r="L355" s="93"/>
      <c r="M355" s="24"/>
      <c r="N355" s="25"/>
      <c r="O355" s="25"/>
      <c r="P355" s="25"/>
      <c r="Q355" s="25"/>
      <c r="R355" s="89"/>
      <c r="S355" s="93"/>
      <c r="T355" s="93"/>
      <c r="U355" s="93"/>
      <c r="V355" s="93"/>
      <c r="W355" s="95"/>
      <c r="X355" s="95"/>
      <c r="Y355" s="95"/>
      <c r="Z355" s="95"/>
      <c r="AA355" s="95"/>
      <c r="AB355" s="95"/>
      <c r="AC355" s="95"/>
      <c r="AD355" s="93"/>
      <c r="AE355" s="93"/>
      <c r="AF355" s="93"/>
      <c r="AG355" s="93"/>
    </row>
    <row r="356" spans="1:33">
      <c r="A356" s="94"/>
      <c r="B356" s="94"/>
      <c r="C356" s="94"/>
      <c r="D356" s="95"/>
      <c r="E356" s="94"/>
      <c r="F356" s="95"/>
      <c r="G356" s="95"/>
      <c r="H356" s="95"/>
      <c r="I356" s="93"/>
      <c r="J356" s="93"/>
      <c r="K356" s="93"/>
      <c r="L356" s="93"/>
      <c r="M356" s="24"/>
      <c r="N356" s="25"/>
      <c r="O356" s="25"/>
      <c r="P356" s="25"/>
      <c r="Q356" s="25"/>
      <c r="R356" s="89"/>
      <c r="S356" s="93"/>
      <c r="T356" s="93"/>
      <c r="U356" s="93"/>
      <c r="V356" s="93"/>
      <c r="W356" s="95"/>
      <c r="X356" s="95"/>
      <c r="Y356" s="95"/>
      <c r="Z356" s="95"/>
      <c r="AA356" s="95"/>
      <c r="AB356" s="95"/>
      <c r="AC356" s="95"/>
      <c r="AD356" s="93"/>
      <c r="AE356" s="93"/>
      <c r="AF356" s="93"/>
      <c r="AG356" s="93"/>
    </row>
    <row r="357" spans="1:33">
      <c r="A357" s="94"/>
      <c r="B357" s="94"/>
      <c r="C357" s="94"/>
      <c r="D357" s="95"/>
      <c r="E357" s="94"/>
      <c r="F357" s="95"/>
      <c r="G357" s="95"/>
      <c r="H357" s="95"/>
      <c r="I357" s="93"/>
      <c r="J357" s="93"/>
      <c r="K357" s="93"/>
      <c r="L357" s="93"/>
      <c r="M357" s="24"/>
      <c r="N357" s="25"/>
      <c r="O357" s="25"/>
      <c r="P357" s="25"/>
      <c r="Q357" s="25"/>
      <c r="R357" s="89"/>
      <c r="S357" s="93"/>
      <c r="T357" s="93"/>
      <c r="U357" s="93"/>
      <c r="V357" s="93"/>
      <c r="W357" s="95"/>
      <c r="X357" s="95"/>
      <c r="Y357" s="95"/>
      <c r="Z357" s="95"/>
      <c r="AA357" s="95"/>
      <c r="AB357" s="95"/>
      <c r="AC357" s="95"/>
      <c r="AD357" s="93"/>
      <c r="AE357" s="93"/>
      <c r="AF357" s="93"/>
      <c r="AG357" s="93"/>
    </row>
    <row r="358" spans="1:33">
      <c r="A358" s="94"/>
      <c r="B358" s="94"/>
      <c r="C358" s="94"/>
      <c r="D358" s="95"/>
      <c r="E358" s="94"/>
      <c r="F358" s="95"/>
      <c r="G358" s="95"/>
      <c r="H358" s="95"/>
      <c r="I358" s="93"/>
      <c r="J358" s="93"/>
      <c r="K358" s="93"/>
      <c r="L358" s="93"/>
      <c r="M358" s="24"/>
      <c r="N358" s="25"/>
      <c r="O358" s="25"/>
      <c r="P358" s="25"/>
      <c r="Q358" s="25"/>
      <c r="R358" s="89"/>
      <c r="S358" s="93"/>
      <c r="T358" s="93"/>
      <c r="U358" s="93"/>
      <c r="V358" s="93"/>
      <c r="W358" s="95"/>
      <c r="X358" s="95"/>
      <c r="Y358" s="95"/>
      <c r="Z358" s="95"/>
      <c r="AA358" s="95"/>
      <c r="AB358" s="95"/>
      <c r="AC358" s="95"/>
      <c r="AD358" s="93"/>
      <c r="AE358" s="93"/>
      <c r="AF358" s="93"/>
      <c r="AG358" s="93"/>
    </row>
    <row r="359" spans="1:33">
      <c r="A359" s="94"/>
      <c r="B359" s="94"/>
      <c r="C359" s="94"/>
      <c r="D359" s="95"/>
      <c r="E359" s="94"/>
      <c r="F359" s="95"/>
      <c r="G359" s="95"/>
      <c r="H359" s="95"/>
      <c r="I359" s="93"/>
      <c r="J359" s="93"/>
      <c r="K359" s="93"/>
      <c r="L359" s="93"/>
      <c r="M359" s="24"/>
      <c r="N359" s="25"/>
      <c r="O359" s="25"/>
      <c r="P359" s="25"/>
      <c r="Q359" s="25"/>
      <c r="R359" s="89"/>
      <c r="S359" s="93"/>
      <c r="T359" s="93"/>
      <c r="U359" s="93"/>
      <c r="V359" s="93"/>
      <c r="W359" s="95"/>
      <c r="X359" s="95"/>
      <c r="Y359" s="95"/>
      <c r="Z359" s="95"/>
      <c r="AA359" s="95"/>
      <c r="AB359" s="95"/>
      <c r="AC359" s="95"/>
      <c r="AD359" s="93"/>
      <c r="AE359" s="93"/>
      <c r="AF359" s="93"/>
      <c r="AG359" s="93"/>
    </row>
    <row r="360" spans="1:33">
      <c r="A360" s="94"/>
      <c r="B360" s="94"/>
      <c r="C360" s="94"/>
      <c r="D360" s="95"/>
      <c r="E360" s="94"/>
      <c r="F360" s="95"/>
      <c r="G360" s="95"/>
      <c r="H360" s="95"/>
      <c r="I360" s="93"/>
      <c r="J360" s="93"/>
      <c r="K360" s="93"/>
      <c r="L360" s="93"/>
      <c r="M360" s="24"/>
      <c r="N360" s="25"/>
      <c r="O360" s="25"/>
      <c r="P360" s="25"/>
      <c r="Q360" s="25"/>
      <c r="R360" s="89"/>
      <c r="S360" s="93"/>
      <c r="T360" s="93"/>
      <c r="U360" s="93"/>
      <c r="V360" s="93"/>
      <c r="W360" s="95"/>
      <c r="X360" s="95"/>
      <c r="Y360" s="95"/>
      <c r="Z360" s="95"/>
      <c r="AA360" s="95"/>
      <c r="AB360" s="95"/>
      <c r="AC360" s="95"/>
      <c r="AD360" s="93"/>
      <c r="AE360" s="93"/>
      <c r="AF360" s="93"/>
      <c r="AG360" s="93"/>
    </row>
    <row r="361" spans="1:33">
      <c r="A361" s="94"/>
      <c r="B361" s="94"/>
      <c r="C361" s="94"/>
      <c r="D361" s="95"/>
      <c r="E361" s="94"/>
      <c r="F361" s="95"/>
      <c r="G361" s="95"/>
      <c r="H361" s="95"/>
      <c r="I361" s="93"/>
      <c r="J361" s="93"/>
      <c r="K361" s="93"/>
      <c r="L361" s="93"/>
      <c r="M361" s="24"/>
      <c r="N361" s="25"/>
      <c r="O361" s="25"/>
      <c r="P361" s="25"/>
      <c r="Q361" s="25"/>
      <c r="R361" s="89"/>
      <c r="S361" s="93"/>
      <c r="T361" s="93"/>
      <c r="U361" s="93"/>
      <c r="V361" s="93"/>
      <c r="W361" s="95"/>
      <c r="X361" s="95"/>
      <c r="Y361" s="95"/>
      <c r="Z361" s="95"/>
      <c r="AA361" s="95"/>
      <c r="AB361" s="95"/>
      <c r="AC361" s="95"/>
      <c r="AD361" s="93"/>
      <c r="AE361" s="93"/>
      <c r="AF361" s="93"/>
      <c r="AG361" s="93"/>
    </row>
    <row r="362" spans="1:33">
      <c r="A362" s="94"/>
      <c r="B362" s="94"/>
      <c r="C362" s="94"/>
      <c r="D362" s="95"/>
      <c r="E362" s="94"/>
      <c r="F362" s="95"/>
      <c r="G362" s="95"/>
      <c r="H362" s="95"/>
      <c r="I362" s="93"/>
      <c r="J362" s="93"/>
      <c r="K362" s="93"/>
      <c r="L362" s="93"/>
      <c r="M362" s="24"/>
      <c r="N362" s="25"/>
      <c r="O362" s="25"/>
      <c r="P362" s="25"/>
      <c r="Q362" s="25"/>
      <c r="R362" s="89"/>
      <c r="S362" s="93"/>
      <c r="T362" s="93"/>
      <c r="U362" s="93"/>
      <c r="V362" s="93"/>
      <c r="W362" s="95"/>
      <c r="X362" s="95"/>
      <c r="Y362" s="95"/>
      <c r="Z362" s="95"/>
      <c r="AA362" s="95"/>
      <c r="AB362" s="95"/>
      <c r="AC362" s="95"/>
      <c r="AD362" s="93"/>
      <c r="AE362" s="93"/>
      <c r="AF362" s="93"/>
      <c r="AG362" s="93"/>
    </row>
    <row r="363" spans="1:33">
      <c r="A363" s="94"/>
      <c r="B363" s="94"/>
      <c r="C363" s="94"/>
      <c r="D363" s="95"/>
      <c r="E363" s="94"/>
      <c r="F363" s="95"/>
      <c r="G363" s="95"/>
      <c r="H363" s="95"/>
      <c r="I363" s="93"/>
      <c r="J363" s="93"/>
      <c r="K363" s="93"/>
      <c r="L363" s="93"/>
      <c r="M363" s="24"/>
      <c r="N363" s="25"/>
      <c r="O363" s="25"/>
      <c r="P363" s="25"/>
      <c r="Q363" s="25"/>
      <c r="R363" s="89"/>
      <c r="S363" s="93"/>
      <c r="T363" s="93"/>
      <c r="U363" s="93"/>
      <c r="V363" s="93"/>
      <c r="W363" s="95"/>
      <c r="X363" s="95"/>
      <c r="Y363" s="95"/>
      <c r="Z363" s="95"/>
      <c r="AA363" s="95"/>
      <c r="AB363" s="95"/>
      <c r="AC363" s="95"/>
      <c r="AD363" s="93"/>
      <c r="AE363" s="93"/>
      <c r="AF363" s="93"/>
      <c r="AG363" s="93"/>
    </row>
    <row r="364" spans="1:33">
      <c r="A364" s="94"/>
      <c r="B364" s="94"/>
      <c r="C364" s="94"/>
      <c r="D364" s="95"/>
      <c r="E364" s="94"/>
      <c r="F364" s="95"/>
      <c r="G364" s="95"/>
      <c r="H364" s="95"/>
      <c r="I364" s="93"/>
      <c r="J364" s="93"/>
      <c r="K364" s="93"/>
      <c r="L364" s="93"/>
      <c r="M364" s="24"/>
      <c r="N364" s="25"/>
      <c r="O364" s="25"/>
      <c r="P364" s="25"/>
      <c r="Q364" s="25"/>
      <c r="R364" s="89"/>
      <c r="S364" s="93"/>
      <c r="T364" s="93"/>
      <c r="U364" s="93"/>
      <c r="V364" s="93"/>
      <c r="W364" s="95"/>
      <c r="X364" s="95"/>
      <c r="Y364" s="95"/>
      <c r="Z364" s="95"/>
      <c r="AA364" s="95"/>
      <c r="AB364" s="95"/>
      <c r="AC364" s="95"/>
      <c r="AD364" s="93"/>
      <c r="AE364" s="93"/>
      <c r="AF364" s="93"/>
      <c r="AG364" s="93"/>
    </row>
    <row r="365" spans="1:33">
      <c r="A365" s="94"/>
      <c r="B365" s="94"/>
      <c r="C365" s="94"/>
      <c r="D365" s="95"/>
      <c r="E365" s="94"/>
      <c r="F365" s="95"/>
      <c r="G365" s="95"/>
      <c r="H365" s="95"/>
      <c r="I365" s="93"/>
      <c r="J365" s="93"/>
      <c r="K365" s="93"/>
      <c r="L365" s="93"/>
      <c r="M365" s="24"/>
      <c r="N365" s="25"/>
      <c r="O365" s="25"/>
      <c r="P365" s="25"/>
      <c r="Q365" s="25"/>
      <c r="R365" s="89"/>
      <c r="S365" s="93"/>
      <c r="T365" s="93"/>
      <c r="U365" s="93"/>
      <c r="V365" s="93"/>
      <c r="W365" s="95"/>
      <c r="X365" s="95"/>
      <c r="Y365" s="95"/>
      <c r="Z365" s="95"/>
      <c r="AA365" s="95"/>
      <c r="AB365" s="95"/>
      <c r="AC365" s="95"/>
      <c r="AD365" s="93"/>
      <c r="AE365" s="93"/>
      <c r="AF365" s="93"/>
      <c r="AG365" s="93"/>
    </row>
    <row r="366" spans="1:33">
      <c r="A366" s="94"/>
      <c r="B366" s="94"/>
      <c r="C366" s="94"/>
      <c r="D366" s="95"/>
      <c r="E366" s="94"/>
      <c r="F366" s="95"/>
      <c r="G366" s="95"/>
      <c r="H366" s="95"/>
      <c r="I366" s="93"/>
      <c r="J366" s="93"/>
      <c r="K366" s="93"/>
      <c r="L366" s="93"/>
      <c r="M366" s="24"/>
      <c r="N366" s="25"/>
      <c r="O366" s="25"/>
      <c r="P366" s="25"/>
      <c r="Q366" s="25"/>
      <c r="R366" s="89"/>
      <c r="S366" s="93"/>
      <c r="T366" s="93"/>
      <c r="U366" s="93"/>
      <c r="V366" s="93"/>
      <c r="W366" s="95"/>
      <c r="X366" s="95"/>
      <c r="Y366" s="95"/>
      <c r="Z366" s="95"/>
      <c r="AA366" s="95"/>
      <c r="AB366" s="95"/>
      <c r="AC366" s="95"/>
      <c r="AD366" s="93"/>
      <c r="AE366" s="93"/>
      <c r="AF366" s="93"/>
      <c r="AG366" s="93"/>
    </row>
    <row r="367" spans="1:33">
      <c r="A367" s="94"/>
      <c r="B367" s="94"/>
      <c r="C367" s="94"/>
      <c r="D367" s="95"/>
      <c r="E367" s="94"/>
      <c r="F367" s="95"/>
      <c r="G367" s="95"/>
      <c r="H367" s="95"/>
      <c r="I367" s="93"/>
      <c r="J367" s="93"/>
      <c r="K367" s="93"/>
      <c r="L367" s="93"/>
      <c r="M367" s="24"/>
      <c r="N367" s="25"/>
      <c r="O367" s="25"/>
      <c r="P367" s="25"/>
      <c r="Q367" s="25"/>
      <c r="R367" s="89"/>
      <c r="S367" s="93"/>
      <c r="T367" s="93"/>
      <c r="U367" s="93"/>
      <c r="V367" s="93"/>
      <c r="W367" s="95"/>
      <c r="X367" s="95"/>
      <c r="Y367" s="95"/>
      <c r="Z367" s="95"/>
      <c r="AA367" s="95"/>
      <c r="AB367" s="95"/>
      <c r="AC367" s="95"/>
      <c r="AD367" s="93"/>
      <c r="AE367" s="93"/>
      <c r="AF367" s="93"/>
      <c r="AG367" s="93"/>
    </row>
    <row r="368" spans="1:33">
      <c r="A368" s="94"/>
      <c r="B368" s="94"/>
      <c r="C368" s="94"/>
      <c r="D368" s="95"/>
      <c r="E368" s="94"/>
      <c r="F368" s="95"/>
      <c r="G368" s="95"/>
      <c r="H368" s="95"/>
      <c r="I368" s="93"/>
      <c r="J368" s="93"/>
      <c r="K368" s="93"/>
      <c r="L368" s="93"/>
      <c r="M368" s="24"/>
      <c r="N368" s="25"/>
      <c r="O368" s="25"/>
      <c r="P368" s="25"/>
      <c r="Q368" s="25"/>
      <c r="R368" s="89"/>
      <c r="S368" s="93"/>
      <c r="T368" s="93"/>
      <c r="U368" s="93"/>
      <c r="V368" s="93"/>
      <c r="W368" s="95"/>
      <c r="X368" s="95"/>
      <c r="Y368" s="95"/>
      <c r="Z368" s="95"/>
      <c r="AA368" s="95"/>
      <c r="AB368" s="95"/>
      <c r="AC368" s="95"/>
      <c r="AD368" s="93"/>
      <c r="AE368" s="93"/>
      <c r="AF368" s="93"/>
      <c r="AG368" s="93"/>
    </row>
    <row r="369" spans="1:33">
      <c r="A369" s="94"/>
      <c r="B369" s="94"/>
      <c r="C369" s="94"/>
      <c r="D369" s="95"/>
      <c r="E369" s="94"/>
      <c r="F369" s="95"/>
      <c r="G369" s="95"/>
      <c r="H369" s="95"/>
      <c r="I369" s="93"/>
      <c r="J369" s="93"/>
      <c r="K369" s="93"/>
      <c r="L369" s="93"/>
      <c r="M369" s="24"/>
      <c r="N369" s="25"/>
      <c r="O369" s="25"/>
      <c r="P369" s="25"/>
      <c r="Q369" s="25"/>
      <c r="R369" s="89"/>
      <c r="S369" s="93"/>
      <c r="T369" s="93"/>
      <c r="U369" s="93"/>
      <c r="V369" s="93"/>
      <c r="W369" s="95"/>
      <c r="X369" s="95"/>
      <c r="Y369" s="95"/>
      <c r="Z369" s="95"/>
      <c r="AA369" s="95"/>
      <c r="AB369" s="95"/>
      <c r="AC369" s="95"/>
      <c r="AD369" s="93"/>
      <c r="AE369" s="93"/>
      <c r="AF369" s="93"/>
      <c r="AG369" s="93"/>
    </row>
    <row r="370" spans="1:33">
      <c r="A370" s="94"/>
      <c r="B370" s="94"/>
      <c r="C370" s="94"/>
      <c r="D370" s="95"/>
      <c r="E370" s="94"/>
      <c r="F370" s="95"/>
      <c r="G370" s="95"/>
      <c r="H370" s="95"/>
      <c r="I370" s="93"/>
      <c r="J370" s="93"/>
      <c r="K370" s="93"/>
      <c r="L370" s="93"/>
      <c r="M370" s="24"/>
      <c r="N370" s="25"/>
      <c r="O370" s="25"/>
      <c r="P370" s="25"/>
      <c r="Q370" s="25"/>
      <c r="R370" s="89"/>
      <c r="S370" s="93"/>
      <c r="T370" s="93"/>
      <c r="U370" s="93"/>
      <c r="V370" s="93"/>
      <c r="W370" s="95"/>
      <c r="X370" s="95"/>
      <c r="Y370" s="95"/>
      <c r="Z370" s="95"/>
      <c r="AA370" s="95"/>
      <c r="AB370" s="95"/>
      <c r="AC370" s="95"/>
      <c r="AD370" s="93"/>
      <c r="AE370" s="93"/>
      <c r="AF370" s="93"/>
      <c r="AG370" s="93"/>
    </row>
    <row r="371" spans="1:33">
      <c r="A371" s="94"/>
      <c r="B371" s="94"/>
      <c r="C371" s="94"/>
      <c r="D371" s="95"/>
      <c r="E371" s="94"/>
      <c r="F371" s="95"/>
      <c r="G371" s="95"/>
      <c r="H371" s="95"/>
      <c r="I371" s="93"/>
      <c r="J371" s="93"/>
      <c r="K371" s="93"/>
      <c r="L371" s="93"/>
      <c r="M371" s="24"/>
      <c r="N371" s="25"/>
      <c r="O371" s="25"/>
      <c r="P371" s="25"/>
      <c r="Q371" s="25"/>
      <c r="R371" s="89"/>
      <c r="S371" s="93"/>
      <c r="T371" s="93"/>
      <c r="U371" s="93"/>
      <c r="V371" s="93"/>
      <c r="W371" s="95"/>
      <c r="X371" s="95"/>
      <c r="Y371" s="95"/>
      <c r="Z371" s="95"/>
      <c r="AA371" s="95"/>
      <c r="AB371" s="95"/>
      <c r="AC371" s="95"/>
      <c r="AD371" s="93"/>
      <c r="AE371" s="93"/>
      <c r="AF371" s="93"/>
      <c r="AG371" s="93"/>
    </row>
    <row r="372" spans="1:33">
      <c r="A372" s="94"/>
      <c r="B372" s="94"/>
      <c r="C372" s="94"/>
      <c r="D372" s="95"/>
      <c r="E372" s="94"/>
      <c r="F372" s="95"/>
      <c r="G372" s="95"/>
      <c r="H372" s="95"/>
      <c r="I372" s="93"/>
      <c r="J372" s="93"/>
      <c r="K372" s="93"/>
      <c r="L372" s="93"/>
      <c r="M372" s="24"/>
      <c r="N372" s="25"/>
      <c r="O372" s="25"/>
      <c r="P372" s="25"/>
      <c r="Q372" s="25"/>
      <c r="R372" s="89"/>
      <c r="S372" s="93"/>
      <c r="T372" s="93"/>
      <c r="U372" s="93"/>
      <c r="V372" s="93"/>
      <c r="W372" s="95"/>
      <c r="X372" s="95"/>
      <c r="Y372" s="95"/>
      <c r="Z372" s="95"/>
      <c r="AA372" s="95"/>
      <c r="AB372" s="95"/>
      <c r="AC372" s="95"/>
      <c r="AD372" s="93"/>
      <c r="AE372" s="93"/>
      <c r="AF372" s="93"/>
      <c r="AG372" s="93"/>
    </row>
    <row r="373" spans="1:33">
      <c r="A373" s="94"/>
      <c r="B373" s="94"/>
      <c r="C373" s="94"/>
      <c r="D373" s="95"/>
      <c r="E373" s="94"/>
      <c r="F373" s="95"/>
      <c r="G373" s="95"/>
      <c r="H373" s="95"/>
      <c r="I373" s="93"/>
      <c r="J373" s="93"/>
      <c r="K373" s="93"/>
      <c r="L373" s="93"/>
      <c r="M373" s="24"/>
      <c r="N373" s="25"/>
      <c r="O373" s="25"/>
      <c r="P373" s="25"/>
      <c r="Q373" s="25"/>
      <c r="R373" s="89"/>
      <c r="S373" s="93"/>
      <c r="T373" s="93"/>
      <c r="U373" s="93"/>
      <c r="V373" s="93"/>
      <c r="W373" s="95"/>
      <c r="X373" s="95"/>
      <c r="Y373" s="95"/>
      <c r="Z373" s="95"/>
      <c r="AA373" s="95"/>
      <c r="AB373" s="95"/>
      <c r="AC373" s="95"/>
      <c r="AD373" s="93"/>
      <c r="AE373" s="93"/>
      <c r="AF373" s="93"/>
      <c r="AG373" s="93"/>
    </row>
    <row r="374" spans="1:33">
      <c r="A374" s="94"/>
      <c r="B374" s="94"/>
      <c r="C374" s="94"/>
      <c r="D374" s="95"/>
      <c r="E374" s="94"/>
      <c r="F374" s="95"/>
      <c r="G374" s="95"/>
      <c r="H374" s="95"/>
      <c r="I374" s="93"/>
      <c r="J374" s="93"/>
      <c r="K374" s="93"/>
      <c r="L374" s="93"/>
      <c r="M374" s="24"/>
      <c r="N374" s="25"/>
      <c r="O374" s="25"/>
      <c r="P374" s="25"/>
      <c r="Q374" s="25"/>
      <c r="R374" s="89"/>
      <c r="S374" s="93"/>
      <c r="T374" s="93"/>
      <c r="U374" s="93"/>
      <c r="V374" s="93"/>
      <c r="W374" s="95"/>
      <c r="X374" s="95"/>
      <c r="Y374" s="95"/>
      <c r="Z374" s="95"/>
      <c r="AA374" s="95"/>
      <c r="AB374" s="95"/>
      <c r="AC374" s="95"/>
      <c r="AD374" s="93"/>
      <c r="AE374" s="93"/>
      <c r="AF374" s="93"/>
      <c r="AG374" s="93"/>
    </row>
    <row r="375" spans="1:33">
      <c r="A375" s="94"/>
      <c r="B375" s="94"/>
      <c r="C375" s="94"/>
      <c r="D375" s="95"/>
      <c r="E375" s="94"/>
      <c r="F375" s="95"/>
      <c r="G375" s="95"/>
      <c r="H375" s="95"/>
      <c r="I375" s="93"/>
      <c r="J375" s="93"/>
      <c r="K375" s="93"/>
      <c r="L375" s="93"/>
      <c r="M375" s="24"/>
      <c r="N375" s="25"/>
      <c r="O375" s="25"/>
      <c r="P375" s="25"/>
      <c r="Q375" s="25"/>
      <c r="R375" s="89"/>
      <c r="S375" s="93"/>
      <c r="T375" s="93"/>
      <c r="U375" s="93"/>
      <c r="V375" s="93"/>
      <c r="W375" s="95"/>
      <c r="X375" s="95"/>
      <c r="Y375" s="95"/>
      <c r="Z375" s="95"/>
      <c r="AA375" s="95"/>
      <c r="AB375" s="95"/>
      <c r="AC375" s="95"/>
      <c r="AD375" s="93"/>
      <c r="AE375" s="93"/>
      <c r="AF375" s="93"/>
      <c r="AG375" s="93"/>
    </row>
    <row r="376" spans="1:33">
      <c r="A376" s="94"/>
      <c r="B376" s="94"/>
      <c r="C376" s="94"/>
      <c r="D376" s="95"/>
      <c r="E376" s="94"/>
      <c r="F376" s="95"/>
      <c r="G376" s="95"/>
      <c r="H376" s="95"/>
      <c r="I376" s="93"/>
      <c r="J376" s="93"/>
      <c r="K376" s="93"/>
      <c r="L376" s="93"/>
      <c r="M376" s="24"/>
      <c r="N376" s="25"/>
      <c r="O376" s="25"/>
      <c r="P376" s="25"/>
      <c r="Q376" s="25"/>
      <c r="R376" s="89"/>
      <c r="S376" s="93"/>
      <c r="T376" s="93"/>
      <c r="U376" s="93"/>
      <c r="V376" s="93"/>
      <c r="W376" s="95"/>
      <c r="X376" s="95"/>
      <c r="Y376" s="95"/>
      <c r="Z376" s="95"/>
      <c r="AA376" s="95"/>
      <c r="AB376" s="95"/>
      <c r="AC376" s="95"/>
      <c r="AD376" s="93"/>
      <c r="AE376" s="93"/>
      <c r="AF376" s="93"/>
      <c r="AG376" s="93"/>
    </row>
    <row r="377" spans="1:33">
      <c r="A377" s="94"/>
      <c r="B377" s="94"/>
      <c r="C377" s="94"/>
      <c r="D377" s="95"/>
      <c r="E377" s="94"/>
      <c r="F377" s="95"/>
      <c r="G377" s="95"/>
      <c r="H377" s="95"/>
      <c r="I377" s="93"/>
      <c r="J377" s="93"/>
      <c r="K377" s="93"/>
      <c r="L377" s="93"/>
      <c r="M377" s="24"/>
      <c r="N377" s="25"/>
      <c r="O377" s="25"/>
      <c r="P377" s="25"/>
      <c r="Q377" s="25"/>
      <c r="R377" s="89"/>
      <c r="S377" s="93"/>
      <c r="T377" s="93"/>
      <c r="U377" s="93"/>
      <c r="V377" s="93"/>
      <c r="W377" s="95"/>
      <c r="X377" s="95"/>
      <c r="Y377" s="95"/>
      <c r="Z377" s="95"/>
      <c r="AA377" s="95"/>
      <c r="AB377" s="95"/>
      <c r="AC377" s="95"/>
      <c r="AD377" s="93"/>
      <c r="AE377" s="93"/>
      <c r="AF377" s="93"/>
      <c r="AG377" s="93"/>
    </row>
    <row r="378" spans="1:33">
      <c r="A378" s="94"/>
      <c r="B378" s="94"/>
      <c r="C378" s="94"/>
      <c r="D378" s="95"/>
      <c r="E378" s="94"/>
      <c r="F378" s="95"/>
      <c r="G378" s="95"/>
      <c r="H378" s="95"/>
      <c r="I378" s="93"/>
      <c r="J378" s="93"/>
      <c r="K378" s="93"/>
      <c r="L378" s="93"/>
      <c r="M378" s="24"/>
      <c r="N378" s="25"/>
      <c r="O378" s="25"/>
      <c r="P378" s="25"/>
      <c r="Q378" s="25"/>
      <c r="R378" s="89"/>
      <c r="S378" s="93"/>
      <c r="T378" s="93"/>
      <c r="U378" s="93"/>
      <c r="V378" s="93"/>
      <c r="W378" s="95"/>
      <c r="X378" s="95"/>
      <c r="Y378" s="95"/>
      <c r="Z378" s="95"/>
      <c r="AA378" s="95"/>
      <c r="AB378" s="95"/>
      <c r="AC378" s="95"/>
      <c r="AD378" s="93"/>
      <c r="AE378" s="93"/>
      <c r="AF378" s="93"/>
      <c r="AG378" s="93"/>
    </row>
    <row r="379" spans="1:33">
      <c r="A379" s="94"/>
      <c r="B379" s="94"/>
      <c r="C379" s="94"/>
      <c r="D379" s="95"/>
      <c r="E379" s="94"/>
      <c r="F379" s="95"/>
      <c r="G379" s="95"/>
      <c r="H379" s="95"/>
      <c r="I379" s="93"/>
      <c r="J379" s="93"/>
      <c r="K379" s="93"/>
      <c r="L379" s="93"/>
      <c r="M379" s="24"/>
      <c r="N379" s="25"/>
      <c r="O379" s="25"/>
      <c r="P379" s="25"/>
      <c r="Q379" s="25"/>
      <c r="R379" s="89"/>
      <c r="S379" s="93"/>
      <c r="T379" s="93"/>
      <c r="U379" s="93"/>
      <c r="V379" s="93"/>
      <c r="W379" s="95"/>
      <c r="X379" s="95"/>
      <c r="Y379" s="95"/>
      <c r="Z379" s="95"/>
      <c r="AA379" s="95"/>
      <c r="AB379" s="95"/>
      <c r="AC379" s="95"/>
      <c r="AD379" s="93"/>
      <c r="AE379" s="93"/>
      <c r="AF379" s="93"/>
      <c r="AG379" s="93"/>
    </row>
    <row r="380" spans="1:33">
      <c r="A380" s="94"/>
      <c r="B380" s="94"/>
      <c r="C380" s="94"/>
      <c r="D380" s="95"/>
      <c r="E380" s="94"/>
      <c r="F380" s="95"/>
      <c r="G380" s="95"/>
      <c r="H380" s="95"/>
      <c r="I380" s="93"/>
      <c r="J380" s="93"/>
      <c r="K380" s="93"/>
      <c r="L380" s="93"/>
      <c r="M380" s="24"/>
      <c r="N380" s="25"/>
      <c r="O380" s="25"/>
      <c r="P380" s="25"/>
      <c r="Q380" s="25"/>
      <c r="R380" s="89"/>
      <c r="S380" s="93"/>
      <c r="T380" s="93"/>
      <c r="U380" s="93"/>
      <c r="V380" s="93"/>
      <c r="W380" s="95"/>
      <c r="X380" s="95"/>
      <c r="Y380" s="95"/>
      <c r="Z380" s="95"/>
      <c r="AA380" s="95"/>
      <c r="AB380" s="95"/>
      <c r="AC380" s="95"/>
      <c r="AD380" s="93"/>
      <c r="AE380" s="93"/>
      <c r="AF380" s="93"/>
      <c r="AG380" s="93"/>
    </row>
    <row r="381" spans="1:33">
      <c r="A381" s="94"/>
      <c r="B381" s="94"/>
      <c r="C381" s="94"/>
      <c r="D381" s="95"/>
      <c r="E381" s="94"/>
      <c r="F381" s="95"/>
      <c r="G381" s="95"/>
      <c r="H381" s="95"/>
      <c r="I381" s="93"/>
      <c r="J381" s="93"/>
      <c r="K381" s="93"/>
      <c r="L381" s="93"/>
      <c r="M381" s="24"/>
      <c r="N381" s="25"/>
      <c r="O381" s="25"/>
      <c r="P381" s="25"/>
      <c r="Q381" s="25"/>
      <c r="R381" s="89"/>
      <c r="S381" s="93"/>
      <c r="T381" s="93"/>
      <c r="U381" s="93"/>
      <c r="V381" s="93"/>
      <c r="W381" s="95"/>
      <c r="X381" s="95"/>
      <c r="Y381" s="95"/>
      <c r="Z381" s="95"/>
      <c r="AA381" s="95"/>
      <c r="AB381" s="95"/>
      <c r="AC381" s="95"/>
      <c r="AD381" s="93"/>
      <c r="AE381" s="93"/>
      <c r="AF381" s="93"/>
      <c r="AG381" s="93"/>
    </row>
    <row r="382" spans="1:33">
      <c r="A382" s="94"/>
      <c r="B382" s="94"/>
      <c r="C382" s="94"/>
      <c r="D382" s="95"/>
      <c r="E382" s="94"/>
      <c r="F382" s="95"/>
      <c r="G382" s="95"/>
      <c r="H382" s="95"/>
      <c r="I382" s="93"/>
      <c r="J382" s="93"/>
      <c r="K382" s="93"/>
      <c r="L382" s="93"/>
      <c r="M382" s="24"/>
      <c r="N382" s="25"/>
      <c r="O382" s="25"/>
      <c r="P382" s="25"/>
      <c r="Q382" s="25"/>
      <c r="R382" s="89"/>
      <c r="S382" s="93"/>
      <c r="T382" s="93"/>
      <c r="U382" s="93"/>
      <c r="V382" s="93"/>
      <c r="W382" s="95"/>
      <c r="X382" s="95"/>
      <c r="Y382" s="95"/>
      <c r="Z382" s="95"/>
      <c r="AA382" s="95"/>
      <c r="AB382" s="95"/>
      <c r="AC382" s="95"/>
      <c r="AD382" s="93"/>
      <c r="AE382" s="93"/>
      <c r="AF382" s="93"/>
      <c r="AG382" s="93"/>
    </row>
    <row r="383" spans="1:33">
      <c r="A383" s="94"/>
      <c r="B383" s="94"/>
      <c r="C383" s="94"/>
      <c r="D383" s="95"/>
      <c r="E383" s="94"/>
      <c r="F383" s="95"/>
      <c r="G383" s="95"/>
      <c r="H383" s="95"/>
      <c r="I383" s="93"/>
      <c r="J383" s="93"/>
      <c r="K383" s="93"/>
      <c r="L383" s="93"/>
      <c r="M383" s="24"/>
      <c r="N383" s="25"/>
      <c r="O383" s="25"/>
      <c r="P383" s="25"/>
      <c r="Q383" s="25"/>
      <c r="R383" s="89"/>
      <c r="S383" s="93"/>
      <c r="T383" s="93"/>
      <c r="U383" s="93"/>
      <c r="V383" s="93"/>
      <c r="W383" s="95"/>
      <c r="X383" s="95"/>
      <c r="Y383" s="95"/>
      <c r="Z383" s="95"/>
      <c r="AA383" s="95"/>
      <c r="AB383" s="95"/>
      <c r="AC383" s="95"/>
      <c r="AD383" s="93"/>
      <c r="AE383" s="93"/>
      <c r="AF383" s="93"/>
      <c r="AG383" s="93"/>
    </row>
    <row r="384" spans="1:33">
      <c r="A384" s="94"/>
      <c r="B384" s="94"/>
      <c r="C384" s="94"/>
      <c r="D384" s="95"/>
      <c r="E384" s="94"/>
      <c r="F384" s="95"/>
      <c r="G384" s="95"/>
      <c r="H384" s="95"/>
      <c r="I384" s="93"/>
      <c r="J384" s="93"/>
      <c r="K384" s="93"/>
      <c r="L384" s="93"/>
      <c r="M384" s="24"/>
      <c r="N384" s="25"/>
      <c r="O384" s="25"/>
      <c r="P384" s="25"/>
      <c r="Q384" s="25"/>
      <c r="R384" s="89"/>
      <c r="S384" s="93"/>
      <c r="T384" s="93"/>
      <c r="U384" s="93"/>
      <c r="V384" s="93"/>
      <c r="W384" s="95"/>
      <c r="X384" s="95"/>
      <c r="Y384" s="95"/>
      <c r="Z384" s="95"/>
      <c r="AA384" s="95"/>
      <c r="AB384" s="95"/>
      <c r="AC384" s="95"/>
      <c r="AD384" s="93"/>
      <c r="AE384" s="93"/>
      <c r="AF384" s="93"/>
      <c r="AG384" s="93"/>
    </row>
    <row r="385" spans="1:33">
      <c r="A385" s="94"/>
      <c r="B385" s="94"/>
      <c r="C385" s="94"/>
      <c r="D385" s="95"/>
      <c r="E385" s="94"/>
      <c r="F385" s="95"/>
      <c r="G385" s="95"/>
      <c r="H385" s="95"/>
      <c r="I385" s="93"/>
      <c r="J385" s="93"/>
      <c r="K385" s="93"/>
      <c r="L385" s="93"/>
      <c r="M385" s="24"/>
      <c r="N385" s="25"/>
      <c r="O385" s="25"/>
      <c r="P385" s="25"/>
      <c r="Q385" s="25"/>
      <c r="R385" s="89"/>
      <c r="S385" s="93"/>
      <c r="T385" s="93"/>
      <c r="U385" s="93"/>
      <c r="V385" s="93"/>
      <c r="W385" s="95"/>
      <c r="X385" s="95"/>
      <c r="Y385" s="95"/>
      <c r="Z385" s="95"/>
      <c r="AA385" s="95"/>
      <c r="AB385" s="95"/>
      <c r="AC385" s="95"/>
      <c r="AD385" s="93"/>
      <c r="AE385" s="93"/>
      <c r="AF385" s="93"/>
      <c r="AG385" s="93"/>
    </row>
    <row r="386" spans="1:33">
      <c r="A386" s="94"/>
      <c r="B386" s="94"/>
      <c r="C386" s="94"/>
      <c r="D386" s="95"/>
      <c r="E386" s="94"/>
      <c r="F386" s="95"/>
      <c r="G386" s="95"/>
      <c r="H386" s="95"/>
      <c r="I386" s="93"/>
      <c r="J386" s="93"/>
      <c r="K386" s="93"/>
      <c r="L386" s="93"/>
      <c r="M386" s="24"/>
      <c r="N386" s="25"/>
      <c r="O386" s="25"/>
      <c r="P386" s="25"/>
      <c r="Q386" s="25"/>
      <c r="R386" s="89"/>
      <c r="S386" s="93"/>
      <c r="T386" s="93"/>
      <c r="U386" s="93"/>
      <c r="V386" s="93"/>
      <c r="W386" s="95"/>
      <c r="X386" s="95"/>
      <c r="Y386" s="95"/>
      <c r="Z386" s="95"/>
      <c r="AA386" s="95"/>
      <c r="AB386" s="95"/>
      <c r="AC386" s="95"/>
      <c r="AD386" s="93"/>
      <c r="AE386" s="93"/>
      <c r="AF386" s="93"/>
      <c r="AG386" s="93"/>
    </row>
    <row r="387" spans="1:33">
      <c r="A387" s="94"/>
      <c r="B387" s="94"/>
      <c r="C387" s="94"/>
      <c r="D387" s="95"/>
      <c r="E387" s="94"/>
      <c r="F387" s="95"/>
      <c r="G387" s="95"/>
      <c r="H387" s="95"/>
      <c r="I387" s="93"/>
      <c r="J387" s="93"/>
      <c r="K387" s="93"/>
      <c r="L387" s="93"/>
      <c r="M387" s="24"/>
      <c r="N387" s="25"/>
      <c r="O387" s="25"/>
      <c r="P387" s="25"/>
      <c r="Q387" s="25"/>
      <c r="R387" s="89"/>
      <c r="S387" s="93"/>
      <c r="T387" s="93"/>
      <c r="U387" s="93"/>
      <c r="V387" s="93"/>
      <c r="W387" s="95"/>
      <c r="X387" s="95"/>
      <c r="Y387" s="95"/>
      <c r="Z387" s="95"/>
      <c r="AA387" s="95"/>
      <c r="AB387" s="95"/>
      <c r="AC387" s="95"/>
      <c r="AD387" s="93"/>
      <c r="AE387" s="93"/>
      <c r="AF387" s="93"/>
      <c r="AG387" s="93"/>
    </row>
    <row r="388" spans="1:33">
      <c r="A388" s="94"/>
      <c r="B388" s="94"/>
      <c r="C388" s="94"/>
      <c r="D388" s="95"/>
      <c r="E388" s="94"/>
      <c r="F388" s="95"/>
      <c r="G388" s="95"/>
      <c r="H388" s="95"/>
      <c r="I388" s="93"/>
      <c r="J388" s="93"/>
      <c r="K388" s="93"/>
      <c r="L388" s="93"/>
      <c r="M388" s="24"/>
      <c r="N388" s="25"/>
      <c r="O388" s="25"/>
      <c r="P388" s="25"/>
      <c r="Q388" s="25"/>
      <c r="R388" s="89"/>
      <c r="S388" s="93"/>
      <c r="T388" s="93"/>
      <c r="U388" s="93"/>
      <c r="V388" s="93"/>
      <c r="W388" s="95"/>
      <c r="X388" s="95"/>
      <c r="Y388" s="95"/>
      <c r="Z388" s="95"/>
      <c r="AA388" s="95"/>
      <c r="AB388" s="95"/>
      <c r="AC388" s="95"/>
      <c r="AD388" s="93"/>
      <c r="AE388" s="93"/>
      <c r="AF388" s="93"/>
      <c r="AG388" s="93"/>
    </row>
    <row r="389" spans="1:33">
      <c r="A389" s="94"/>
      <c r="B389" s="94"/>
      <c r="C389" s="94"/>
      <c r="D389" s="95"/>
      <c r="E389" s="94"/>
      <c r="F389" s="95"/>
      <c r="G389" s="95"/>
      <c r="H389" s="95"/>
      <c r="I389" s="93"/>
      <c r="J389" s="93"/>
      <c r="K389" s="93"/>
      <c r="L389" s="93"/>
      <c r="M389" s="24"/>
      <c r="N389" s="25"/>
      <c r="O389" s="25"/>
      <c r="P389" s="25"/>
      <c r="Q389" s="25"/>
      <c r="R389" s="89"/>
      <c r="S389" s="93"/>
      <c r="T389" s="93"/>
      <c r="U389" s="93"/>
      <c r="V389" s="93"/>
      <c r="W389" s="95"/>
      <c r="X389" s="95"/>
      <c r="Y389" s="95"/>
      <c r="Z389" s="95"/>
      <c r="AA389" s="95"/>
      <c r="AB389" s="95"/>
      <c r="AC389" s="95"/>
      <c r="AD389" s="93"/>
      <c r="AE389" s="93"/>
      <c r="AF389" s="93"/>
      <c r="AG389" s="93"/>
    </row>
    <row r="390" spans="1:33">
      <c r="A390" s="94"/>
      <c r="B390" s="94"/>
      <c r="C390" s="94"/>
      <c r="D390" s="95"/>
      <c r="E390" s="94"/>
      <c r="F390" s="95"/>
      <c r="G390" s="95"/>
      <c r="H390" s="95"/>
      <c r="I390" s="93"/>
      <c r="J390" s="93"/>
      <c r="K390" s="93"/>
      <c r="L390" s="93"/>
      <c r="M390" s="24"/>
      <c r="N390" s="25"/>
      <c r="O390" s="25"/>
      <c r="P390" s="25"/>
      <c r="Q390" s="25"/>
      <c r="R390" s="89"/>
      <c r="S390" s="93"/>
      <c r="T390" s="93"/>
      <c r="U390" s="93"/>
      <c r="V390" s="93"/>
      <c r="W390" s="95"/>
      <c r="X390" s="95"/>
      <c r="Y390" s="95"/>
      <c r="Z390" s="95"/>
      <c r="AA390" s="95"/>
      <c r="AB390" s="95"/>
      <c r="AC390" s="95"/>
      <c r="AD390" s="93"/>
      <c r="AE390" s="93"/>
      <c r="AF390" s="93"/>
      <c r="AG390" s="93"/>
    </row>
    <row r="391" spans="1:33">
      <c r="A391" s="94"/>
      <c r="B391" s="94"/>
      <c r="C391" s="94"/>
      <c r="D391" s="95"/>
      <c r="E391" s="94"/>
      <c r="F391" s="95"/>
      <c r="G391" s="95"/>
      <c r="H391" s="95"/>
      <c r="I391" s="93"/>
      <c r="J391" s="93"/>
      <c r="K391" s="93"/>
      <c r="L391" s="93"/>
      <c r="M391" s="24"/>
      <c r="N391" s="25"/>
      <c r="O391" s="25"/>
      <c r="P391" s="25"/>
      <c r="Q391" s="25"/>
      <c r="R391" s="89"/>
      <c r="S391" s="93"/>
      <c r="T391" s="93"/>
      <c r="U391" s="93"/>
      <c r="V391" s="93"/>
      <c r="W391" s="95"/>
      <c r="X391" s="95"/>
      <c r="Y391" s="95"/>
      <c r="Z391" s="95"/>
      <c r="AA391" s="95"/>
      <c r="AB391" s="95"/>
      <c r="AC391" s="95"/>
      <c r="AD391" s="93"/>
      <c r="AE391" s="93"/>
      <c r="AF391" s="93"/>
      <c r="AG391" s="93"/>
    </row>
    <row r="392" spans="1:33">
      <c r="A392" s="94"/>
      <c r="B392" s="94"/>
      <c r="C392" s="94"/>
      <c r="D392" s="95"/>
      <c r="E392" s="94"/>
      <c r="F392" s="95"/>
      <c r="G392" s="95"/>
      <c r="H392" s="95"/>
      <c r="I392" s="93"/>
      <c r="J392" s="93"/>
      <c r="K392" s="93"/>
      <c r="L392" s="93"/>
      <c r="M392" s="24"/>
      <c r="N392" s="25"/>
      <c r="O392" s="25"/>
      <c r="P392" s="25"/>
      <c r="Q392" s="25"/>
      <c r="R392" s="89"/>
      <c r="S392" s="93"/>
      <c r="T392" s="93"/>
      <c r="U392" s="93"/>
      <c r="V392" s="93"/>
      <c r="W392" s="95"/>
      <c r="X392" s="95"/>
      <c r="Y392" s="95"/>
      <c r="Z392" s="95"/>
      <c r="AA392" s="95"/>
      <c r="AB392" s="95"/>
      <c r="AC392" s="95"/>
      <c r="AD392" s="93"/>
      <c r="AE392" s="93"/>
      <c r="AF392" s="93"/>
      <c r="AG392" s="93"/>
    </row>
    <row r="393" spans="1:33">
      <c r="A393" s="94"/>
      <c r="B393" s="94"/>
      <c r="C393" s="94"/>
      <c r="D393" s="95"/>
      <c r="E393" s="94"/>
      <c r="F393" s="95"/>
      <c r="G393" s="95"/>
      <c r="H393" s="95"/>
      <c r="I393" s="93"/>
      <c r="J393" s="93"/>
      <c r="K393" s="93"/>
      <c r="L393" s="93"/>
      <c r="M393" s="24"/>
      <c r="N393" s="25"/>
      <c r="O393" s="25"/>
      <c r="P393" s="25"/>
      <c r="Q393" s="25"/>
      <c r="R393" s="89"/>
      <c r="S393" s="93"/>
      <c r="T393" s="93"/>
      <c r="U393" s="93"/>
      <c r="V393" s="93"/>
      <c r="W393" s="95"/>
      <c r="X393" s="95"/>
      <c r="Y393" s="95"/>
      <c r="Z393" s="95"/>
      <c r="AA393" s="95"/>
      <c r="AB393" s="95"/>
      <c r="AC393" s="95"/>
      <c r="AD393" s="93"/>
      <c r="AE393" s="93"/>
      <c r="AF393" s="93"/>
      <c r="AG393" s="93"/>
    </row>
    <row r="394" spans="1:33">
      <c r="A394" s="94"/>
      <c r="B394" s="94"/>
      <c r="C394" s="94"/>
      <c r="D394" s="95"/>
      <c r="E394" s="94"/>
      <c r="F394" s="95"/>
      <c r="G394" s="95"/>
      <c r="H394" s="95"/>
      <c r="I394" s="93"/>
      <c r="J394" s="93"/>
      <c r="K394" s="93"/>
      <c r="L394" s="93"/>
      <c r="M394" s="24"/>
      <c r="N394" s="25"/>
      <c r="O394" s="25"/>
      <c r="P394" s="25"/>
      <c r="Q394" s="25"/>
      <c r="R394" s="89"/>
      <c r="S394" s="93"/>
      <c r="T394" s="93"/>
      <c r="U394" s="93"/>
      <c r="V394" s="93"/>
      <c r="W394" s="95"/>
      <c r="X394" s="95"/>
      <c r="Y394" s="95"/>
      <c r="Z394" s="95"/>
      <c r="AA394" s="95"/>
      <c r="AB394" s="95"/>
      <c r="AC394" s="95"/>
      <c r="AD394" s="93"/>
      <c r="AE394" s="93"/>
      <c r="AF394" s="93"/>
      <c r="AG394" s="93"/>
    </row>
    <row r="395" spans="1:33">
      <c r="A395" s="94"/>
      <c r="B395" s="94"/>
      <c r="C395" s="94"/>
      <c r="D395" s="95"/>
      <c r="E395" s="94"/>
      <c r="F395" s="95"/>
      <c r="G395" s="95"/>
      <c r="H395" s="95"/>
      <c r="I395" s="93"/>
      <c r="J395" s="93"/>
      <c r="K395" s="93"/>
      <c r="L395" s="93"/>
      <c r="M395" s="24"/>
      <c r="N395" s="25"/>
      <c r="O395" s="25"/>
      <c r="P395" s="25"/>
      <c r="Q395" s="25"/>
      <c r="R395" s="89"/>
      <c r="S395" s="93"/>
      <c r="T395" s="93"/>
      <c r="U395" s="93"/>
      <c r="V395" s="93"/>
      <c r="W395" s="95"/>
      <c r="X395" s="95"/>
      <c r="Y395" s="95"/>
      <c r="Z395" s="95"/>
      <c r="AA395" s="95"/>
      <c r="AB395" s="95"/>
      <c r="AC395" s="95"/>
      <c r="AD395" s="93"/>
      <c r="AE395" s="93"/>
      <c r="AF395" s="93"/>
      <c r="AG395" s="93"/>
    </row>
    <row r="396" spans="1:33">
      <c r="A396" s="94"/>
      <c r="B396" s="94"/>
      <c r="C396" s="94"/>
      <c r="D396" s="95"/>
      <c r="E396" s="94"/>
      <c r="F396" s="95"/>
      <c r="G396" s="95"/>
      <c r="H396" s="95"/>
      <c r="I396" s="93"/>
      <c r="J396" s="93"/>
      <c r="K396" s="93"/>
      <c r="L396" s="93"/>
      <c r="M396" s="24"/>
      <c r="N396" s="25"/>
      <c r="O396" s="25"/>
      <c r="P396" s="25"/>
      <c r="Q396" s="25"/>
      <c r="R396" s="89"/>
      <c r="S396" s="93"/>
      <c r="T396" s="93"/>
      <c r="U396" s="93"/>
      <c r="V396" s="93"/>
      <c r="W396" s="95"/>
      <c r="X396" s="95"/>
      <c r="Y396" s="95"/>
      <c r="Z396" s="95"/>
      <c r="AA396" s="95"/>
      <c r="AB396" s="95"/>
      <c r="AC396" s="95"/>
      <c r="AD396" s="93"/>
      <c r="AE396" s="93"/>
      <c r="AF396" s="93"/>
      <c r="AG396" s="93"/>
    </row>
    <row r="397" spans="1:33">
      <c r="A397" s="94"/>
      <c r="B397" s="94"/>
      <c r="C397" s="94"/>
      <c r="D397" s="95"/>
      <c r="E397" s="94"/>
      <c r="F397" s="95"/>
      <c r="G397" s="95"/>
      <c r="H397" s="95"/>
      <c r="I397" s="93"/>
      <c r="J397" s="93"/>
      <c r="K397" s="93"/>
      <c r="L397" s="93"/>
      <c r="M397" s="24"/>
      <c r="N397" s="25"/>
      <c r="O397" s="25"/>
      <c r="P397" s="25"/>
      <c r="Q397" s="25"/>
      <c r="R397" s="89"/>
      <c r="S397" s="93"/>
      <c r="T397" s="93"/>
      <c r="U397" s="93"/>
      <c r="V397" s="93"/>
      <c r="W397" s="95"/>
      <c r="X397" s="95"/>
      <c r="Y397" s="95"/>
      <c r="Z397" s="95"/>
      <c r="AA397" s="95"/>
      <c r="AB397" s="95"/>
      <c r="AC397" s="95"/>
      <c r="AD397" s="93"/>
      <c r="AE397" s="93"/>
      <c r="AF397" s="93"/>
      <c r="AG397" s="93"/>
    </row>
    <row r="398" spans="1:33">
      <c r="A398" s="94"/>
      <c r="B398" s="94"/>
      <c r="C398" s="94"/>
      <c r="D398" s="95"/>
      <c r="E398" s="94"/>
      <c r="F398" s="95"/>
      <c r="G398" s="95"/>
      <c r="H398" s="95"/>
      <c r="I398" s="93"/>
      <c r="J398" s="93"/>
      <c r="K398" s="93"/>
      <c r="L398" s="93"/>
      <c r="M398" s="24"/>
      <c r="N398" s="25"/>
      <c r="O398" s="25"/>
      <c r="P398" s="25"/>
      <c r="Q398" s="25"/>
      <c r="R398" s="89"/>
      <c r="S398" s="93"/>
      <c r="T398" s="93"/>
      <c r="U398" s="93"/>
      <c r="V398" s="93"/>
      <c r="W398" s="95"/>
      <c r="X398" s="95"/>
      <c r="Y398" s="95"/>
      <c r="Z398" s="95"/>
      <c r="AA398" s="95"/>
      <c r="AB398" s="95"/>
      <c r="AC398" s="95"/>
      <c r="AD398" s="93"/>
      <c r="AE398" s="93"/>
      <c r="AF398" s="93"/>
      <c r="AG398" s="93"/>
    </row>
    <row r="399" spans="1:33">
      <c r="A399" s="94"/>
      <c r="B399" s="94"/>
      <c r="C399" s="94"/>
      <c r="D399" s="95"/>
      <c r="E399" s="94"/>
      <c r="F399" s="95"/>
      <c r="G399" s="95"/>
      <c r="H399" s="95"/>
      <c r="I399" s="93"/>
      <c r="J399" s="93"/>
      <c r="K399" s="93"/>
      <c r="L399" s="93"/>
      <c r="M399" s="24"/>
      <c r="N399" s="25"/>
      <c r="O399" s="25"/>
      <c r="P399" s="25"/>
      <c r="Q399" s="25"/>
      <c r="R399" s="89"/>
      <c r="S399" s="93"/>
      <c r="T399" s="93"/>
      <c r="U399" s="93"/>
      <c r="V399" s="93"/>
      <c r="W399" s="95"/>
      <c r="X399" s="95"/>
      <c r="Y399" s="95"/>
      <c r="Z399" s="95"/>
      <c r="AA399" s="95"/>
      <c r="AB399" s="95"/>
      <c r="AC399" s="95"/>
      <c r="AD399" s="93"/>
      <c r="AE399" s="93"/>
      <c r="AF399" s="93"/>
      <c r="AG399" s="93"/>
    </row>
    <row r="400" spans="1:33">
      <c r="A400" s="94"/>
      <c r="B400" s="94"/>
      <c r="C400" s="94"/>
      <c r="D400" s="95"/>
      <c r="E400" s="94"/>
      <c r="F400" s="95"/>
      <c r="G400" s="95"/>
      <c r="H400" s="95"/>
      <c r="I400" s="93"/>
      <c r="J400" s="93"/>
      <c r="K400" s="93"/>
      <c r="L400" s="93"/>
      <c r="M400" s="24"/>
      <c r="N400" s="25"/>
      <c r="O400" s="25"/>
      <c r="P400" s="25"/>
      <c r="Q400" s="25"/>
      <c r="R400" s="89"/>
      <c r="S400" s="93"/>
      <c r="T400" s="93"/>
      <c r="U400" s="93"/>
      <c r="V400" s="93"/>
      <c r="W400" s="95"/>
      <c r="X400" s="95"/>
      <c r="Y400" s="95"/>
      <c r="Z400" s="95"/>
      <c r="AA400" s="95"/>
      <c r="AB400" s="95"/>
      <c r="AC400" s="95"/>
      <c r="AD400" s="93"/>
      <c r="AE400" s="93"/>
      <c r="AF400" s="93"/>
      <c r="AG400" s="93"/>
    </row>
    <row r="401" spans="1:33">
      <c r="A401" s="94"/>
      <c r="B401" s="94"/>
      <c r="C401" s="94"/>
      <c r="D401" s="95"/>
      <c r="E401" s="94"/>
      <c r="F401" s="95"/>
      <c r="G401" s="95"/>
      <c r="H401" s="95"/>
      <c r="I401" s="93"/>
      <c r="J401" s="93"/>
      <c r="K401" s="93"/>
      <c r="L401" s="93"/>
      <c r="M401" s="24"/>
      <c r="N401" s="25"/>
      <c r="O401" s="25"/>
      <c r="P401" s="25"/>
      <c r="Q401" s="25"/>
      <c r="R401" s="89"/>
      <c r="S401" s="93"/>
      <c r="T401" s="93"/>
      <c r="U401" s="93"/>
      <c r="V401" s="93"/>
      <c r="W401" s="95"/>
      <c r="X401" s="95"/>
      <c r="Y401" s="95"/>
      <c r="Z401" s="95"/>
      <c r="AA401" s="95"/>
      <c r="AB401" s="95"/>
      <c r="AC401" s="95"/>
      <c r="AD401" s="93"/>
      <c r="AE401" s="93"/>
      <c r="AF401" s="93"/>
      <c r="AG401" s="93"/>
    </row>
    <row r="402" spans="1:33">
      <c r="A402" s="94"/>
      <c r="B402" s="94"/>
      <c r="C402" s="94"/>
      <c r="D402" s="95"/>
      <c r="E402" s="94"/>
      <c r="F402" s="95"/>
      <c r="G402" s="95"/>
      <c r="H402" s="95"/>
      <c r="I402" s="93"/>
      <c r="J402" s="93"/>
      <c r="K402" s="93"/>
      <c r="L402" s="93"/>
      <c r="M402" s="24"/>
      <c r="N402" s="25"/>
      <c r="O402" s="25"/>
      <c r="P402" s="25"/>
      <c r="Q402" s="25"/>
      <c r="R402" s="89"/>
      <c r="S402" s="93"/>
      <c r="T402" s="93"/>
      <c r="U402" s="93"/>
      <c r="V402" s="93"/>
      <c r="W402" s="95"/>
      <c r="X402" s="95"/>
      <c r="Y402" s="95"/>
      <c r="Z402" s="95"/>
      <c r="AA402" s="95"/>
      <c r="AB402" s="95"/>
      <c r="AC402" s="95"/>
      <c r="AD402" s="93"/>
      <c r="AE402" s="93"/>
      <c r="AF402" s="93"/>
      <c r="AG402" s="93"/>
    </row>
    <row r="403" spans="1:33">
      <c r="A403" s="94"/>
      <c r="B403" s="94"/>
      <c r="C403" s="94"/>
      <c r="D403" s="95"/>
      <c r="E403" s="94"/>
      <c r="F403" s="95"/>
      <c r="G403" s="95"/>
      <c r="H403" s="95"/>
      <c r="I403" s="93"/>
      <c r="J403" s="93"/>
      <c r="K403" s="93"/>
      <c r="L403" s="93"/>
      <c r="M403" s="24"/>
      <c r="N403" s="25"/>
      <c r="O403" s="25"/>
      <c r="P403" s="25"/>
      <c r="Q403" s="25"/>
      <c r="R403" s="89"/>
      <c r="S403" s="93"/>
      <c r="T403" s="93"/>
      <c r="U403" s="93"/>
      <c r="V403" s="93"/>
      <c r="W403" s="95"/>
      <c r="X403" s="95"/>
      <c r="Y403" s="95"/>
      <c r="Z403" s="95"/>
      <c r="AA403" s="95"/>
      <c r="AB403" s="95"/>
      <c r="AC403" s="95"/>
      <c r="AD403" s="93"/>
      <c r="AE403" s="93"/>
      <c r="AF403" s="93"/>
      <c r="AG403" s="93"/>
    </row>
    <row r="404" spans="1:33">
      <c r="A404" s="94"/>
      <c r="B404" s="94"/>
      <c r="C404" s="94"/>
      <c r="D404" s="95"/>
      <c r="E404" s="94"/>
      <c r="F404" s="95"/>
      <c r="G404" s="95"/>
      <c r="H404" s="95"/>
      <c r="I404" s="93"/>
      <c r="J404" s="93"/>
      <c r="K404" s="93"/>
      <c r="L404" s="93"/>
      <c r="M404" s="24"/>
      <c r="N404" s="25"/>
      <c r="O404" s="25"/>
      <c r="P404" s="25"/>
      <c r="Q404" s="25"/>
      <c r="R404" s="89"/>
      <c r="S404" s="93"/>
      <c r="T404" s="93"/>
      <c r="U404" s="93"/>
      <c r="V404" s="93"/>
      <c r="W404" s="95"/>
      <c r="X404" s="95"/>
      <c r="Y404" s="95"/>
      <c r="Z404" s="95"/>
      <c r="AA404" s="95"/>
      <c r="AB404" s="95"/>
      <c r="AC404" s="95"/>
      <c r="AD404" s="93"/>
      <c r="AE404" s="93"/>
      <c r="AF404" s="93"/>
      <c r="AG404" s="93"/>
    </row>
    <row r="405" spans="1:33">
      <c r="A405" s="94"/>
      <c r="B405" s="94"/>
      <c r="C405" s="94"/>
      <c r="D405" s="95"/>
      <c r="E405" s="94"/>
      <c r="F405" s="95"/>
      <c r="G405" s="95"/>
      <c r="H405" s="95"/>
      <c r="I405" s="93"/>
      <c r="J405" s="93"/>
      <c r="K405" s="93"/>
      <c r="L405" s="93"/>
      <c r="M405" s="24"/>
      <c r="N405" s="25"/>
      <c r="O405" s="25"/>
      <c r="P405" s="25"/>
      <c r="Q405" s="25"/>
      <c r="R405" s="89"/>
      <c r="S405" s="93"/>
      <c r="T405" s="93"/>
      <c r="U405" s="93"/>
      <c r="V405" s="93"/>
      <c r="W405" s="95"/>
      <c r="X405" s="95"/>
      <c r="Y405" s="95"/>
      <c r="Z405" s="95"/>
      <c r="AA405" s="95"/>
      <c r="AB405" s="95"/>
      <c r="AC405" s="95"/>
      <c r="AD405" s="93"/>
      <c r="AE405" s="93"/>
      <c r="AF405" s="93"/>
      <c r="AG405" s="93"/>
    </row>
    <row r="406" spans="1:33">
      <c r="A406" s="94"/>
      <c r="B406" s="94"/>
      <c r="C406" s="94"/>
      <c r="D406" s="95"/>
      <c r="E406" s="94"/>
      <c r="F406" s="95"/>
      <c r="G406" s="95"/>
      <c r="H406" s="95"/>
      <c r="I406" s="93"/>
      <c r="J406" s="93"/>
      <c r="K406" s="93"/>
      <c r="L406" s="93"/>
      <c r="M406" s="24"/>
      <c r="N406" s="25"/>
      <c r="O406" s="25"/>
      <c r="P406" s="25"/>
      <c r="Q406" s="25"/>
      <c r="R406" s="89"/>
      <c r="S406" s="93"/>
      <c r="T406" s="93"/>
      <c r="U406" s="93"/>
      <c r="V406" s="93"/>
      <c r="W406" s="95"/>
      <c r="X406" s="95"/>
      <c r="Y406" s="95"/>
      <c r="Z406" s="95"/>
      <c r="AA406" s="95"/>
      <c r="AB406" s="95"/>
      <c r="AC406" s="95"/>
      <c r="AD406" s="93"/>
      <c r="AE406" s="93"/>
      <c r="AF406" s="93"/>
      <c r="AG406" s="93"/>
    </row>
    <row r="407" spans="1:33">
      <c r="A407" s="94"/>
      <c r="B407" s="94"/>
      <c r="C407" s="94"/>
      <c r="D407" s="95"/>
      <c r="E407" s="94"/>
      <c r="F407" s="95"/>
      <c r="G407" s="95"/>
      <c r="H407" s="95"/>
      <c r="I407" s="93"/>
      <c r="J407" s="93"/>
      <c r="K407" s="93"/>
      <c r="L407" s="93"/>
      <c r="M407" s="24"/>
      <c r="N407" s="25"/>
      <c r="O407" s="25"/>
      <c r="P407" s="25"/>
      <c r="Q407" s="25"/>
      <c r="R407" s="89"/>
      <c r="S407" s="93"/>
      <c r="T407" s="93"/>
      <c r="U407" s="93"/>
      <c r="V407" s="93"/>
      <c r="W407" s="95"/>
      <c r="X407" s="95"/>
      <c r="Y407" s="95"/>
      <c r="Z407" s="95"/>
      <c r="AA407" s="95"/>
      <c r="AB407" s="95"/>
      <c r="AC407" s="95"/>
      <c r="AD407" s="93"/>
      <c r="AE407" s="93"/>
      <c r="AF407" s="93"/>
      <c r="AG407" s="93"/>
    </row>
    <row r="408" spans="1:33">
      <c r="A408" s="94"/>
      <c r="B408" s="94"/>
      <c r="C408" s="94"/>
      <c r="D408" s="95"/>
      <c r="E408" s="94"/>
      <c r="F408" s="95"/>
      <c r="G408" s="95"/>
      <c r="H408" s="95"/>
      <c r="I408" s="93"/>
      <c r="J408" s="93"/>
      <c r="K408" s="93"/>
      <c r="L408" s="93"/>
      <c r="M408" s="24"/>
      <c r="N408" s="25"/>
      <c r="O408" s="25"/>
      <c r="P408" s="25"/>
      <c r="Q408" s="25"/>
      <c r="R408" s="89"/>
      <c r="S408" s="93"/>
      <c r="T408" s="93"/>
      <c r="U408" s="93"/>
      <c r="V408" s="93"/>
      <c r="W408" s="95"/>
      <c r="X408" s="95"/>
      <c r="Y408" s="95"/>
      <c r="Z408" s="95"/>
      <c r="AA408" s="95"/>
      <c r="AB408" s="95"/>
      <c r="AC408" s="95"/>
      <c r="AD408" s="93"/>
      <c r="AE408" s="93"/>
      <c r="AF408" s="93"/>
      <c r="AG408" s="93"/>
    </row>
    <row r="409" spans="1:33">
      <c r="A409" s="94"/>
      <c r="B409" s="94"/>
      <c r="C409" s="94"/>
      <c r="D409" s="95"/>
      <c r="E409" s="94"/>
      <c r="F409" s="95"/>
      <c r="G409" s="95"/>
      <c r="H409" s="95"/>
      <c r="I409" s="93"/>
      <c r="J409" s="93"/>
      <c r="K409" s="93"/>
      <c r="L409" s="93"/>
      <c r="M409" s="24"/>
      <c r="N409" s="25"/>
      <c r="O409" s="25"/>
      <c r="P409" s="25"/>
      <c r="Q409" s="25"/>
      <c r="R409" s="89"/>
      <c r="S409" s="93"/>
      <c r="T409" s="93"/>
      <c r="U409" s="93"/>
      <c r="V409" s="93"/>
      <c r="W409" s="95"/>
      <c r="X409" s="95"/>
      <c r="Y409" s="95"/>
      <c r="Z409" s="95"/>
      <c r="AA409" s="95"/>
      <c r="AB409" s="95"/>
      <c r="AC409" s="95"/>
      <c r="AD409" s="93"/>
      <c r="AE409" s="93"/>
      <c r="AF409" s="93"/>
      <c r="AG409" s="93"/>
    </row>
    <row r="410" spans="1:33">
      <c r="A410" s="94"/>
      <c r="B410" s="94"/>
      <c r="C410" s="94"/>
      <c r="D410" s="95"/>
      <c r="E410" s="94"/>
      <c r="F410" s="95"/>
      <c r="G410" s="95"/>
      <c r="H410" s="95"/>
      <c r="I410" s="93"/>
      <c r="J410" s="93"/>
      <c r="K410" s="93"/>
      <c r="L410" s="93"/>
      <c r="M410" s="24"/>
      <c r="N410" s="25"/>
      <c r="O410" s="25"/>
      <c r="P410" s="25"/>
      <c r="Q410" s="25"/>
      <c r="R410" s="89"/>
      <c r="S410" s="93"/>
      <c r="T410" s="93"/>
      <c r="U410" s="93"/>
      <c r="V410" s="93"/>
      <c r="W410" s="95"/>
      <c r="X410" s="95"/>
      <c r="Y410" s="95"/>
      <c r="Z410" s="95"/>
      <c r="AA410" s="95"/>
      <c r="AB410" s="95"/>
      <c r="AC410" s="95"/>
      <c r="AD410" s="93"/>
      <c r="AE410" s="93"/>
      <c r="AF410" s="93"/>
      <c r="AG410" s="93"/>
    </row>
    <row r="411" spans="1:33">
      <c r="A411" s="94"/>
      <c r="B411" s="94"/>
      <c r="C411" s="94"/>
      <c r="D411" s="95"/>
      <c r="E411" s="94"/>
      <c r="F411" s="95"/>
      <c r="G411" s="95"/>
      <c r="H411" s="95"/>
      <c r="I411" s="93"/>
      <c r="J411" s="93"/>
      <c r="K411" s="93"/>
      <c r="L411" s="93"/>
      <c r="M411" s="24"/>
      <c r="N411" s="25"/>
      <c r="O411" s="25"/>
      <c r="P411" s="25"/>
      <c r="Q411" s="25"/>
      <c r="R411" s="89"/>
      <c r="S411" s="93"/>
      <c r="T411" s="93"/>
      <c r="U411" s="93"/>
      <c r="V411" s="93"/>
      <c r="W411" s="95"/>
      <c r="X411" s="95"/>
      <c r="Y411" s="95"/>
      <c r="Z411" s="95"/>
      <c r="AA411" s="95"/>
      <c r="AB411" s="95"/>
      <c r="AC411" s="95"/>
      <c r="AD411" s="93"/>
      <c r="AE411" s="93"/>
      <c r="AF411" s="93"/>
      <c r="AG411" s="93"/>
    </row>
    <row r="412" spans="1:33">
      <c r="A412" s="94"/>
      <c r="B412" s="94"/>
      <c r="C412" s="94"/>
      <c r="D412" s="95"/>
      <c r="E412" s="94"/>
      <c r="F412" s="95"/>
      <c r="G412" s="95"/>
      <c r="H412" s="95"/>
      <c r="I412" s="93"/>
      <c r="J412" s="93"/>
      <c r="K412" s="93"/>
      <c r="L412" s="93"/>
      <c r="M412" s="24"/>
      <c r="N412" s="25"/>
      <c r="O412" s="25"/>
      <c r="P412" s="25"/>
      <c r="Q412" s="25"/>
      <c r="R412" s="89"/>
      <c r="S412" s="93"/>
      <c r="T412" s="93"/>
      <c r="U412" s="93"/>
      <c r="V412" s="93"/>
      <c r="W412" s="95"/>
      <c r="X412" s="95"/>
      <c r="Y412" s="95"/>
      <c r="Z412" s="95"/>
      <c r="AA412" s="95"/>
      <c r="AB412" s="95"/>
      <c r="AC412" s="95"/>
      <c r="AD412" s="93"/>
      <c r="AE412" s="93"/>
      <c r="AF412" s="93"/>
      <c r="AG412" s="93"/>
    </row>
    <row r="413" spans="1:33">
      <c r="A413" s="94"/>
      <c r="B413" s="94"/>
      <c r="C413" s="94"/>
      <c r="D413" s="95"/>
      <c r="E413" s="94"/>
      <c r="F413" s="95"/>
      <c r="G413" s="95"/>
      <c r="H413" s="95"/>
      <c r="I413" s="93"/>
      <c r="J413" s="93"/>
      <c r="K413" s="93"/>
      <c r="L413" s="93"/>
      <c r="M413" s="24"/>
      <c r="N413" s="25"/>
      <c r="O413" s="25"/>
      <c r="P413" s="25"/>
      <c r="Q413" s="25"/>
      <c r="R413" s="89"/>
      <c r="S413" s="93"/>
      <c r="T413" s="93"/>
      <c r="U413" s="93"/>
      <c r="V413" s="93"/>
      <c r="W413" s="95"/>
      <c r="X413" s="95"/>
      <c r="Y413" s="95"/>
      <c r="Z413" s="95"/>
      <c r="AA413" s="95"/>
      <c r="AB413" s="95"/>
      <c r="AC413" s="95"/>
      <c r="AD413" s="93"/>
      <c r="AE413" s="93"/>
      <c r="AF413" s="93"/>
      <c r="AG413" s="93"/>
    </row>
    <row r="414" spans="1:33">
      <c r="A414" s="94"/>
      <c r="B414" s="94"/>
      <c r="C414" s="94"/>
      <c r="D414" s="95"/>
      <c r="E414" s="94"/>
      <c r="F414" s="95"/>
      <c r="G414" s="95"/>
      <c r="H414" s="95"/>
      <c r="I414" s="93"/>
      <c r="J414" s="93"/>
      <c r="K414" s="93"/>
      <c r="L414" s="93"/>
      <c r="M414" s="24"/>
      <c r="N414" s="25"/>
      <c r="O414" s="25"/>
      <c r="P414" s="25"/>
      <c r="Q414" s="25"/>
      <c r="R414" s="89"/>
      <c r="S414" s="93"/>
      <c r="T414" s="93"/>
      <c r="U414" s="93"/>
      <c r="V414" s="93"/>
      <c r="W414" s="95"/>
      <c r="X414" s="95"/>
      <c r="Y414" s="95"/>
      <c r="Z414" s="95"/>
      <c r="AA414" s="95"/>
      <c r="AB414" s="95"/>
      <c r="AC414" s="95"/>
      <c r="AD414" s="93"/>
      <c r="AE414" s="93"/>
      <c r="AF414" s="93"/>
      <c r="AG414" s="93"/>
    </row>
    <row r="415" spans="1:33">
      <c r="A415" s="94"/>
      <c r="B415" s="94"/>
      <c r="C415" s="94"/>
      <c r="D415" s="95"/>
      <c r="E415" s="94"/>
      <c r="F415" s="95"/>
      <c r="G415" s="95"/>
      <c r="H415" s="95"/>
      <c r="I415" s="93"/>
      <c r="J415" s="93"/>
      <c r="K415" s="93"/>
      <c r="L415" s="93"/>
      <c r="M415" s="24"/>
      <c r="N415" s="25"/>
      <c r="O415" s="25"/>
      <c r="P415" s="25"/>
      <c r="Q415" s="25"/>
      <c r="R415" s="89"/>
      <c r="S415" s="93"/>
      <c r="T415" s="93"/>
      <c r="U415" s="93"/>
      <c r="V415" s="93"/>
      <c r="W415" s="95"/>
      <c r="X415" s="95"/>
      <c r="Y415" s="95"/>
      <c r="Z415" s="95"/>
      <c r="AA415" s="95"/>
      <c r="AB415" s="95"/>
      <c r="AC415" s="95"/>
      <c r="AD415" s="93"/>
      <c r="AE415" s="93"/>
      <c r="AF415" s="93"/>
      <c r="AG415" s="93"/>
    </row>
    <row r="416" spans="1:33">
      <c r="A416" s="94"/>
      <c r="B416" s="94"/>
      <c r="C416" s="94"/>
      <c r="D416" s="95"/>
      <c r="E416" s="94"/>
      <c r="F416" s="95"/>
      <c r="G416" s="95"/>
      <c r="H416" s="95"/>
      <c r="I416" s="93"/>
      <c r="J416" s="93"/>
      <c r="K416" s="93"/>
      <c r="L416" s="93"/>
      <c r="M416" s="24"/>
      <c r="N416" s="25"/>
      <c r="O416" s="25"/>
      <c r="P416" s="25"/>
      <c r="Q416" s="25"/>
      <c r="R416" s="89"/>
      <c r="S416" s="93"/>
      <c r="T416" s="93"/>
      <c r="U416" s="93"/>
      <c r="V416" s="93"/>
      <c r="W416" s="95"/>
      <c r="X416" s="95"/>
      <c r="Y416" s="95"/>
      <c r="Z416" s="95"/>
      <c r="AA416" s="95"/>
      <c r="AB416" s="95"/>
      <c r="AC416" s="95"/>
      <c r="AD416" s="93"/>
      <c r="AE416" s="93"/>
      <c r="AF416" s="93"/>
      <c r="AG416" s="93"/>
    </row>
    <row r="417" spans="1:33">
      <c r="A417" s="94"/>
      <c r="B417" s="94"/>
      <c r="C417" s="94"/>
      <c r="D417" s="95"/>
      <c r="E417" s="94"/>
      <c r="F417" s="95"/>
      <c r="G417" s="95"/>
      <c r="H417" s="95"/>
      <c r="I417" s="93"/>
      <c r="J417" s="93"/>
      <c r="K417" s="93"/>
      <c r="L417" s="93"/>
      <c r="M417" s="24"/>
      <c r="N417" s="25"/>
      <c r="O417" s="25"/>
      <c r="P417" s="25"/>
      <c r="Q417" s="25"/>
      <c r="R417" s="89"/>
      <c r="S417" s="93"/>
      <c r="T417" s="93"/>
      <c r="U417" s="93"/>
      <c r="V417" s="93"/>
      <c r="W417" s="95"/>
      <c r="X417" s="95"/>
      <c r="Y417" s="95"/>
      <c r="Z417" s="95"/>
      <c r="AA417" s="95"/>
      <c r="AB417" s="95"/>
      <c r="AC417" s="95"/>
      <c r="AD417" s="93"/>
      <c r="AE417" s="93"/>
      <c r="AF417" s="93"/>
      <c r="AG417" s="93"/>
    </row>
    <row r="418" spans="1:33">
      <c r="A418" s="94"/>
      <c r="B418" s="94"/>
      <c r="C418" s="94"/>
      <c r="D418" s="95"/>
      <c r="E418" s="94"/>
      <c r="F418" s="95"/>
      <c r="G418" s="95"/>
      <c r="H418" s="95"/>
      <c r="I418" s="93"/>
      <c r="J418" s="93"/>
      <c r="K418" s="93"/>
      <c r="L418" s="93"/>
      <c r="M418" s="24"/>
      <c r="N418" s="25"/>
      <c r="O418" s="25"/>
      <c r="P418" s="25"/>
      <c r="Q418" s="25"/>
      <c r="R418" s="89"/>
      <c r="S418" s="93"/>
      <c r="T418" s="93"/>
      <c r="U418" s="93"/>
      <c r="V418" s="93"/>
      <c r="W418" s="95"/>
      <c r="X418" s="95"/>
      <c r="Y418" s="95"/>
      <c r="Z418" s="95"/>
      <c r="AA418" s="95"/>
      <c r="AB418" s="95"/>
      <c r="AC418" s="95"/>
      <c r="AD418" s="93"/>
      <c r="AE418" s="93"/>
      <c r="AF418" s="93"/>
      <c r="AG418" s="93"/>
    </row>
    <row r="419" spans="1:33">
      <c r="A419" s="94"/>
      <c r="B419" s="94"/>
      <c r="C419" s="94"/>
      <c r="D419" s="95"/>
      <c r="E419" s="94"/>
      <c r="F419" s="95"/>
      <c r="G419" s="95"/>
      <c r="H419" s="95"/>
      <c r="I419" s="93"/>
      <c r="J419" s="93"/>
      <c r="K419" s="93"/>
      <c r="L419" s="93"/>
      <c r="M419" s="24"/>
      <c r="N419" s="25"/>
      <c r="O419" s="25"/>
      <c r="P419" s="25"/>
      <c r="Q419" s="25"/>
      <c r="R419" s="89"/>
      <c r="S419" s="93"/>
      <c r="T419" s="93"/>
      <c r="U419" s="93"/>
      <c r="V419" s="93"/>
      <c r="W419" s="95"/>
      <c r="X419" s="95"/>
      <c r="Y419" s="95"/>
      <c r="Z419" s="95"/>
      <c r="AA419" s="95"/>
      <c r="AB419" s="95"/>
      <c r="AC419" s="95"/>
      <c r="AD419" s="93"/>
      <c r="AE419" s="93"/>
      <c r="AF419" s="93"/>
      <c r="AG419" s="93"/>
    </row>
    <row r="420" spans="1:33">
      <c r="A420" s="94"/>
      <c r="B420" s="94"/>
      <c r="C420" s="94"/>
      <c r="D420" s="95"/>
      <c r="E420" s="94"/>
      <c r="F420" s="95"/>
      <c r="G420" s="95"/>
      <c r="H420" s="95"/>
      <c r="I420" s="93"/>
      <c r="J420" s="93"/>
      <c r="K420" s="93"/>
      <c r="L420" s="93"/>
      <c r="M420" s="24"/>
      <c r="N420" s="25"/>
      <c r="O420" s="25"/>
      <c r="P420" s="25"/>
      <c r="Q420" s="25"/>
      <c r="R420" s="89"/>
      <c r="S420" s="93"/>
      <c r="T420" s="93"/>
      <c r="U420" s="93"/>
      <c r="V420" s="93"/>
      <c r="W420" s="95"/>
      <c r="X420" s="95"/>
      <c r="Y420" s="95"/>
      <c r="Z420" s="95"/>
      <c r="AA420" s="95"/>
      <c r="AB420" s="95"/>
      <c r="AC420" s="95"/>
      <c r="AD420" s="93"/>
      <c r="AE420" s="93"/>
      <c r="AF420" s="93"/>
      <c r="AG420" s="93"/>
    </row>
    <row r="421" spans="1:33">
      <c r="A421" s="94"/>
      <c r="B421" s="94"/>
      <c r="C421" s="94"/>
      <c r="D421" s="95"/>
      <c r="E421" s="94"/>
      <c r="F421" s="95"/>
      <c r="G421" s="95"/>
      <c r="H421" s="95"/>
      <c r="I421" s="93"/>
      <c r="J421" s="93"/>
      <c r="K421" s="93"/>
      <c r="L421" s="93"/>
      <c r="M421" s="24"/>
      <c r="N421" s="25"/>
      <c r="O421" s="25"/>
      <c r="P421" s="25"/>
      <c r="Q421" s="25"/>
      <c r="R421" s="89"/>
      <c r="S421" s="93"/>
      <c r="T421" s="93"/>
      <c r="U421" s="93"/>
      <c r="V421" s="93"/>
      <c r="W421" s="95"/>
      <c r="X421" s="95"/>
      <c r="Y421" s="95"/>
      <c r="Z421" s="95"/>
      <c r="AA421" s="95"/>
      <c r="AB421" s="95"/>
      <c r="AC421" s="95"/>
      <c r="AD421" s="93"/>
      <c r="AE421" s="93"/>
      <c r="AF421" s="93"/>
      <c r="AG421" s="93"/>
    </row>
    <row r="422" spans="1:33">
      <c r="A422" s="94"/>
      <c r="B422" s="94"/>
      <c r="C422" s="94"/>
      <c r="D422" s="95"/>
      <c r="E422" s="94"/>
      <c r="F422" s="95"/>
      <c r="G422" s="95"/>
      <c r="H422" s="95"/>
      <c r="I422" s="93"/>
      <c r="J422" s="93"/>
      <c r="K422" s="93"/>
      <c r="L422" s="93"/>
      <c r="M422" s="24"/>
      <c r="N422" s="25"/>
      <c r="O422" s="25"/>
      <c r="P422" s="25"/>
      <c r="Q422" s="25"/>
      <c r="R422" s="89"/>
      <c r="S422" s="93"/>
      <c r="T422" s="93"/>
      <c r="U422" s="93"/>
      <c r="V422" s="93"/>
      <c r="W422" s="95"/>
      <c r="X422" s="95"/>
      <c r="Y422" s="95"/>
      <c r="Z422" s="95"/>
      <c r="AA422" s="95"/>
      <c r="AB422" s="95"/>
      <c r="AC422" s="95"/>
      <c r="AD422" s="93"/>
      <c r="AE422" s="93"/>
      <c r="AF422" s="93"/>
      <c r="AG422" s="93"/>
    </row>
    <row r="423" spans="1:33">
      <c r="A423" s="94"/>
      <c r="B423" s="94"/>
      <c r="C423" s="94"/>
      <c r="D423" s="95"/>
      <c r="E423" s="94"/>
      <c r="F423" s="95"/>
      <c r="G423" s="95"/>
      <c r="H423" s="95"/>
      <c r="I423" s="93"/>
      <c r="J423" s="93"/>
      <c r="K423" s="93"/>
      <c r="L423" s="93"/>
      <c r="M423" s="24"/>
      <c r="N423" s="25"/>
      <c r="O423" s="25"/>
      <c r="P423" s="25"/>
      <c r="Q423" s="25"/>
      <c r="R423" s="89"/>
      <c r="S423" s="93"/>
      <c r="T423" s="93"/>
      <c r="U423" s="93"/>
      <c r="V423" s="93"/>
      <c r="W423" s="95"/>
      <c r="X423" s="95"/>
      <c r="Y423" s="95"/>
      <c r="Z423" s="95"/>
      <c r="AA423" s="95"/>
      <c r="AB423" s="95"/>
      <c r="AC423" s="95"/>
      <c r="AD423" s="93"/>
      <c r="AE423" s="93"/>
      <c r="AF423" s="93"/>
      <c r="AG423" s="93"/>
    </row>
    <row r="424" spans="1:33">
      <c r="A424" s="94"/>
      <c r="B424" s="94"/>
      <c r="C424" s="94"/>
      <c r="D424" s="95"/>
      <c r="E424" s="94"/>
      <c r="F424" s="95"/>
      <c r="G424" s="95"/>
      <c r="H424" s="95"/>
      <c r="I424" s="93"/>
      <c r="J424" s="93"/>
      <c r="K424" s="93"/>
      <c r="L424" s="93"/>
      <c r="M424" s="24"/>
      <c r="N424" s="25"/>
      <c r="O424" s="25"/>
      <c r="P424" s="25"/>
      <c r="Q424" s="25"/>
      <c r="R424" s="89"/>
      <c r="S424" s="93"/>
      <c r="T424" s="93"/>
      <c r="U424" s="93"/>
      <c r="V424" s="93"/>
      <c r="W424" s="95"/>
      <c r="X424" s="95"/>
      <c r="Y424" s="95"/>
      <c r="Z424" s="95"/>
      <c r="AA424" s="95"/>
      <c r="AB424" s="95"/>
      <c r="AC424" s="95"/>
      <c r="AD424" s="93"/>
      <c r="AE424" s="93"/>
      <c r="AF424" s="93"/>
      <c r="AG424" s="93"/>
    </row>
    <row r="425" spans="1:33">
      <c r="A425" s="94"/>
      <c r="B425" s="94"/>
      <c r="C425" s="94"/>
      <c r="D425" s="95"/>
      <c r="E425" s="94"/>
      <c r="F425" s="95"/>
      <c r="G425" s="95"/>
      <c r="H425" s="95"/>
      <c r="I425" s="93"/>
      <c r="J425" s="93"/>
      <c r="K425" s="93"/>
      <c r="L425" s="93"/>
      <c r="M425" s="24"/>
      <c r="N425" s="25"/>
      <c r="O425" s="25"/>
      <c r="P425" s="25"/>
      <c r="Q425" s="25"/>
      <c r="R425" s="89"/>
      <c r="S425" s="93"/>
      <c r="T425" s="93"/>
      <c r="U425" s="93"/>
      <c r="V425" s="93"/>
      <c r="W425" s="95"/>
      <c r="X425" s="95"/>
      <c r="Y425" s="95"/>
      <c r="Z425" s="95"/>
      <c r="AA425" s="95"/>
      <c r="AB425" s="95"/>
      <c r="AC425" s="95"/>
      <c r="AD425" s="93"/>
      <c r="AE425" s="93"/>
      <c r="AF425" s="93"/>
      <c r="AG425" s="93"/>
    </row>
    <row r="426" spans="1:33">
      <c r="A426" s="94"/>
      <c r="B426" s="94"/>
      <c r="C426" s="94"/>
      <c r="D426" s="95"/>
      <c r="E426" s="94"/>
      <c r="F426" s="95"/>
      <c r="G426" s="95"/>
      <c r="H426" s="95"/>
      <c r="I426" s="93"/>
      <c r="J426" s="93"/>
      <c r="K426" s="93"/>
      <c r="L426" s="93"/>
      <c r="M426" s="24"/>
      <c r="N426" s="25"/>
      <c r="O426" s="25"/>
      <c r="P426" s="25"/>
      <c r="Q426" s="25"/>
      <c r="R426" s="89"/>
      <c r="S426" s="93"/>
      <c r="T426" s="93"/>
      <c r="U426" s="93"/>
      <c r="V426" s="93"/>
      <c r="W426" s="95"/>
      <c r="X426" s="95"/>
      <c r="Y426" s="95"/>
      <c r="Z426" s="95"/>
      <c r="AA426" s="95"/>
      <c r="AB426" s="95"/>
      <c r="AC426" s="95"/>
      <c r="AD426" s="93"/>
      <c r="AE426" s="93"/>
      <c r="AF426" s="93"/>
      <c r="AG426" s="93"/>
    </row>
    <row r="427" spans="1:33">
      <c r="A427" s="94"/>
      <c r="B427" s="94"/>
      <c r="C427" s="94"/>
      <c r="D427" s="95"/>
      <c r="E427" s="94"/>
      <c r="F427" s="95"/>
      <c r="G427" s="95"/>
      <c r="H427" s="95"/>
      <c r="I427" s="93"/>
      <c r="J427" s="93"/>
      <c r="K427" s="93"/>
      <c r="L427" s="93"/>
      <c r="M427" s="24"/>
      <c r="N427" s="25"/>
      <c r="O427" s="25"/>
      <c r="P427" s="25"/>
      <c r="Q427" s="25"/>
      <c r="R427" s="89"/>
      <c r="S427" s="93"/>
      <c r="T427" s="93"/>
      <c r="U427" s="93"/>
      <c r="V427" s="93"/>
      <c r="W427" s="95"/>
      <c r="X427" s="95"/>
      <c r="Y427" s="95"/>
      <c r="Z427" s="95"/>
      <c r="AA427" s="95"/>
      <c r="AB427" s="95"/>
      <c r="AC427" s="95"/>
      <c r="AD427" s="93"/>
      <c r="AE427" s="93"/>
      <c r="AF427" s="93"/>
      <c r="AG427" s="93"/>
    </row>
    <row r="428" spans="1:33">
      <c r="A428" s="94"/>
      <c r="B428" s="94"/>
      <c r="C428" s="94"/>
      <c r="D428" s="95"/>
      <c r="E428" s="94"/>
      <c r="F428" s="95"/>
      <c r="G428" s="95"/>
      <c r="H428" s="95"/>
      <c r="I428" s="93"/>
      <c r="J428" s="93"/>
      <c r="K428" s="93"/>
      <c r="L428" s="93"/>
      <c r="M428" s="24"/>
      <c r="N428" s="25"/>
      <c r="O428" s="25"/>
      <c r="P428" s="25"/>
      <c r="Q428" s="25"/>
      <c r="R428" s="89"/>
      <c r="S428" s="93"/>
      <c r="T428" s="93"/>
      <c r="U428" s="93"/>
      <c r="V428" s="93"/>
      <c r="W428" s="95"/>
      <c r="X428" s="95"/>
      <c r="Y428" s="95"/>
      <c r="Z428" s="95"/>
      <c r="AA428" s="95"/>
      <c r="AB428" s="95"/>
      <c r="AC428" s="95"/>
      <c r="AD428" s="93"/>
      <c r="AE428" s="93"/>
      <c r="AF428" s="93"/>
      <c r="AG428" s="93"/>
    </row>
    <row r="429" spans="1:33">
      <c r="A429" s="94"/>
      <c r="B429" s="94"/>
      <c r="C429" s="94"/>
      <c r="D429" s="95"/>
      <c r="E429" s="94"/>
      <c r="F429" s="95"/>
      <c r="G429" s="95"/>
      <c r="H429" s="95"/>
      <c r="I429" s="93"/>
      <c r="J429" s="93"/>
      <c r="K429" s="93"/>
      <c r="L429" s="93"/>
      <c r="M429" s="24"/>
      <c r="N429" s="25"/>
      <c r="O429" s="25"/>
      <c r="P429" s="25"/>
      <c r="Q429" s="25"/>
      <c r="R429" s="89"/>
      <c r="S429" s="93"/>
      <c r="T429" s="93"/>
      <c r="U429" s="93"/>
      <c r="V429" s="93"/>
      <c r="W429" s="95"/>
      <c r="X429" s="95"/>
      <c r="Y429" s="95"/>
      <c r="Z429" s="95"/>
      <c r="AA429" s="95"/>
      <c r="AB429" s="95"/>
      <c r="AC429" s="95"/>
      <c r="AD429" s="93"/>
      <c r="AE429" s="93"/>
      <c r="AF429" s="93"/>
      <c r="AG429" s="93"/>
    </row>
    <row r="430" spans="1:33">
      <c r="A430" s="94"/>
      <c r="B430" s="94"/>
      <c r="C430" s="94"/>
      <c r="D430" s="95"/>
      <c r="E430" s="94"/>
      <c r="F430" s="95"/>
      <c r="G430" s="95"/>
      <c r="H430" s="95"/>
      <c r="I430" s="93"/>
      <c r="J430" s="93"/>
      <c r="K430" s="93"/>
      <c r="L430" s="93"/>
      <c r="M430" s="24"/>
      <c r="N430" s="25"/>
      <c r="O430" s="25"/>
      <c r="P430" s="25"/>
      <c r="Q430" s="25"/>
      <c r="R430" s="89"/>
      <c r="S430" s="93"/>
      <c r="T430" s="93"/>
      <c r="U430" s="93"/>
      <c r="V430" s="93"/>
      <c r="W430" s="95"/>
      <c r="X430" s="95"/>
      <c r="Y430" s="95"/>
      <c r="Z430" s="95"/>
      <c r="AA430" s="95"/>
      <c r="AB430" s="95"/>
      <c r="AC430" s="95"/>
      <c r="AD430" s="93"/>
      <c r="AE430" s="93"/>
      <c r="AF430" s="93"/>
      <c r="AG430" s="93"/>
    </row>
    <row r="431" spans="1:33">
      <c r="A431" s="94"/>
      <c r="B431" s="94"/>
      <c r="C431" s="94"/>
      <c r="D431" s="95"/>
      <c r="E431" s="94"/>
      <c r="F431" s="95"/>
      <c r="G431" s="95"/>
      <c r="H431" s="95"/>
      <c r="I431" s="93"/>
      <c r="J431" s="93"/>
      <c r="K431" s="93"/>
      <c r="L431" s="93"/>
      <c r="M431" s="24"/>
      <c r="N431" s="25"/>
      <c r="O431" s="25"/>
      <c r="P431" s="25"/>
      <c r="Q431" s="25"/>
      <c r="R431" s="89"/>
      <c r="S431" s="93"/>
      <c r="T431" s="93"/>
      <c r="U431" s="93"/>
      <c r="V431" s="93"/>
      <c r="W431" s="95"/>
      <c r="X431" s="95"/>
      <c r="Y431" s="95"/>
      <c r="Z431" s="95"/>
      <c r="AA431" s="95"/>
      <c r="AB431" s="95"/>
      <c r="AC431" s="95"/>
      <c r="AD431" s="93"/>
      <c r="AE431" s="93"/>
      <c r="AF431" s="93"/>
      <c r="AG431" s="93"/>
    </row>
    <row r="432" spans="1:33">
      <c r="A432" s="94"/>
      <c r="B432" s="94"/>
      <c r="C432" s="94"/>
      <c r="D432" s="95"/>
      <c r="E432" s="94"/>
      <c r="F432" s="95"/>
      <c r="G432" s="95"/>
      <c r="H432" s="95"/>
      <c r="I432" s="93"/>
      <c r="J432" s="93"/>
      <c r="K432" s="93"/>
      <c r="L432" s="93"/>
      <c r="M432" s="24"/>
      <c r="N432" s="25"/>
      <c r="O432" s="25"/>
      <c r="P432" s="25"/>
      <c r="Q432" s="25"/>
      <c r="R432" s="89"/>
      <c r="S432" s="93"/>
      <c r="T432" s="93"/>
      <c r="U432" s="93"/>
      <c r="V432" s="93"/>
      <c r="W432" s="95"/>
      <c r="X432" s="95"/>
      <c r="Y432" s="95"/>
      <c r="Z432" s="95"/>
      <c r="AA432" s="95"/>
      <c r="AB432" s="95"/>
      <c r="AC432" s="95"/>
      <c r="AD432" s="93"/>
      <c r="AE432" s="93"/>
      <c r="AF432" s="93"/>
      <c r="AG432" s="93"/>
    </row>
    <row r="433" spans="1:33">
      <c r="A433" s="94"/>
      <c r="B433" s="94"/>
      <c r="C433" s="94"/>
      <c r="D433" s="95"/>
      <c r="E433" s="94"/>
      <c r="F433" s="95"/>
      <c r="G433" s="95"/>
      <c r="H433" s="95"/>
      <c r="I433" s="93"/>
      <c r="J433" s="93"/>
      <c r="K433" s="93"/>
      <c r="L433" s="93"/>
      <c r="M433" s="24"/>
      <c r="N433" s="25"/>
      <c r="O433" s="25"/>
      <c r="P433" s="25"/>
      <c r="Q433" s="25"/>
      <c r="R433" s="89"/>
      <c r="S433" s="93"/>
      <c r="T433" s="93"/>
      <c r="U433" s="93"/>
      <c r="V433" s="93"/>
      <c r="W433" s="95"/>
      <c r="X433" s="95"/>
      <c r="Y433" s="95"/>
      <c r="Z433" s="95"/>
      <c r="AA433" s="95"/>
      <c r="AB433" s="95"/>
      <c r="AC433" s="95"/>
      <c r="AD433" s="93"/>
      <c r="AE433" s="93"/>
      <c r="AF433" s="93"/>
      <c r="AG433" s="93"/>
    </row>
    <row r="434" spans="1:33">
      <c r="A434" s="94"/>
      <c r="B434" s="94"/>
      <c r="C434" s="94"/>
      <c r="D434" s="95"/>
      <c r="E434" s="94"/>
      <c r="F434" s="95"/>
      <c r="G434" s="95"/>
      <c r="H434" s="95"/>
      <c r="I434" s="93"/>
      <c r="J434" s="93"/>
      <c r="K434" s="93"/>
      <c r="L434" s="93"/>
      <c r="M434" s="24"/>
      <c r="N434" s="25"/>
      <c r="O434" s="25"/>
      <c r="P434" s="25"/>
      <c r="Q434" s="25"/>
      <c r="R434" s="89"/>
      <c r="S434" s="25"/>
      <c r="T434" s="25"/>
      <c r="U434" s="25"/>
      <c r="V434" s="25"/>
      <c r="W434" s="26"/>
      <c r="X434" s="26"/>
      <c r="Y434" s="26"/>
      <c r="Z434" s="26"/>
      <c r="AA434" s="26"/>
      <c r="AB434" s="26"/>
      <c r="AC434" s="26"/>
      <c r="AD434" s="25"/>
      <c r="AE434" s="25"/>
      <c r="AF434" s="25"/>
      <c r="AG434" s="25"/>
    </row>
    <row r="435" spans="1:33">
      <c r="A435" s="94"/>
      <c r="B435" s="94"/>
      <c r="C435" s="94"/>
      <c r="D435" s="95"/>
      <c r="E435" s="94"/>
      <c r="F435" s="95"/>
      <c r="G435" s="95"/>
      <c r="H435" s="95"/>
      <c r="I435" s="93"/>
      <c r="J435" s="93"/>
      <c r="K435" s="93"/>
      <c r="L435" s="93"/>
      <c r="M435" s="24"/>
      <c r="N435" s="25"/>
      <c r="O435" s="25"/>
      <c r="P435" s="25"/>
      <c r="Q435" s="25"/>
      <c r="R435" s="89"/>
      <c r="S435" s="25"/>
      <c r="T435" s="25"/>
      <c r="U435" s="25"/>
      <c r="V435" s="25"/>
      <c r="W435" s="26"/>
      <c r="X435" s="26"/>
      <c r="Y435" s="26"/>
      <c r="Z435" s="26"/>
      <c r="AA435" s="26"/>
      <c r="AB435" s="26"/>
      <c r="AC435" s="26"/>
      <c r="AD435" s="25"/>
      <c r="AE435" s="25"/>
      <c r="AF435" s="25"/>
      <c r="AG435" s="25"/>
    </row>
    <row r="436" spans="1:33">
      <c r="A436" s="94"/>
      <c r="B436" s="94"/>
      <c r="C436" s="94"/>
      <c r="D436" s="95"/>
      <c r="E436" s="94"/>
      <c r="F436" s="95"/>
      <c r="G436" s="95"/>
      <c r="H436" s="95"/>
      <c r="I436" s="93"/>
      <c r="J436" s="93"/>
      <c r="K436" s="93"/>
      <c r="L436" s="93"/>
      <c r="M436" s="24"/>
      <c r="N436" s="25"/>
      <c r="O436" s="25"/>
      <c r="P436" s="25"/>
      <c r="Q436" s="25"/>
      <c r="R436" s="89"/>
      <c r="S436" s="25"/>
      <c r="T436" s="25"/>
      <c r="U436" s="25"/>
      <c r="V436" s="25"/>
      <c r="W436" s="26"/>
      <c r="X436" s="26"/>
      <c r="Y436" s="26"/>
      <c r="Z436" s="26"/>
      <c r="AA436" s="26"/>
      <c r="AB436" s="26"/>
      <c r="AC436" s="26"/>
      <c r="AD436" s="25"/>
      <c r="AE436" s="25"/>
      <c r="AF436" s="25"/>
      <c r="AG436" s="25"/>
    </row>
    <row r="437" spans="1:33">
      <c r="A437" s="94"/>
      <c r="B437" s="94"/>
      <c r="C437" s="94"/>
      <c r="D437" s="95"/>
      <c r="E437" s="94"/>
      <c r="F437" s="95"/>
      <c r="G437" s="95"/>
      <c r="H437" s="95"/>
      <c r="I437" s="93"/>
      <c r="J437" s="93"/>
      <c r="K437" s="93"/>
      <c r="L437" s="93"/>
      <c r="M437" s="24"/>
      <c r="N437" s="25"/>
      <c r="O437" s="25"/>
      <c r="P437" s="25"/>
      <c r="Q437" s="25"/>
      <c r="R437" s="89"/>
      <c r="S437" s="25"/>
      <c r="T437" s="25"/>
      <c r="U437" s="25"/>
      <c r="V437" s="25"/>
      <c r="W437" s="26"/>
      <c r="X437" s="26"/>
      <c r="Y437" s="26"/>
      <c r="Z437" s="26"/>
      <c r="AA437" s="26"/>
      <c r="AB437" s="26"/>
      <c r="AC437" s="26"/>
      <c r="AD437" s="25"/>
      <c r="AE437" s="25"/>
      <c r="AF437" s="25"/>
      <c r="AG437" s="25"/>
    </row>
    <row r="438" spans="1:33">
      <c r="A438" s="94"/>
      <c r="B438" s="94"/>
      <c r="C438" s="94"/>
      <c r="D438" s="95"/>
      <c r="E438" s="94"/>
      <c r="F438" s="95"/>
      <c r="G438" s="95"/>
      <c r="H438" s="95"/>
      <c r="I438" s="93"/>
      <c r="J438" s="93"/>
      <c r="K438" s="93"/>
      <c r="L438" s="93"/>
      <c r="M438" s="24"/>
      <c r="N438" s="25"/>
      <c r="O438" s="25"/>
      <c r="P438" s="25"/>
      <c r="Q438" s="25"/>
      <c r="R438" s="89"/>
      <c r="S438" s="25"/>
      <c r="T438" s="25"/>
      <c r="U438" s="25"/>
      <c r="V438" s="25"/>
      <c r="W438" s="26"/>
      <c r="X438" s="26"/>
      <c r="Y438" s="26"/>
      <c r="Z438" s="26"/>
      <c r="AA438" s="26"/>
      <c r="AB438" s="26"/>
      <c r="AC438" s="26"/>
      <c r="AD438" s="25"/>
      <c r="AE438" s="25"/>
      <c r="AF438" s="25"/>
      <c r="AG438" s="25"/>
    </row>
    <row r="439" spans="1:33">
      <c r="A439" s="94"/>
      <c r="B439" s="94"/>
      <c r="C439" s="94"/>
      <c r="D439" s="95"/>
      <c r="E439" s="94"/>
      <c r="F439" s="95"/>
      <c r="G439" s="95"/>
      <c r="H439" s="95"/>
      <c r="I439" s="93"/>
      <c r="J439" s="93"/>
      <c r="K439" s="93"/>
      <c r="L439" s="93"/>
      <c r="M439" s="24"/>
      <c r="N439" s="25"/>
      <c r="O439" s="25"/>
      <c r="P439" s="25"/>
      <c r="Q439" s="25"/>
      <c r="R439" s="89"/>
      <c r="S439" s="25"/>
      <c r="T439" s="25"/>
      <c r="U439" s="25"/>
      <c r="V439" s="25"/>
      <c r="W439" s="26"/>
      <c r="X439" s="26"/>
      <c r="Y439" s="26"/>
      <c r="Z439" s="26"/>
      <c r="AA439" s="26"/>
      <c r="AB439" s="26"/>
      <c r="AC439" s="26"/>
      <c r="AD439" s="25"/>
      <c r="AE439" s="25"/>
      <c r="AF439" s="25"/>
      <c r="AG439" s="25"/>
    </row>
    <row r="440" spans="1:33">
      <c r="A440" s="94"/>
      <c r="B440" s="94"/>
      <c r="C440" s="94"/>
      <c r="D440" s="95"/>
      <c r="E440" s="94"/>
      <c r="F440" s="95"/>
      <c r="G440" s="95"/>
      <c r="H440" s="95"/>
      <c r="I440" s="93"/>
      <c r="J440" s="93"/>
      <c r="K440" s="93"/>
      <c r="L440" s="93"/>
      <c r="M440" s="24"/>
      <c r="N440" s="25"/>
      <c r="O440" s="25"/>
      <c r="P440" s="25"/>
      <c r="Q440" s="25"/>
      <c r="R440" s="89"/>
      <c r="S440" s="25"/>
      <c r="T440" s="25"/>
      <c r="U440" s="25"/>
      <c r="V440" s="25"/>
      <c r="W440" s="26"/>
      <c r="X440" s="26"/>
      <c r="Y440" s="26"/>
      <c r="Z440" s="26"/>
      <c r="AA440" s="26"/>
      <c r="AB440" s="26"/>
      <c r="AC440" s="26"/>
      <c r="AD440" s="25"/>
      <c r="AE440" s="25"/>
      <c r="AF440" s="25"/>
      <c r="AG440" s="25"/>
    </row>
    <row r="441" spans="1:33">
      <c r="A441" s="94"/>
      <c r="B441" s="94"/>
      <c r="C441" s="94"/>
      <c r="D441" s="95"/>
      <c r="E441" s="94"/>
      <c r="F441" s="95"/>
      <c r="G441" s="95"/>
      <c r="H441" s="95"/>
      <c r="I441" s="93"/>
      <c r="J441" s="93"/>
      <c r="K441" s="93"/>
      <c r="L441" s="93"/>
      <c r="M441" s="24"/>
      <c r="N441" s="25"/>
      <c r="O441" s="25"/>
      <c r="P441" s="25"/>
      <c r="Q441" s="25"/>
      <c r="R441" s="89"/>
      <c r="S441" s="25"/>
      <c r="T441" s="25"/>
      <c r="U441" s="25"/>
      <c r="V441" s="25"/>
      <c r="W441" s="26"/>
      <c r="X441" s="26"/>
      <c r="Y441" s="26"/>
      <c r="Z441" s="26"/>
      <c r="AA441" s="26"/>
      <c r="AB441" s="26"/>
      <c r="AC441" s="26"/>
      <c r="AD441" s="25"/>
      <c r="AE441" s="25"/>
      <c r="AF441" s="25"/>
      <c r="AG441" s="25"/>
    </row>
    <row r="442" spans="1:33">
      <c r="A442" s="94"/>
      <c r="B442" s="94"/>
      <c r="C442" s="94"/>
      <c r="D442" s="95"/>
      <c r="E442" s="94"/>
      <c r="F442" s="95"/>
      <c r="G442" s="95"/>
      <c r="H442" s="95"/>
      <c r="I442" s="93"/>
      <c r="J442" s="93"/>
      <c r="K442" s="93"/>
      <c r="L442" s="93"/>
      <c r="M442" s="24"/>
      <c r="N442" s="25"/>
      <c r="O442" s="25"/>
      <c r="P442" s="25"/>
      <c r="Q442" s="25"/>
      <c r="R442" s="89"/>
      <c r="S442" s="25"/>
      <c r="T442" s="25"/>
      <c r="U442" s="25"/>
      <c r="V442" s="25"/>
      <c r="W442" s="26"/>
      <c r="X442" s="26"/>
      <c r="Y442" s="26"/>
      <c r="Z442" s="26"/>
      <c r="AA442" s="26"/>
      <c r="AB442" s="26"/>
      <c r="AC442" s="26"/>
      <c r="AD442" s="25"/>
      <c r="AE442" s="25"/>
      <c r="AF442" s="25"/>
      <c r="AG442" s="25"/>
    </row>
    <row r="443" spans="1:33">
      <c r="A443" s="94"/>
      <c r="B443" s="94"/>
      <c r="C443" s="94"/>
      <c r="D443" s="95"/>
      <c r="E443" s="94"/>
      <c r="F443" s="95"/>
      <c r="G443" s="95"/>
      <c r="H443" s="95"/>
      <c r="I443" s="93"/>
      <c r="J443" s="93"/>
      <c r="K443" s="93"/>
      <c r="L443" s="93"/>
      <c r="M443" s="24"/>
      <c r="N443" s="25"/>
      <c r="O443" s="25"/>
      <c r="P443" s="25"/>
      <c r="Q443" s="25"/>
      <c r="R443" s="89"/>
      <c r="S443" s="25"/>
      <c r="T443" s="25"/>
      <c r="U443" s="25"/>
      <c r="V443" s="25"/>
      <c r="W443" s="26"/>
      <c r="X443" s="26"/>
      <c r="Y443" s="26"/>
      <c r="Z443" s="26"/>
      <c r="AA443" s="26"/>
      <c r="AB443" s="26"/>
      <c r="AC443" s="26"/>
      <c r="AD443" s="25"/>
      <c r="AE443" s="25"/>
      <c r="AF443" s="25"/>
      <c r="AG443" s="25"/>
    </row>
    <row r="444" spans="1:33">
      <c r="A444" s="94"/>
      <c r="B444" s="94"/>
      <c r="C444" s="94"/>
      <c r="D444" s="95"/>
      <c r="E444" s="94"/>
      <c r="F444" s="95"/>
      <c r="G444" s="95"/>
      <c r="H444" s="95"/>
      <c r="I444" s="93"/>
      <c r="J444" s="93"/>
      <c r="K444" s="93"/>
      <c r="L444" s="93"/>
      <c r="M444" s="24"/>
      <c r="N444" s="25"/>
      <c r="O444" s="25"/>
      <c r="P444" s="25"/>
      <c r="Q444" s="25"/>
      <c r="R444" s="89"/>
      <c r="S444" s="25"/>
      <c r="T444" s="25"/>
      <c r="U444" s="25"/>
      <c r="V444" s="25"/>
      <c r="W444" s="26"/>
      <c r="X444" s="26"/>
      <c r="Y444" s="26"/>
      <c r="Z444" s="26"/>
      <c r="AA444" s="26"/>
      <c r="AB444" s="26"/>
      <c r="AC444" s="26"/>
      <c r="AD444" s="25"/>
      <c r="AE444" s="25"/>
      <c r="AF444" s="25"/>
      <c r="AG444" s="25"/>
    </row>
    <row r="445" spans="1:33">
      <c r="A445" s="94"/>
      <c r="B445" s="94"/>
      <c r="C445" s="94"/>
      <c r="D445" s="95"/>
      <c r="E445" s="94"/>
      <c r="F445" s="95"/>
      <c r="G445" s="95"/>
      <c r="H445" s="95"/>
      <c r="I445" s="93"/>
      <c r="J445" s="93"/>
      <c r="K445" s="93"/>
      <c r="L445" s="93"/>
      <c r="M445" s="24"/>
      <c r="N445" s="25"/>
      <c r="O445" s="25"/>
      <c r="P445" s="25"/>
      <c r="Q445" s="25"/>
      <c r="R445" s="89"/>
      <c r="S445" s="25"/>
      <c r="T445" s="25"/>
      <c r="U445" s="25"/>
      <c r="V445" s="25"/>
      <c r="W445" s="26"/>
      <c r="X445" s="26"/>
      <c r="Y445" s="26"/>
      <c r="Z445" s="26"/>
      <c r="AA445" s="26"/>
      <c r="AB445" s="26"/>
      <c r="AC445" s="26"/>
      <c r="AD445" s="25"/>
      <c r="AE445" s="25"/>
      <c r="AF445" s="25"/>
      <c r="AG445" s="25"/>
    </row>
    <row r="446" spans="1:33">
      <c r="A446" s="94"/>
      <c r="B446" s="94"/>
      <c r="C446" s="94"/>
      <c r="D446" s="95"/>
      <c r="E446" s="94"/>
      <c r="F446" s="95"/>
      <c r="G446" s="95"/>
      <c r="H446" s="95"/>
      <c r="I446" s="93"/>
      <c r="J446" s="93"/>
      <c r="K446" s="93"/>
      <c r="L446" s="93"/>
      <c r="M446" s="24"/>
      <c r="N446" s="25"/>
      <c r="O446" s="25"/>
      <c r="P446" s="25"/>
      <c r="Q446" s="25"/>
      <c r="R446" s="89"/>
      <c r="S446" s="25"/>
      <c r="T446" s="25"/>
      <c r="U446" s="25"/>
      <c r="V446" s="25"/>
      <c r="W446" s="26"/>
      <c r="X446" s="26"/>
      <c r="Y446" s="26"/>
      <c r="Z446" s="26"/>
      <c r="AA446" s="26"/>
      <c r="AB446" s="26"/>
      <c r="AC446" s="26"/>
      <c r="AD446" s="25"/>
      <c r="AE446" s="25"/>
      <c r="AF446" s="25"/>
      <c r="AG446" s="25"/>
    </row>
    <row r="447" spans="1:33">
      <c r="A447" s="94"/>
      <c r="B447" s="94"/>
      <c r="C447" s="94"/>
      <c r="D447" s="95"/>
      <c r="E447" s="94"/>
      <c r="F447" s="95"/>
      <c r="G447" s="95"/>
      <c r="H447" s="95"/>
      <c r="I447" s="93"/>
      <c r="J447" s="93"/>
      <c r="K447" s="93"/>
      <c r="L447" s="93"/>
      <c r="M447" s="24"/>
      <c r="N447" s="25"/>
      <c r="O447" s="25"/>
      <c r="P447" s="25"/>
      <c r="Q447" s="25"/>
      <c r="R447" s="89"/>
      <c r="S447" s="25"/>
      <c r="T447" s="25"/>
      <c r="U447" s="25"/>
      <c r="V447" s="25"/>
      <c r="W447" s="26"/>
      <c r="X447" s="26"/>
      <c r="Y447" s="26"/>
      <c r="Z447" s="26"/>
      <c r="AA447" s="26"/>
      <c r="AB447" s="26"/>
      <c r="AC447" s="26"/>
      <c r="AD447" s="25"/>
      <c r="AE447" s="25"/>
      <c r="AF447" s="25"/>
      <c r="AG447" s="25"/>
    </row>
    <row r="448" spans="1:33">
      <c r="A448" s="94"/>
      <c r="B448" s="94"/>
      <c r="C448" s="94"/>
      <c r="D448" s="95"/>
      <c r="E448" s="94"/>
      <c r="F448" s="95"/>
      <c r="G448" s="95"/>
      <c r="H448" s="95"/>
      <c r="I448" s="93"/>
      <c r="J448" s="93"/>
      <c r="K448" s="93"/>
      <c r="L448" s="93"/>
      <c r="M448" s="24"/>
      <c r="N448" s="25"/>
      <c r="O448" s="25"/>
      <c r="P448" s="25"/>
      <c r="Q448" s="25"/>
      <c r="R448" s="89"/>
      <c r="S448" s="25"/>
      <c r="T448" s="25"/>
      <c r="U448" s="25"/>
      <c r="V448" s="25"/>
      <c r="W448" s="26"/>
      <c r="X448" s="26"/>
      <c r="Y448" s="26"/>
      <c r="Z448" s="26"/>
      <c r="AA448" s="26"/>
      <c r="AB448" s="26"/>
      <c r="AC448" s="26"/>
      <c r="AD448" s="25"/>
      <c r="AE448" s="25"/>
      <c r="AF448" s="25"/>
      <c r="AG448" s="25"/>
    </row>
    <row r="449" spans="1:33">
      <c r="A449" s="94"/>
      <c r="B449" s="94"/>
      <c r="C449" s="94"/>
      <c r="D449" s="95"/>
      <c r="E449" s="94"/>
      <c r="F449" s="95"/>
      <c r="G449" s="95"/>
      <c r="H449" s="95"/>
      <c r="I449" s="93"/>
      <c r="J449" s="93"/>
      <c r="K449" s="93"/>
      <c r="L449" s="93"/>
      <c r="M449" s="24"/>
      <c r="N449" s="25"/>
      <c r="O449" s="25"/>
      <c r="P449" s="25"/>
      <c r="Q449" s="25"/>
      <c r="R449" s="89"/>
      <c r="S449" s="25"/>
      <c r="T449" s="25"/>
      <c r="U449" s="25"/>
      <c r="V449" s="25"/>
      <c r="W449" s="26"/>
      <c r="X449" s="26"/>
      <c r="Y449" s="26"/>
      <c r="Z449" s="26"/>
      <c r="AA449" s="26"/>
      <c r="AB449" s="26"/>
      <c r="AC449" s="26"/>
      <c r="AD449" s="25"/>
      <c r="AE449" s="25"/>
      <c r="AF449" s="25"/>
      <c r="AG449" s="25"/>
    </row>
    <row r="450" spans="1:33">
      <c r="A450" s="94"/>
      <c r="B450" s="94"/>
      <c r="C450" s="94"/>
      <c r="D450" s="95"/>
      <c r="E450" s="94"/>
      <c r="F450" s="95"/>
      <c r="G450" s="95"/>
      <c r="H450" s="95"/>
      <c r="I450" s="93"/>
      <c r="J450" s="93"/>
      <c r="K450" s="93"/>
      <c r="L450" s="93"/>
      <c r="M450" s="24"/>
      <c r="N450" s="25"/>
      <c r="O450" s="25"/>
      <c r="P450" s="25"/>
      <c r="Q450" s="25"/>
      <c r="R450" s="89"/>
      <c r="S450" s="25"/>
      <c r="T450" s="25"/>
      <c r="U450" s="25"/>
      <c r="V450" s="25"/>
      <c r="W450" s="26"/>
      <c r="X450" s="26"/>
      <c r="Y450" s="26"/>
      <c r="Z450" s="26"/>
      <c r="AA450" s="26"/>
      <c r="AB450" s="26"/>
      <c r="AC450" s="26"/>
      <c r="AD450" s="25"/>
      <c r="AE450" s="25"/>
      <c r="AF450" s="25"/>
      <c r="AG450" s="25"/>
    </row>
    <row r="451" spans="1:33">
      <c r="A451" s="94"/>
      <c r="B451" s="94"/>
      <c r="C451" s="94"/>
      <c r="D451" s="95"/>
      <c r="E451" s="94"/>
      <c r="F451" s="95"/>
      <c r="G451" s="95"/>
      <c r="H451" s="95"/>
      <c r="I451" s="93"/>
      <c r="J451" s="93"/>
      <c r="K451" s="93"/>
      <c r="L451" s="93"/>
      <c r="M451" s="24"/>
      <c r="N451" s="25"/>
      <c r="O451" s="25"/>
      <c r="P451" s="25"/>
      <c r="Q451" s="25"/>
      <c r="R451" s="89"/>
      <c r="S451" s="25"/>
      <c r="T451" s="25"/>
      <c r="U451" s="25"/>
      <c r="V451" s="25"/>
      <c r="W451" s="26"/>
      <c r="X451" s="26"/>
      <c r="Y451" s="26"/>
      <c r="Z451" s="26"/>
      <c r="AA451" s="26"/>
      <c r="AB451" s="26"/>
      <c r="AC451" s="26"/>
      <c r="AD451" s="25"/>
      <c r="AE451" s="25"/>
      <c r="AF451" s="25"/>
      <c r="AG451" s="25"/>
    </row>
    <row r="452" spans="1:33">
      <c r="A452" s="94"/>
      <c r="B452" s="94"/>
      <c r="C452" s="94"/>
      <c r="D452" s="95"/>
      <c r="E452" s="94"/>
      <c r="F452" s="95"/>
      <c r="G452" s="95"/>
      <c r="H452" s="95"/>
      <c r="I452" s="93"/>
      <c r="J452" s="93"/>
      <c r="K452" s="93"/>
      <c r="L452" s="93"/>
      <c r="M452" s="24"/>
      <c r="N452" s="25"/>
      <c r="O452" s="25"/>
      <c r="P452" s="25"/>
      <c r="Q452" s="25"/>
      <c r="R452" s="89"/>
      <c r="S452" s="25"/>
      <c r="T452" s="25"/>
      <c r="U452" s="25"/>
      <c r="V452" s="25"/>
      <c r="W452" s="26"/>
      <c r="X452" s="26"/>
      <c r="Y452" s="26"/>
      <c r="Z452" s="26"/>
      <c r="AA452" s="26"/>
      <c r="AB452" s="26"/>
      <c r="AC452" s="26"/>
      <c r="AD452" s="25"/>
      <c r="AE452" s="25"/>
      <c r="AF452" s="25"/>
      <c r="AG452" s="25"/>
    </row>
    <row r="453" spans="1:33">
      <c r="A453" s="94"/>
      <c r="B453" s="94"/>
      <c r="C453" s="94"/>
      <c r="D453" s="95"/>
      <c r="E453" s="94"/>
      <c r="F453" s="95"/>
      <c r="G453" s="95"/>
      <c r="H453" s="95"/>
      <c r="I453" s="93"/>
      <c r="J453" s="93"/>
      <c r="K453" s="93"/>
      <c r="L453" s="93"/>
      <c r="M453" s="24"/>
      <c r="N453" s="25"/>
      <c r="O453" s="25"/>
      <c r="P453" s="25"/>
      <c r="Q453" s="25"/>
      <c r="R453" s="89"/>
      <c r="S453" s="25"/>
      <c r="T453" s="25"/>
      <c r="U453" s="25"/>
      <c r="V453" s="25"/>
      <c r="W453" s="26"/>
      <c r="X453" s="26"/>
      <c r="Y453" s="26"/>
      <c r="Z453" s="26"/>
      <c r="AA453" s="26"/>
      <c r="AB453" s="26"/>
      <c r="AC453" s="26"/>
      <c r="AD453" s="25"/>
      <c r="AE453" s="25"/>
      <c r="AF453" s="25"/>
      <c r="AG453" s="25"/>
    </row>
    <row r="454" spans="1:33">
      <c r="A454" s="94"/>
      <c r="B454" s="94"/>
      <c r="C454" s="94"/>
      <c r="D454" s="95"/>
      <c r="E454" s="94"/>
      <c r="F454" s="95"/>
      <c r="G454" s="95"/>
      <c r="H454" s="95"/>
      <c r="I454" s="93"/>
      <c r="J454" s="93"/>
      <c r="K454" s="93"/>
      <c r="L454" s="93"/>
      <c r="M454" s="24"/>
      <c r="N454" s="25"/>
      <c r="O454" s="25"/>
      <c r="P454" s="25"/>
      <c r="Q454" s="25"/>
      <c r="R454" s="89"/>
      <c r="S454" s="25"/>
      <c r="T454" s="25"/>
      <c r="U454" s="25"/>
      <c r="V454" s="25"/>
      <c r="W454" s="26"/>
      <c r="X454" s="26"/>
      <c r="Y454" s="26"/>
      <c r="Z454" s="26"/>
      <c r="AA454" s="26"/>
      <c r="AB454" s="26"/>
      <c r="AC454" s="26"/>
      <c r="AD454" s="25"/>
      <c r="AE454" s="25"/>
      <c r="AF454" s="25"/>
      <c r="AG454" s="25"/>
    </row>
    <row r="455" spans="1:33">
      <c r="A455" s="94"/>
      <c r="B455" s="94"/>
      <c r="C455" s="94"/>
      <c r="D455" s="95"/>
      <c r="E455" s="94"/>
      <c r="F455" s="95"/>
      <c r="G455" s="95"/>
      <c r="H455" s="95"/>
      <c r="I455" s="93"/>
      <c r="J455" s="93"/>
      <c r="K455" s="93"/>
      <c r="L455" s="93"/>
      <c r="M455" s="24"/>
      <c r="N455" s="25"/>
      <c r="O455" s="25"/>
      <c r="P455" s="25"/>
      <c r="Q455" s="25"/>
      <c r="R455" s="89"/>
      <c r="S455" s="25"/>
      <c r="T455" s="25"/>
      <c r="U455" s="25"/>
      <c r="V455" s="25"/>
      <c r="W455" s="26"/>
      <c r="X455" s="26"/>
      <c r="Y455" s="26"/>
      <c r="Z455" s="26"/>
      <c r="AA455" s="26"/>
      <c r="AB455" s="26"/>
      <c r="AC455" s="26"/>
      <c r="AD455" s="25"/>
      <c r="AE455" s="25"/>
      <c r="AF455" s="25"/>
      <c r="AG455" s="25"/>
    </row>
    <row r="456" spans="1:33">
      <c r="A456" s="94"/>
      <c r="B456" s="94"/>
      <c r="C456" s="94"/>
      <c r="D456" s="95"/>
      <c r="E456" s="94"/>
      <c r="F456" s="95"/>
      <c r="G456" s="95"/>
      <c r="H456" s="95"/>
      <c r="I456" s="93"/>
      <c r="J456" s="93"/>
      <c r="K456" s="93"/>
      <c r="L456" s="93"/>
      <c r="M456" s="24"/>
      <c r="N456" s="25"/>
      <c r="O456" s="25"/>
      <c r="P456" s="25"/>
      <c r="Q456" s="25"/>
      <c r="R456" s="89"/>
      <c r="S456" s="25"/>
      <c r="T456" s="25"/>
      <c r="U456" s="25"/>
      <c r="V456" s="25"/>
      <c r="W456" s="26"/>
      <c r="X456" s="26"/>
      <c r="Y456" s="26"/>
      <c r="Z456" s="26"/>
      <c r="AA456" s="26"/>
      <c r="AB456" s="26"/>
      <c r="AC456" s="26"/>
      <c r="AD456" s="25"/>
      <c r="AE456" s="25"/>
      <c r="AF456" s="25"/>
      <c r="AG456" s="25"/>
    </row>
    <row r="457" spans="1:33">
      <c r="A457" s="94"/>
      <c r="B457" s="94"/>
      <c r="C457" s="94"/>
      <c r="D457" s="95"/>
      <c r="E457" s="94"/>
      <c r="F457" s="95"/>
      <c r="G457" s="95"/>
      <c r="H457" s="95"/>
      <c r="I457" s="93"/>
      <c r="J457" s="93"/>
      <c r="K457" s="93"/>
      <c r="L457" s="93"/>
      <c r="M457" s="24"/>
      <c r="N457" s="25"/>
      <c r="O457" s="25"/>
      <c r="P457" s="25"/>
      <c r="Q457" s="25"/>
      <c r="R457" s="89"/>
      <c r="S457" s="25"/>
      <c r="T457" s="25"/>
      <c r="U457" s="25"/>
      <c r="V457" s="25"/>
      <c r="W457" s="26"/>
      <c r="X457" s="26"/>
      <c r="Y457" s="26"/>
      <c r="Z457" s="26"/>
      <c r="AA457" s="26"/>
      <c r="AB457" s="26"/>
      <c r="AC457" s="26"/>
      <c r="AD457" s="25"/>
      <c r="AE457" s="25"/>
      <c r="AF457" s="25"/>
      <c r="AG457" s="25"/>
    </row>
    <row r="458" spans="1:33">
      <c r="A458" s="94"/>
      <c r="B458" s="94"/>
      <c r="C458" s="94"/>
      <c r="D458" s="95"/>
      <c r="E458" s="94"/>
      <c r="F458" s="95"/>
      <c r="G458" s="95"/>
      <c r="H458" s="95"/>
      <c r="I458" s="93"/>
      <c r="J458" s="93"/>
      <c r="K458" s="93"/>
      <c r="L458" s="93"/>
      <c r="M458" s="24"/>
      <c r="N458" s="25"/>
      <c r="O458" s="25"/>
      <c r="P458" s="25"/>
      <c r="Q458" s="25"/>
      <c r="R458" s="89"/>
      <c r="S458" s="25"/>
      <c r="T458" s="25"/>
      <c r="U458" s="25"/>
      <c r="V458" s="25"/>
      <c r="W458" s="26"/>
      <c r="X458" s="26"/>
      <c r="Y458" s="26"/>
      <c r="Z458" s="26"/>
      <c r="AA458" s="26"/>
      <c r="AB458" s="26"/>
      <c r="AC458" s="26"/>
      <c r="AD458" s="25"/>
      <c r="AE458" s="25"/>
      <c r="AF458" s="25"/>
      <c r="AG458" s="25"/>
    </row>
    <row r="459" spans="1:33">
      <c r="A459" s="94"/>
      <c r="B459" s="94"/>
      <c r="C459" s="94"/>
      <c r="D459" s="95"/>
      <c r="E459" s="94"/>
      <c r="F459" s="95"/>
      <c r="G459" s="95"/>
      <c r="H459" s="95"/>
      <c r="I459" s="93"/>
      <c r="J459" s="93"/>
      <c r="K459" s="93"/>
      <c r="L459" s="93"/>
      <c r="M459" s="24"/>
      <c r="N459" s="25"/>
      <c r="O459" s="25"/>
      <c r="P459" s="25"/>
      <c r="Q459" s="25"/>
      <c r="R459" s="89"/>
      <c r="S459" s="25"/>
      <c r="T459" s="25"/>
      <c r="U459" s="25"/>
      <c r="V459" s="25"/>
      <c r="W459" s="26"/>
      <c r="X459" s="26"/>
      <c r="Y459" s="26"/>
      <c r="Z459" s="26"/>
      <c r="AA459" s="26"/>
      <c r="AB459" s="26"/>
      <c r="AC459" s="26"/>
      <c r="AD459" s="25"/>
      <c r="AE459" s="25"/>
      <c r="AF459" s="25"/>
      <c r="AG459" s="25"/>
    </row>
    <row r="460" spans="1:33">
      <c r="A460" s="94"/>
      <c r="B460" s="94"/>
      <c r="C460" s="94"/>
      <c r="D460" s="95"/>
      <c r="E460" s="94"/>
      <c r="F460" s="95"/>
      <c r="G460" s="95"/>
      <c r="H460" s="95"/>
      <c r="I460" s="93"/>
      <c r="J460" s="93"/>
      <c r="K460" s="93"/>
      <c r="L460" s="93"/>
      <c r="M460" s="24"/>
      <c r="N460" s="25"/>
      <c r="O460" s="25"/>
      <c r="P460" s="25"/>
      <c r="Q460" s="25"/>
      <c r="R460" s="89"/>
      <c r="S460" s="25"/>
      <c r="T460" s="25"/>
      <c r="U460" s="25"/>
      <c r="V460" s="25"/>
      <c r="W460" s="26"/>
      <c r="X460" s="26"/>
      <c r="Y460" s="26"/>
      <c r="Z460" s="26"/>
      <c r="AA460" s="26"/>
      <c r="AB460" s="26"/>
      <c r="AC460" s="26"/>
      <c r="AD460" s="25"/>
      <c r="AE460" s="25"/>
      <c r="AF460" s="25"/>
      <c r="AG460" s="25"/>
    </row>
    <row r="461" spans="1:33">
      <c r="A461" s="94"/>
      <c r="B461" s="94"/>
      <c r="C461" s="94"/>
      <c r="D461" s="95"/>
      <c r="E461" s="94"/>
      <c r="F461" s="95"/>
      <c r="G461" s="95"/>
      <c r="H461" s="95"/>
      <c r="I461" s="93"/>
      <c r="J461" s="93"/>
      <c r="K461" s="93"/>
      <c r="L461" s="93"/>
      <c r="M461" s="24"/>
      <c r="N461" s="25"/>
      <c r="O461" s="25"/>
      <c r="P461" s="25"/>
      <c r="Q461" s="25"/>
      <c r="R461" s="89"/>
      <c r="S461" s="25"/>
      <c r="T461" s="25"/>
      <c r="U461" s="25"/>
      <c r="V461" s="25"/>
      <c r="W461" s="26"/>
      <c r="X461" s="26"/>
      <c r="Y461" s="26"/>
      <c r="Z461" s="26"/>
      <c r="AA461" s="26"/>
      <c r="AB461" s="26"/>
      <c r="AC461" s="26"/>
      <c r="AD461" s="25"/>
      <c r="AE461" s="25"/>
      <c r="AF461" s="25"/>
      <c r="AG461" s="25"/>
    </row>
    <row r="462" spans="1:33">
      <c r="A462" s="94"/>
      <c r="B462" s="94"/>
      <c r="C462" s="94"/>
      <c r="D462" s="95"/>
      <c r="E462" s="94"/>
      <c r="F462" s="95"/>
      <c r="G462" s="95"/>
      <c r="H462" s="95"/>
      <c r="I462" s="93"/>
      <c r="J462" s="93"/>
      <c r="K462" s="93"/>
      <c r="L462" s="93"/>
      <c r="M462" s="24"/>
      <c r="N462" s="25"/>
      <c r="O462" s="25"/>
      <c r="P462" s="25"/>
      <c r="Q462" s="25"/>
      <c r="R462" s="89"/>
      <c r="S462" s="25"/>
      <c r="T462" s="25"/>
      <c r="U462" s="25"/>
      <c r="V462" s="25"/>
      <c r="W462" s="26"/>
      <c r="X462" s="26"/>
      <c r="Y462" s="26"/>
      <c r="Z462" s="26"/>
      <c r="AA462" s="26"/>
      <c r="AB462" s="26"/>
      <c r="AC462" s="26"/>
      <c r="AD462" s="25"/>
      <c r="AE462" s="25"/>
      <c r="AF462" s="25"/>
      <c r="AG462" s="25"/>
    </row>
    <row r="463" spans="1:33">
      <c r="A463" s="94"/>
      <c r="B463" s="94"/>
      <c r="C463" s="94"/>
      <c r="D463" s="95"/>
      <c r="E463" s="94"/>
      <c r="F463" s="95"/>
      <c r="G463" s="95"/>
      <c r="H463" s="95"/>
      <c r="I463" s="93"/>
      <c r="J463" s="93"/>
      <c r="K463" s="93"/>
      <c r="L463" s="93"/>
      <c r="M463" s="24"/>
      <c r="N463" s="25"/>
      <c r="O463" s="25"/>
      <c r="P463" s="25"/>
      <c r="Q463" s="25"/>
      <c r="R463" s="89"/>
      <c r="S463" s="25"/>
      <c r="T463" s="25"/>
      <c r="U463" s="25"/>
      <c r="V463" s="25"/>
      <c r="W463" s="26"/>
      <c r="X463" s="26"/>
      <c r="Y463" s="26"/>
      <c r="Z463" s="26"/>
      <c r="AA463" s="26"/>
      <c r="AB463" s="26"/>
      <c r="AC463" s="26"/>
      <c r="AD463" s="25"/>
      <c r="AE463" s="25"/>
      <c r="AF463" s="25"/>
      <c r="AG463" s="25"/>
    </row>
    <row r="464" spans="1:33">
      <c r="A464" s="94"/>
      <c r="B464" s="94"/>
      <c r="C464" s="94"/>
      <c r="D464" s="95"/>
      <c r="E464" s="94"/>
      <c r="F464" s="95"/>
      <c r="G464" s="95"/>
      <c r="H464" s="95"/>
      <c r="I464" s="93"/>
      <c r="J464" s="93"/>
      <c r="K464" s="93"/>
      <c r="L464" s="93"/>
      <c r="M464" s="24"/>
      <c r="N464" s="25"/>
      <c r="O464" s="25"/>
      <c r="P464" s="25"/>
      <c r="Q464" s="25"/>
      <c r="R464" s="89"/>
      <c r="S464" s="25"/>
      <c r="T464" s="25"/>
      <c r="U464" s="25"/>
      <c r="V464" s="25"/>
      <c r="W464" s="26"/>
      <c r="X464" s="26"/>
      <c r="Y464" s="26"/>
      <c r="Z464" s="26"/>
      <c r="AA464" s="26"/>
      <c r="AB464" s="26"/>
      <c r="AC464" s="26"/>
      <c r="AD464" s="25"/>
      <c r="AE464" s="25"/>
      <c r="AF464" s="25"/>
      <c r="AG464" s="25"/>
    </row>
    <row r="465" spans="1:33">
      <c r="A465" s="94"/>
      <c r="B465" s="94"/>
      <c r="C465" s="94"/>
      <c r="D465" s="95"/>
      <c r="E465" s="94"/>
      <c r="F465" s="95"/>
      <c r="G465" s="95"/>
      <c r="H465" s="95"/>
      <c r="I465" s="93"/>
      <c r="J465" s="93"/>
      <c r="K465" s="93"/>
      <c r="L465" s="93"/>
      <c r="M465" s="24"/>
      <c r="N465" s="25"/>
      <c r="O465" s="25"/>
      <c r="P465" s="25"/>
      <c r="Q465" s="25"/>
      <c r="R465" s="89"/>
      <c r="S465" s="25"/>
      <c r="T465" s="25"/>
      <c r="U465" s="25"/>
      <c r="V465" s="25"/>
      <c r="W465" s="26"/>
      <c r="X465" s="26"/>
      <c r="Y465" s="26"/>
      <c r="Z465" s="26"/>
      <c r="AA465" s="26"/>
      <c r="AB465" s="26"/>
      <c r="AC465" s="26"/>
      <c r="AD465" s="25"/>
      <c r="AE465" s="25"/>
      <c r="AF465" s="25"/>
      <c r="AG465" s="25"/>
    </row>
    <row r="466" spans="1:33">
      <c r="A466" s="94"/>
      <c r="B466" s="94"/>
      <c r="C466" s="94"/>
      <c r="D466" s="95"/>
      <c r="E466" s="94"/>
      <c r="F466" s="95"/>
      <c r="G466" s="95"/>
      <c r="H466" s="95"/>
      <c r="I466" s="93"/>
      <c r="J466" s="93"/>
      <c r="K466" s="93"/>
      <c r="L466" s="93"/>
      <c r="M466" s="24"/>
      <c r="N466" s="25"/>
      <c r="O466" s="25"/>
      <c r="P466" s="25"/>
      <c r="Q466" s="25"/>
      <c r="R466" s="89"/>
      <c r="S466" s="25"/>
      <c r="T466" s="25"/>
      <c r="U466" s="25"/>
      <c r="V466" s="25"/>
      <c r="W466" s="26"/>
      <c r="X466" s="26"/>
      <c r="Y466" s="26"/>
      <c r="Z466" s="26"/>
      <c r="AA466" s="26"/>
      <c r="AB466" s="26"/>
      <c r="AC466" s="26"/>
      <c r="AD466" s="25"/>
      <c r="AE466" s="25"/>
      <c r="AF466" s="25"/>
      <c r="AG466" s="25"/>
    </row>
    <row r="467" spans="1:33">
      <c r="A467" s="94"/>
      <c r="B467" s="94"/>
      <c r="C467" s="94"/>
      <c r="D467" s="95"/>
      <c r="E467" s="94"/>
      <c r="F467" s="95"/>
      <c r="G467" s="95"/>
      <c r="H467" s="95"/>
      <c r="I467" s="93"/>
      <c r="J467" s="93"/>
      <c r="K467" s="93"/>
      <c r="L467" s="93"/>
      <c r="M467" s="24"/>
      <c r="N467" s="25"/>
      <c r="O467" s="25"/>
      <c r="P467" s="25"/>
      <c r="Q467" s="25"/>
      <c r="R467" s="89"/>
      <c r="S467" s="25"/>
      <c r="T467" s="25"/>
      <c r="U467" s="25"/>
      <c r="V467" s="25"/>
      <c r="W467" s="26"/>
      <c r="X467" s="26"/>
      <c r="Y467" s="26"/>
      <c r="Z467" s="26"/>
      <c r="AA467" s="26"/>
      <c r="AB467" s="26"/>
      <c r="AC467" s="26"/>
      <c r="AD467" s="25"/>
      <c r="AE467" s="25"/>
      <c r="AF467" s="25"/>
      <c r="AG467" s="25"/>
    </row>
    <row r="468" spans="1:33">
      <c r="A468" s="94"/>
      <c r="B468" s="94"/>
      <c r="C468" s="94"/>
      <c r="D468" s="95"/>
      <c r="E468" s="94"/>
      <c r="F468" s="95"/>
      <c r="G468" s="95"/>
      <c r="H468" s="95"/>
      <c r="I468" s="93"/>
      <c r="J468" s="93"/>
      <c r="K468" s="93"/>
      <c r="L468" s="93"/>
      <c r="M468" s="24"/>
      <c r="N468" s="25"/>
      <c r="O468" s="25"/>
      <c r="P468" s="25"/>
      <c r="Q468" s="25"/>
      <c r="R468" s="89"/>
      <c r="S468" s="25"/>
      <c r="T468" s="25"/>
      <c r="U468" s="25"/>
      <c r="V468" s="25"/>
      <c r="W468" s="26"/>
      <c r="X468" s="26"/>
      <c r="Y468" s="26"/>
      <c r="Z468" s="26"/>
      <c r="AA468" s="26"/>
      <c r="AB468" s="26"/>
      <c r="AC468" s="26"/>
      <c r="AD468" s="25"/>
      <c r="AE468" s="25"/>
      <c r="AF468" s="25"/>
      <c r="AG468" s="25"/>
    </row>
    <row r="469" spans="1:33">
      <c r="A469" s="94"/>
      <c r="B469" s="94"/>
      <c r="C469" s="94"/>
      <c r="D469" s="95"/>
      <c r="E469" s="94"/>
      <c r="F469" s="95"/>
      <c r="G469" s="95"/>
      <c r="H469" s="95"/>
      <c r="I469" s="93"/>
      <c r="J469" s="93"/>
      <c r="K469" s="93"/>
      <c r="L469" s="93"/>
      <c r="M469" s="24"/>
      <c r="N469" s="25"/>
      <c r="O469" s="25"/>
      <c r="P469" s="25"/>
      <c r="Q469" s="25"/>
      <c r="R469" s="89"/>
      <c r="S469" s="25"/>
      <c r="T469" s="25"/>
      <c r="U469" s="25"/>
      <c r="V469" s="25"/>
      <c r="W469" s="26"/>
      <c r="X469" s="26"/>
      <c r="Y469" s="26"/>
      <c r="Z469" s="26"/>
      <c r="AA469" s="26"/>
      <c r="AB469" s="26"/>
      <c r="AC469" s="26"/>
      <c r="AD469" s="25"/>
      <c r="AE469" s="25"/>
      <c r="AF469" s="25"/>
      <c r="AG469" s="25"/>
    </row>
    <row r="470" spans="1:33">
      <c r="A470" s="94"/>
      <c r="B470" s="94"/>
      <c r="C470" s="94"/>
      <c r="D470" s="95"/>
      <c r="E470" s="94"/>
      <c r="F470" s="95"/>
      <c r="G470" s="95"/>
      <c r="H470" s="95"/>
      <c r="I470" s="93"/>
      <c r="J470" s="93"/>
      <c r="K470" s="93"/>
      <c r="L470" s="93"/>
      <c r="M470" s="24"/>
      <c r="N470" s="25"/>
      <c r="O470" s="25"/>
      <c r="P470" s="25"/>
      <c r="Q470" s="25"/>
      <c r="R470" s="89"/>
      <c r="S470" s="25"/>
      <c r="T470" s="25"/>
      <c r="U470" s="25"/>
      <c r="V470" s="25"/>
      <c r="W470" s="26"/>
      <c r="X470" s="26"/>
      <c r="Y470" s="26"/>
      <c r="Z470" s="26"/>
      <c r="AA470" s="26"/>
      <c r="AB470" s="26"/>
      <c r="AC470" s="26"/>
      <c r="AD470" s="25"/>
      <c r="AE470" s="25"/>
      <c r="AF470" s="25"/>
      <c r="AG470" s="25"/>
    </row>
    <row r="471" spans="1:33">
      <c r="A471" s="94"/>
      <c r="B471" s="94"/>
      <c r="C471" s="94"/>
      <c r="D471" s="95"/>
      <c r="E471" s="94"/>
      <c r="F471" s="95"/>
      <c r="G471" s="95"/>
      <c r="H471" s="95"/>
      <c r="I471" s="93"/>
      <c r="J471" s="93"/>
      <c r="K471" s="93"/>
      <c r="L471" s="93"/>
      <c r="M471" s="24"/>
      <c r="N471" s="25"/>
      <c r="O471" s="25"/>
      <c r="P471" s="25"/>
      <c r="Q471" s="25"/>
      <c r="R471" s="89"/>
      <c r="S471" s="25"/>
      <c r="T471" s="25"/>
      <c r="U471" s="25"/>
      <c r="V471" s="25"/>
      <c r="W471" s="26"/>
      <c r="X471" s="26"/>
      <c r="Y471" s="26"/>
      <c r="Z471" s="26"/>
      <c r="AA471" s="26"/>
      <c r="AB471" s="26"/>
      <c r="AC471" s="26"/>
      <c r="AD471" s="25"/>
      <c r="AE471" s="25"/>
      <c r="AF471" s="25"/>
      <c r="AG471" s="25"/>
    </row>
    <row r="472" spans="1:33">
      <c r="A472" s="94"/>
      <c r="B472" s="94"/>
      <c r="C472" s="94"/>
      <c r="D472" s="95"/>
      <c r="E472" s="94"/>
      <c r="F472" s="95"/>
      <c r="G472" s="95"/>
      <c r="H472" s="95"/>
      <c r="I472" s="93"/>
      <c r="J472" s="93"/>
      <c r="K472" s="93"/>
      <c r="L472" s="93"/>
      <c r="M472" s="24"/>
      <c r="N472" s="25"/>
      <c r="O472" s="25"/>
      <c r="P472" s="25"/>
      <c r="Q472" s="25"/>
      <c r="R472" s="89"/>
      <c r="S472" s="25"/>
      <c r="T472" s="25"/>
      <c r="U472" s="25"/>
      <c r="V472" s="25"/>
      <c r="W472" s="26"/>
      <c r="X472" s="26"/>
      <c r="Y472" s="26"/>
      <c r="Z472" s="26"/>
      <c r="AA472" s="26"/>
      <c r="AB472" s="26"/>
      <c r="AC472" s="26"/>
      <c r="AD472" s="25"/>
      <c r="AE472" s="25"/>
      <c r="AF472" s="25"/>
      <c r="AG472" s="25"/>
    </row>
    <row r="473" spans="1:33">
      <c r="A473" s="94"/>
      <c r="B473" s="94"/>
      <c r="C473" s="94"/>
      <c r="D473" s="95"/>
      <c r="E473" s="94"/>
      <c r="F473" s="95"/>
      <c r="G473" s="95"/>
      <c r="H473" s="95"/>
      <c r="I473" s="93"/>
      <c r="J473" s="93"/>
      <c r="K473" s="93"/>
      <c r="L473" s="93"/>
      <c r="M473" s="24"/>
      <c r="N473" s="25"/>
      <c r="O473" s="25"/>
      <c r="P473" s="25"/>
      <c r="Q473" s="25"/>
      <c r="R473" s="89"/>
      <c r="S473" s="25"/>
      <c r="T473" s="25"/>
      <c r="U473" s="25"/>
      <c r="V473" s="25"/>
      <c r="W473" s="26"/>
      <c r="X473" s="26"/>
      <c r="Y473" s="26"/>
      <c r="Z473" s="26"/>
      <c r="AA473" s="26"/>
      <c r="AB473" s="26"/>
      <c r="AC473" s="26"/>
      <c r="AD473" s="25"/>
      <c r="AE473" s="25"/>
      <c r="AF473" s="25"/>
      <c r="AG473" s="25"/>
    </row>
    <row r="474" spans="1:33">
      <c r="A474" s="94"/>
      <c r="B474" s="94"/>
      <c r="C474" s="94"/>
      <c r="D474" s="95"/>
      <c r="E474" s="94"/>
      <c r="F474" s="95"/>
      <c r="G474" s="95"/>
      <c r="H474" s="95"/>
      <c r="I474" s="93"/>
      <c r="J474" s="93"/>
      <c r="K474" s="93"/>
      <c r="L474" s="93"/>
      <c r="M474" s="24"/>
      <c r="N474" s="25"/>
      <c r="O474" s="25"/>
      <c r="P474" s="25"/>
      <c r="Q474" s="25"/>
      <c r="R474" s="89"/>
      <c r="S474" s="25"/>
      <c r="T474" s="25"/>
      <c r="U474" s="25"/>
      <c r="V474" s="25"/>
      <c r="W474" s="26"/>
      <c r="X474" s="26"/>
      <c r="Y474" s="26"/>
      <c r="Z474" s="26"/>
      <c r="AA474" s="26"/>
      <c r="AB474" s="26"/>
      <c r="AC474" s="26"/>
      <c r="AD474" s="25"/>
      <c r="AE474" s="25"/>
      <c r="AF474" s="25"/>
      <c r="AG474" s="25"/>
    </row>
    <row r="475" spans="1:33">
      <c r="A475" s="94"/>
      <c r="B475" s="94"/>
      <c r="C475" s="94"/>
      <c r="D475" s="95"/>
      <c r="E475" s="94"/>
      <c r="F475" s="95"/>
      <c r="G475" s="95"/>
      <c r="H475" s="95"/>
      <c r="I475" s="93"/>
      <c r="J475" s="93"/>
      <c r="K475" s="93"/>
      <c r="L475" s="93"/>
      <c r="M475" s="24"/>
      <c r="N475" s="25"/>
      <c r="O475" s="25"/>
      <c r="P475" s="25"/>
      <c r="Q475" s="25"/>
      <c r="R475" s="89"/>
      <c r="S475" s="25"/>
      <c r="T475" s="25"/>
      <c r="U475" s="25"/>
      <c r="V475" s="25"/>
      <c r="W475" s="26"/>
      <c r="X475" s="26"/>
      <c r="Y475" s="26"/>
      <c r="Z475" s="26"/>
      <c r="AA475" s="26"/>
      <c r="AB475" s="26"/>
      <c r="AC475" s="26"/>
      <c r="AD475" s="25"/>
      <c r="AE475" s="25"/>
      <c r="AF475" s="25"/>
      <c r="AG475" s="25"/>
    </row>
    <row r="476" spans="1:33">
      <c r="A476" s="94"/>
      <c r="B476" s="94"/>
      <c r="C476" s="94"/>
      <c r="D476" s="95"/>
      <c r="E476" s="94"/>
      <c r="F476" s="95"/>
      <c r="G476" s="95"/>
      <c r="H476" s="95"/>
      <c r="I476" s="93"/>
      <c r="J476" s="93"/>
      <c r="K476" s="93"/>
      <c r="L476" s="93"/>
      <c r="M476" s="24"/>
      <c r="N476" s="25"/>
      <c r="O476" s="25"/>
      <c r="P476" s="25"/>
      <c r="Q476" s="25"/>
      <c r="R476" s="89"/>
      <c r="S476" s="25"/>
      <c r="T476" s="25"/>
      <c r="U476" s="25"/>
      <c r="V476" s="25"/>
      <c r="W476" s="26"/>
      <c r="X476" s="26"/>
      <c r="Y476" s="26"/>
      <c r="Z476" s="26"/>
      <c r="AA476" s="26"/>
      <c r="AB476" s="26"/>
      <c r="AC476" s="26"/>
      <c r="AD476" s="25"/>
      <c r="AE476" s="25"/>
      <c r="AF476" s="25"/>
      <c r="AG476" s="25"/>
    </row>
    <row r="477" spans="1:33">
      <c r="A477" s="94"/>
      <c r="B477" s="94"/>
      <c r="C477" s="94"/>
      <c r="D477" s="95"/>
      <c r="E477" s="94"/>
      <c r="F477" s="95"/>
      <c r="G477" s="95"/>
      <c r="H477" s="95"/>
      <c r="I477" s="93"/>
      <c r="J477" s="93"/>
      <c r="K477" s="93"/>
      <c r="L477" s="93"/>
      <c r="M477" s="24"/>
      <c r="N477" s="25"/>
      <c r="O477" s="25"/>
      <c r="P477" s="25"/>
      <c r="Q477" s="25"/>
      <c r="R477" s="89"/>
      <c r="S477" s="25"/>
      <c r="T477" s="25"/>
      <c r="U477" s="25"/>
      <c r="V477" s="25"/>
      <c r="W477" s="26"/>
      <c r="X477" s="26"/>
      <c r="Y477" s="26"/>
      <c r="Z477" s="26"/>
      <c r="AA477" s="26"/>
      <c r="AB477" s="26"/>
      <c r="AC477" s="26"/>
      <c r="AD477" s="25"/>
      <c r="AE477" s="25"/>
      <c r="AF477" s="25"/>
      <c r="AG477" s="25"/>
    </row>
    <row r="478" spans="1:33">
      <c r="A478" s="94"/>
      <c r="B478" s="94"/>
      <c r="C478" s="94"/>
      <c r="D478" s="95"/>
      <c r="E478" s="94"/>
      <c r="F478" s="95"/>
      <c r="G478" s="95"/>
      <c r="H478" s="95"/>
      <c r="I478" s="93"/>
      <c r="J478" s="93"/>
      <c r="K478" s="93"/>
      <c r="L478" s="93"/>
      <c r="M478" s="24"/>
      <c r="N478" s="25"/>
      <c r="O478" s="25"/>
      <c r="P478" s="25"/>
      <c r="Q478" s="25"/>
      <c r="R478" s="89"/>
      <c r="S478" s="25"/>
      <c r="T478" s="25"/>
      <c r="U478" s="25"/>
      <c r="V478" s="25"/>
      <c r="W478" s="26"/>
      <c r="X478" s="26"/>
      <c r="Y478" s="26"/>
      <c r="Z478" s="26"/>
      <c r="AA478" s="26"/>
      <c r="AB478" s="26"/>
      <c r="AC478" s="26"/>
      <c r="AD478" s="25"/>
      <c r="AE478" s="25"/>
      <c r="AF478" s="25"/>
      <c r="AG478" s="25"/>
    </row>
  </sheetData>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CF16A-6809-4D86-9B7F-DA2D0DD2CB00}">
  <sheetPr>
    <tabColor theme="4" tint="0.59999389629810485"/>
  </sheetPr>
  <dimension ref="A1:AJ308"/>
  <sheetViews>
    <sheetView zoomScaleNormal="100" workbookViewId="0">
      <pane xSplit="1" ySplit="1" topLeftCell="B48" activePane="bottomRight" state="frozen"/>
      <selection pane="topRight" activeCell="B1" sqref="B1"/>
      <selection pane="bottomLeft" activeCell="A2" sqref="A2"/>
      <selection pane="bottomRight" activeCell="B18" sqref="B18"/>
    </sheetView>
  </sheetViews>
  <sheetFormatPr defaultColWidth="8.6328125" defaultRowHeight="14.5"/>
  <cols>
    <col min="1" max="1" width="5.6328125" style="17" customWidth="1"/>
    <col min="2" max="2" width="107.54296875" style="6" customWidth="1"/>
    <col min="3" max="3" width="16.54296875" style="6" customWidth="1"/>
    <col min="4" max="4" width="14.453125" style="6" customWidth="1"/>
    <col min="5" max="5" width="11.453125" style="6" customWidth="1"/>
    <col min="6" max="6" width="11.36328125" style="16" customWidth="1"/>
    <col min="7" max="7" width="25.36328125" style="6" customWidth="1"/>
    <col min="8" max="9" width="10.6328125" style="16" customWidth="1"/>
    <col min="10" max="16384" width="8.6328125" style="16"/>
  </cols>
  <sheetData>
    <row r="1" spans="1:36" s="15" customFormat="1" ht="29">
      <c r="A1" s="19" t="s">
        <v>3164</v>
      </c>
      <c r="B1" s="13" t="s">
        <v>2</v>
      </c>
      <c r="C1" s="11" t="s">
        <v>3165</v>
      </c>
      <c r="D1" s="11" t="s">
        <v>3166</v>
      </c>
      <c r="E1" s="11" t="s">
        <v>3167</v>
      </c>
      <c r="F1" s="11" t="s">
        <v>3168</v>
      </c>
      <c r="G1" s="11" t="s">
        <v>3169</v>
      </c>
      <c r="H1" s="11" t="s">
        <v>3170</v>
      </c>
      <c r="I1" s="12" t="s">
        <v>3171</v>
      </c>
      <c r="J1" s="12" t="s">
        <v>3172</v>
      </c>
      <c r="K1" s="14"/>
      <c r="L1" s="14"/>
      <c r="M1" s="14"/>
      <c r="N1" s="14"/>
      <c r="O1" s="14"/>
      <c r="P1" s="14"/>
      <c r="Q1" s="14"/>
      <c r="R1" s="14"/>
      <c r="S1" s="14"/>
      <c r="T1" s="14"/>
      <c r="U1" s="14"/>
      <c r="V1" s="14"/>
      <c r="W1" s="14"/>
      <c r="X1" s="14"/>
      <c r="Y1" s="14"/>
      <c r="Z1" s="14"/>
      <c r="AA1" s="14"/>
      <c r="AB1" s="14"/>
      <c r="AC1" s="14"/>
      <c r="AD1" s="14"/>
      <c r="AE1" s="14"/>
      <c r="AF1" s="14"/>
      <c r="AG1" s="14"/>
      <c r="AH1" s="14"/>
      <c r="AI1" s="14"/>
      <c r="AJ1" s="14"/>
    </row>
    <row r="2" spans="1:36">
      <c r="A2" s="24">
        <v>1</v>
      </c>
      <c r="B2" s="20" t="str">
        <f>scopus[[#This Row],[Title]]</f>
        <v>Life Cycle Impacts of Timber and Reinforced Concrete Floor Slabs: A Comparative Assessment</v>
      </c>
      <c r="C2" s="101">
        <v>3</v>
      </c>
      <c r="D2" s="101">
        <v>3</v>
      </c>
      <c r="E2" s="101">
        <v>4</v>
      </c>
      <c r="F2" s="101">
        <v>5</v>
      </c>
      <c r="G2" s="21">
        <f>Table3[[#This Row],[Criteria 1 - Cross-Laminated-Timber]]+Table3[[#This Row],[Criteria 2 - Sustainability]]+Table3[[#This Row],[Criteria 3 - Concrete]]+Table3[[#This Row],[Criteria 4 - Floor]]</f>
        <v>15</v>
      </c>
      <c r="H2" s="20"/>
      <c r="I2" s="21" t="s">
        <v>3173</v>
      </c>
      <c r="J2" s="21" t="s">
        <v>3174</v>
      </c>
      <c r="K2" s="101"/>
    </row>
    <row r="3" spans="1:36">
      <c r="A3" s="24">
        <v>2</v>
      </c>
      <c r="B3" s="20" t="str">
        <f>scopus[[#This Row],[Title]]</f>
        <v>Structural design of hybrid steel-timber buildings for lower production stage embodied carbon emissions</v>
      </c>
      <c r="C3" s="99">
        <v>5</v>
      </c>
      <c r="D3" s="99">
        <v>5</v>
      </c>
      <c r="E3" s="99">
        <v>1</v>
      </c>
      <c r="F3" s="99">
        <v>4</v>
      </c>
      <c r="G3" s="20">
        <f>Table3[[#This Row],[Criteria 1 - Cross-Laminated-Timber]]+Table3[[#This Row],[Criteria 2 - Sustainability]]+Table3[[#This Row],[Criteria 3 - Concrete]]+Table3[[#This Row],[Criteria 4 - Floor]]</f>
        <v>15</v>
      </c>
      <c r="H3" s="20"/>
      <c r="I3" s="21"/>
      <c r="J3" s="21"/>
      <c r="K3" s="99"/>
    </row>
    <row r="4" spans="1:36">
      <c r="A4" s="24">
        <v>3</v>
      </c>
      <c r="B4" s="20" t="str">
        <f>scopus[[#This Row],[Title]]</f>
        <v>Technical note: A preliminary study to quantify the environmental impacts of concrete and cork flooring</v>
      </c>
      <c r="C4" s="101">
        <v>2</v>
      </c>
      <c r="D4" s="101">
        <v>4</v>
      </c>
      <c r="E4" s="101">
        <v>3</v>
      </c>
      <c r="F4" s="101">
        <v>5</v>
      </c>
      <c r="G4" s="21">
        <f>Table3[[#This Row],[Criteria 1 - Cross-Laminated-Timber]]+Table3[[#This Row],[Criteria 2 - Sustainability]]+Table3[[#This Row],[Criteria 3 - Concrete]]+Table3[[#This Row],[Criteria 4 - Floor]]</f>
        <v>14</v>
      </c>
      <c r="H4" s="20"/>
      <c r="I4" s="21"/>
      <c r="J4" s="21"/>
      <c r="K4" s="101"/>
    </row>
    <row r="5" spans="1:36" ht="26">
      <c r="A5" s="24">
        <v>4</v>
      </c>
      <c r="B5" s="20" t="str">
        <f>scopus[[#This Row],[Title]]</f>
        <v>INFLUENCE OF DIFFERENT END-OF-LIFE CYCLE SCENARIOS ON THE ENVIRONMENTAL IMPACTS OF TIMBER-CONCRETE COMPOSITE FLOOR SYSTEMS</v>
      </c>
      <c r="C5" s="99">
        <v>1</v>
      </c>
      <c r="D5" s="99">
        <v>5</v>
      </c>
      <c r="E5" s="99">
        <v>4</v>
      </c>
      <c r="F5" s="99">
        <v>4</v>
      </c>
      <c r="G5" s="21">
        <f>Table3[[#This Row],[Criteria 1 - Cross-Laminated-Timber]]+Table3[[#This Row],[Criteria 2 - Sustainability]]+Table3[[#This Row],[Criteria 3 - Concrete]]+Table3[[#This Row],[Criteria 4 - Floor]]</f>
        <v>14</v>
      </c>
      <c r="H5" s="20"/>
      <c r="I5" s="21"/>
      <c r="J5" s="21"/>
      <c r="K5" s="99"/>
    </row>
    <row r="6" spans="1:36" ht="26">
      <c r="A6" s="24">
        <v>5</v>
      </c>
      <c r="B6" s="20" t="str">
        <f>scopus[[#This Row],[Title]]</f>
        <v>Cross-laminated timber flooring and concrete slab flooring: A comparative study of structural design, economic and environmental consequences</v>
      </c>
      <c r="C6" s="101">
        <v>4</v>
      </c>
      <c r="D6" s="101">
        <v>5</v>
      </c>
      <c r="E6" s="101">
        <v>2</v>
      </c>
      <c r="F6" s="101">
        <v>3</v>
      </c>
      <c r="G6" s="21">
        <f>Table3[[#This Row],[Criteria 1 - Cross-Laminated-Timber]]+Table3[[#This Row],[Criteria 2 - Sustainability]]+Table3[[#This Row],[Criteria 3 - Concrete]]+Table3[[#This Row],[Criteria 4 - Floor]]</f>
        <v>14</v>
      </c>
      <c r="H6" s="20"/>
      <c r="I6" s="21"/>
      <c r="J6" s="21"/>
      <c r="K6" s="101"/>
    </row>
    <row r="7" spans="1:36">
      <c r="A7" s="24">
        <v>6</v>
      </c>
      <c r="B7" s="20" t="str">
        <f>scopus[[#This Row],[Title]]</f>
        <v>Reducing Embodied Energy of Floor Assembly: A Case for Using CLT in Mid-Rise Residential Buildings</v>
      </c>
      <c r="C7" s="99">
        <v>3</v>
      </c>
      <c r="D7" s="99">
        <v>4</v>
      </c>
      <c r="E7" s="99">
        <v>3</v>
      </c>
      <c r="F7" s="99">
        <v>4</v>
      </c>
      <c r="G7" s="21">
        <f>Table3[[#This Row],[Criteria 1 - Cross-Laminated-Timber]]+Table3[[#This Row],[Criteria 2 - Sustainability]]+Table3[[#This Row],[Criteria 3 - Concrete]]+Table3[[#This Row],[Criteria 4 - Floor]]</f>
        <v>14</v>
      </c>
      <c r="H7" s="20"/>
      <c r="I7" s="21"/>
      <c r="J7" s="21"/>
      <c r="K7" s="99"/>
    </row>
    <row r="8" spans="1:36">
      <c r="A8" s="24">
        <v>7</v>
      </c>
      <c r="B8" s="20" t="str">
        <f>scopus[[#This Row],[Title]]</f>
        <v>Dynamic response of steel-timber composite (STC) beams</v>
      </c>
      <c r="C8" s="101">
        <v>5</v>
      </c>
      <c r="D8" s="101">
        <v>4</v>
      </c>
      <c r="E8" s="101">
        <v>2</v>
      </c>
      <c r="F8" s="101">
        <v>2</v>
      </c>
      <c r="G8" s="21">
        <f>Table3[[#This Row],[Criteria 1 - Cross-Laminated-Timber]]+Table3[[#This Row],[Criteria 2 - Sustainability]]+Table3[[#This Row],[Criteria 3 - Concrete]]+Table3[[#This Row],[Criteria 4 - Floor]]</f>
        <v>13</v>
      </c>
      <c r="H8" s="20"/>
      <c r="I8" s="21"/>
      <c r="J8" s="21"/>
      <c r="K8" s="101"/>
    </row>
    <row r="9" spans="1:36">
      <c r="A9" s="24">
        <v>8</v>
      </c>
      <c r="B9" s="20" t="str">
        <f>scopus[[#This Row],[Title]]</f>
        <v>Sustainability Design Considerations for Timber-Concrete Composite Floor Systems</v>
      </c>
      <c r="C9" s="99">
        <v>5</v>
      </c>
      <c r="D9" s="99">
        <v>3</v>
      </c>
      <c r="E9" s="99">
        <v>1</v>
      </c>
      <c r="F9" s="99">
        <v>4</v>
      </c>
      <c r="G9" s="21">
        <f>Table3[[#This Row],[Criteria 1 - Cross-Laminated-Timber]]+Table3[[#This Row],[Criteria 2 - Sustainability]]+Table3[[#This Row],[Criteria 3 - Concrete]]+Table3[[#This Row],[Criteria 4 - Floor]]</f>
        <v>13</v>
      </c>
      <c r="H9" s="20"/>
      <c r="I9" s="21"/>
      <c r="J9" s="21"/>
      <c r="K9" s="99"/>
    </row>
    <row r="10" spans="1:36" ht="26">
      <c r="A10" s="24">
        <v>9</v>
      </c>
      <c r="B10" s="20" t="str">
        <f>scopus[[#This Row],[Title]]</f>
        <v>Environmental benefits of using an all-wood floor system in midrise office construction: an LCA based comparative case study in the Southeastern United States</v>
      </c>
      <c r="C10" s="101">
        <v>5</v>
      </c>
      <c r="D10" s="101">
        <v>2</v>
      </c>
      <c r="E10" s="101">
        <v>2</v>
      </c>
      <c r="F10" s="101">
        <v>4</v>
      </c>
      <c r="G10" s="21">
        <f>Table3[[#This Row],[Criteria 1 - Cross-Laminated-Timber]]+Table3[[#This Row],[Criteria 2 - Sustainability]]+Table3[[#This Row],[Criteria 3 - Concrete]]+Table3[[#This Row],[Criteria 4 - Floor]]</f>
        <v>13</v>
      </c>
      <c r="H10" s="20"/>
      <c r="I10" s="21"/>
      <c r="J10" s="21"/>
      <c r="K10" s="101"/>
    </row>
    <row r="11" spans="1:36">
      <c r="A11" s="24">
        <v>10</v>
      </c>
      <c r="B11" s="20" t="str">
        <f>scopus[[#This Row],[Title]]</f>
        <v>BALANCING FASTENER SPACING, ACOUSTICS, AND SPAN LENGTH IN EXPOSED CLT FLOOR-CEILING ASSEMBLIES</v>
      </c>
      <c r="C11" s="99">
        <v>5</v>
      </c>
      <c r="D11" s="99">
        <v>5</v>
      </c>
      <c r="E11" s="99">
        <v>2</v>
      </c>
      <c r="F11" s="99">
        <v>1</v>
      </c>
      <c r="G11" s="21">
        <f>Table3[[#This Row],[Criteria 1 - Cross-Laminated-Timber]]+Table3[[#This Row],[Criteria 2 - Sustainability]]+Table3[[#This Row],[Criteria 3 - Concrete]]+Table3[[#This Row],[Criteria 4 - Floor]]</f>
        <v>13</v>
      </c>
      <c r="H11" s="20"/>
      <c r="I11" s="21"/>
      <c r="J11" s="21"/>
      <c r="K11" s="99"/>
    </row>
    <row r="12" spans="1:36" ht="26">
      <c r="A12" s="24">
        <v>11</v>
      </c>
      <c r="B12" s="20" t="str">
        <f>scopus[[#This Row],[Title]]</f>
        <v>Integrating thermal bridge analysis with life-cycle assessment: energy and environmental performance of Ply-Lam CLT envelopes in ZEB-Level apartments</v>
      </c>
      <c r="C12" s="101">
        <v>3</v>
      </c>
      <c r="D12" s="101">
        <v>3</v>
      </c>
      <c r="E12" s="101">
        <v>2</v>
      </c>
      <c r="F12" s="101">
        <v>5</v>
      </c>
      <c r="G12" s="21">
        <f>Table3[[#This Row],[Criteria 1 - Cross-Laminated-Timber]]+Table3[[#This Row],[Criteria 2 - Sustainability]]+Table3[[#This Row],[Criteria 3 - Concrete]]+Table3[[#This Row],[Criteria 4 - Floor]]</f>
        <v>13</v>
      </c>
      <c r="H12" s="20"/>
      <c r="I12" s="21"/>
      <c r="J12" s="21"/>
      <c r="K12" s="101"/>
    </row>
    <row r="13" spans="1:36">
      <c r="A13" s="24">
        <v>12</v>
      </c>
      <c r="B13" s="20" t="str">
        <f>scopus[[#This Row],[Title]]</f>
        <v>A COMPARATIVE DESIGN AND LCA STUDY ON THE FEASIBILITY OF EARTHQUAKE-RESISTANT MASS-TIMBER BUILDINGS</v>
      </c>
      <c r="C13" s="99">
        <v>4</v>
      </c>
      <c r="D13" s="99">
        <v>1</v>
      </c>
      <c r="E13" s="99">
        <v>3</v>
      </c>
      <c r="F13" s="99">
        <v>5</v>
      </c>
      <c r="G13" s="21">
        <f>Table3[[#This Row],[Criteria 1 - Cross-Laminated-Timber]]+Table3[[#This Row],[Criteria 2 - Sustainability]]+Table3[[#This Row],[Criteria 3 - Concrete]]+Table3[[#This Row],[Criteria 4 - Floor]]</f>
        <v>13</v>
      </c>
      <c r="H13" s="20"/>
      <c r="I13" s="21"/>
      <c r="J13" s="21"/>
      <c r="K13" s="99"/>
    </row>
    <row r="14" spans="1:36">
      <c r="A14" s="24">
        <v>13</v>
      </c>
      <c r="B14" s="20" t="str">
        <f>scopus[[#This Row],[Title]]</f>
        <v>An assessment of greenhouse gas emissions from CLT and glulam in two residential nearly zero energy buildings</v>
      </c>
      <c r="C14" s="101">
        <v>4</v>
      </c>
      <c r="D14" s="101">
        <v>3</v>
      </c>
      <c r="E14" s="101">
        <v>2</v>
      </c>
      <c r="F14" s="101">
        <v>4</v>
      </c>
      <c r="G14" s="21">
        <f>Table3[[#This Row],[Criteria 1 - Cross-Laminated-Timber]]+Table3[[#This Row],[Criteria 2 - Sustainability]]+Table3[[#This Row],[Criteria 3 - Concrete]]+Table3[[#This Row],[Criteria 4 - Floor]]</f>
        <v>13</v>
      </c>
      <c r="H14" s="20"/>
      <c r="I14" s="21"/>
      <c r="J14" s="21"/>
      <c r="K14" s="101"/>
    </row>
    <row r="15" spans="1:36">
      <c r="A15" s="24">
        <v>14</v>
      </c>
      <c r="B15" s="20" t="str">
        <f>scopus[[#This Row],[Title]]</f>
        <v>Load-slip performance of Mass Timber Panel-Concrete (MTPC) composite connection with Self-tapping screws and insulation layer</v>
      </c>
      <c r="C15" s="99">
        <v>5</v>
      </c>
      <c r="D15" s="99">
        <v>5</v>
      </c>
      <c r="E15" s="99">
        <v>3</v>
      </c>
      <c r="F15" s="99">
        <v>0</v>
      </c>
      <c r="G15" s="21">
        <f>Table3[[#This Row],[Criteria 1 - Cross-Laminated-Timber]]+Table3[[#This Row],[Criteria 2 - Sustainability]]+Table3[[#This Row],[Criteria 3 - Concrete]]+Table3[[#This Row],[Criteria 4 - Floor]]</f>
        <v>13</v>
      </c>
      <c r="H15" s="20"/>
      <c r="I15" s="21"/>
      <c r="J15" s="21"/>
      <c r="K15" s="99"/>
    </row>
    <row r="16" spans="1:36">
      <c r="A16" s="24">
        <v>15</v>
      </c>
      <c r="B16" s="20" t="str">
        <f>scopus[[#This Row],[Title]]</f>
        <v>Assessing the Environmental Performance of Hybrid Timber-Concrete Systems in High-Rise Building</v>
      </c>
      <c r="C16" s="101">
        <v>2</v>
      </c>
      <c r="D16" s="101">
        <v>2</v>
      </c>
      <c r="E16" s="101">
        <v>4</v>
      </c>
      <c r="F16" s="101">
        <v>5</v>
      </c>
      <c r="G16" s="21">
        <f>Table3[[#This Row],[Criteria 1 - Cross-Laminated-Timber]]+Table3[[#This Row],[Criteria 2 - Sustainability]]+Table3[[#This Row],[Criteria 3 - Concrete]]+Table3[[#This Row],[Criteria 4 - Floor]]</f>
        <v>13</v>
      </c>
      <c r="H16" s="20"/>
      <c r="I16" s="21"/>
      <c r="J16" s="21"/>
      <c r="K16" s="101"/>
    </row>
    <row r="17" spans="1:11" ht="26">
      <c r="A17" s="24">
        <v>16</v>
      </c>
      <c r="B17" s="20" t="str">
        <f>scopus[[#This Row],[Title]]</f>
        <v>Building Sustainable Futures: Evaluating Embodied Carbon Emissions and Biogenic Carbon Storage in a Cross-Laminated Timber Wall and Floor (Honeycomb) Mass Timber Building</v>
      </c>
      <c r="C17" s="99">
        <v>5</v>
      </c>
      <c r="D17" s="99">
        <v>2</v>
      </c>
      <c r="E17" s="99">
        <v>1</v>
      </c>
      <c r="F17" s="99">
        <v>5</v>
      </c>
      <c r="G17" s="21">
        <f>Table3[[#This Row],[Criteria 1 - Cross-Laminated-Timber]]+Table3[[#This Row],[Criteria 2 - Sustainability]]+Table3[[#This Row],[Criteria 3 - Concrete]]+Table3[[#This Row],[Criteria 4 - Floor]]</f>
        <v>13</v>
      </c>
      <c r="H17" s="20"/>
      <c r="I17" s="21"/>
      <c r="J17" s="21"/>
      <c r="K17" s="99"/>
    </row>
    <row r="18" spans="1:11" ht="26">
      <c r="A18" s="24">
        <v>17</v>
      </c>
      <c r="B18" s="20" t="str">
        <f>scopus[[#This Row],[Title]]</f>
        <v>Development of an Environmentally Friendly Steel Structural Framework: Evaluation of Bending Stiffness and Yield Bending Moment of Cross-Laminated Timber Slab–H-Shaped Steel Composite Beams for Component Reuse</v>
      </c>
      <c r="C18" s="101">
        <v>3</v>
      </c>
      <c r="D18" s="101">
        <v>4</v>
      </c>
      <c r="E18" s="101">
        <v>2</v>
      </c>
      <c r="F18" s="101">
        <v>4</v>
      </c>
      <c r="G18" s="21">
        <f>Table3[[#This Row],[Criteria 1 - Cross-Laminated-Timber]]+Table3[[#This Row],[Criteria 2 - Sustainability]]+Table3[[#This Row],[Criteria 3 - Concrete]]+Table3[[#This Row],[Criteria 4 - Floor]]</f>
        <v>13</v>
      </c>
      <c r="H18" s="20"/>
      <c r="I18" s="21"/>
      <c r="J18" s="21"/>
      <c r="K18" s="101"/>
    </row>
    <row r="19" spans="1:11">
      <c r="A19" s="24">
        <v>18</v>
      </c>
      <c r="B19" s="20" t="str">
        <f>scopus[[#This Row],[Title]]</f>
        <v>Experimental Assessment of Alternative Shear Connections in Cross-Laminated Timber-Concrete Floor Systems</v>
      </c>
      <c r="C19" s="99">
        <v>5</v>
      </c>
      <c r="D19" s="99">
        <v>5</v>
      </c>
      <c r="E19" s="99">
        <v>3</v>
      </c>
      <c r="F19" s="99">
        <v>0</v>
      </c>
      <c r="G19" s="21">
        <f>Table3[[#This Row],[Criteria 1 - Cross-Laminated-Timber]]+Table3[[#This Row],[Criteria 2 - Sustainability]]+Table3[[#This Row],[Criteria 3 - Concrete]]+Table3[[#This Row],[Criteria 4 - Floor]]</f>
        <v>13</v>
      </c>
      <c r="H19" s="20"/>
      <c r="I19" s="21"/>
      <c r="J19" s="21"/>
      <c r="K19" s="99"/>
    </row>
    <row r="20" spans="1:11">
      <c r="A20" s="24">
        <v>19</v>
      </c>
      <c r="B20" s="20" t="str">
        <f>scopus[[#This Row],[Title]]</f>
        <v>A comparative life cycle assessment of tall buildings with alternative structural systems: Wood vs. Concrete</v>
      </c>
      <c r="C20" s="101">
        <v>4</v>
      </c>
      <c r="D20" s="101">
        <v>2</v>
      </c>
      <c r="E20" s="101">
        <v>3</v>
      </c>
      <c r="F20" s="101">
        <v>4</v>
      </c>
      <c r="G20" s="21">
        <f>Table3[[#This Row],[Criteria 1 - Cross-Laminated-Timber]]+Table3[[#This Row],[Criteria 2 - Sustainability]]+Table3[[#This Row],[Criteria 3 - Concrete]]+Table3[[#This Row],[Criteria 4 - Floor]]</f>
        <v>13</v>
      </c>
      <c r="H20" s="20"/>
      <c r="I20" s="21"/>
      <c r="J20" s="21"/>
      <c r="K20" s="101"/>
    </row>
    <row r="21" spans="1:11">
      <c r="A21" s="24">
        <v>20</v>
      </c>
      <c r="B21" s="20" t="str">
        <f>scopus[[#This Row],[Title]]</f>
        <v>Steel-timber versus Steel-Concrete Composite floors: A numerical study</v>
      </c>
      <c r="C21" s="99">
        <v>5</v>
      </c>
      <c r="D21" s="99">
        <v>4</v>
      </c>
      <c r="E21" s="99">
        <v>1</v>
      </c>
      <c r="F21" s="99">
        <v>3</v>
      </c>
      <c r="G21" s="21">
        <f>Table3[[#This Row],[Criteria 1 - Cross-Laminated-Timber]]+Table3[[#This Row],[Criteria 2 - Sustainability]]+Table3[[#This Row],[Criteria 3 - Concrete]]+Table3[[#This Row],[Criteria 4 - Floor]]</f>
        <v>13</v>
      </c>
      <c r="H21" s="20"/>
      <c r="I21" s="21"/>
      <c r="J21" s="21"/>
      <c r="K21" s="99"/>
    </row>
    <row r="22" spans="1:11">
      <c r="A22" s="24">
        <v>21</v>
      </c>
      <c r="B22" s="20" t="str">
        <f>scopus[[#This Row],[Title]]</f>
        <v>LABORATORY MEASUREMENTS OF LIGHTWEIGHT FLOATING FLOOR SYSTEMS ON CROSS-LAMINATED TIMBER (CLT) SLABS</v>
      </c>
      <c r="C22" s="101">
        <v>4</v>
      </c>
      <c r="D22" s="101">
        <v>5</v>
      </c>
      <c r="E22" s="101">
        <v>3</v>
      </c>
      <c r="F22" s="101">
        <v>1</v>
      </c>
      <c r="G22" s="21">
        <f>Table3[[#This Row],[Criteria 1 - Cross-Laminated-Timber]]+Table3[[#This Row],[Criteria 2 - Sustainability]]+Table3[[#This Row],[Criteria 3 - Concrete]]+Table3[[#This Row],[Criteria 4 - Floor]]</f>
        <v>13</v>
      </c>
      <c r="H22" s="20"/>
      <c r="I22" s="21"/>
      <c r="J22" s="21"/>
      <c r="K22" s="101"/>
    </row>
    <row r="23" spans="1:11" ht="26">
      <c r="A23" s="24">
        <v>22</v>
      </c>
      <c r="B23" s="20" t="str">
        <f>scopus[[#This Row],[Title]]</f>
        <v>INVESTIGATE THE CARBON FOOTPRINTS OF THREE INTERMEDIATE FLOORING SYSTEMS: CROSS-LAMINATED TIMBER, SOLID CONCRETE, AND HOLLOW-CORE PRECAST CONCRETE</v>
      </c>
      <c r="C23" s="99">
        <v>2</v>
      </c>
      <c r="D23" s="99">
        <v>3</v>
      </c>
      <c r="E23" s="99">
        <v>3</v>
      </c>
      <c r="F23" s="99">
        <v>5</v>
      </c>
      <c r="G23" s="21">
        <f>Table3[[#This Row],[Criteria 1 - Cross-Laminated-Timber]]+Table3[[#This Row],[Criteria 2 - Sustainability]]+Table3[[#This Row],[Criteria 3 - Concrete]]+Table3[[#This Row],[Criteria 4 - Floor]]</f>
        <v>13</v>
      </c>
      <c r="H23" s="20"/>
      <c r="I23" s="21"/>
      <c r="J23" s="21"/>
      <c r="K23" s="99"/>
    </row>
    <row r="24" spans="1:11">
      <c r="A24" s="24">
        <v>23</v>
      </c>
      <c r="B24" s="20" t="str">
        <f>scopus[[#This Row],[Title]]</f>
        <v>Scenario analysis of embodied energy and CO2 emissions for multistory apartments in Indonesia</v>
      </c>
      <c r="C24" s="101">
        <v>4</v>
      </c>
      <c r="D24" s="101">
        <v>1</v>
      </c>
      <c r="E24" s="101">
        <v>3</v>
      </c>
      <c r="F24" s="101">
        <v>5</v>
      </c>
      <c r="G24" s="21">
        <f>Table3[[#This Row],[Criteria 1 - Cross-Laminated-Timber]]+Table3[[#This Row],[Criteria 2 - Sustainability]]+Table3[[#This Row],[Criteria 3 - Concrete]]+Table3[[#This Row],[Criteria 4 - Floor]]</f>
        <v>13</v>
      </c>
      <c r="H24" s="20"/>
      <c r="I24" s="21"/>
      <c r="J24" s="21"/>
      <c r="K24" s="101"/>
    </row>
    <row r="25" spans="1:11">
      <c r="A25" s="24">
        <v>24</v>
      </c>
      <c r="B25" s="20" t="str">
        <f>scopus[[#This Row],[Title]]</f>
        <v>Impact of Prescriptive Fire Design Provisions on Embodied Carbon for Mass Timber and Hybrid Mass Timber Floors</v>
      </c>
      <c r="C25" s="99">
        <v>5</v>
      </c>
      <c r="D25" s="99">
        <v>3</v>
      </c>
      <c r="E25" s="99">
        <v>1</v>
      </c>
      <c r="F25" s="99">
        <v>3</v>
      </c>
      <c r="G25" s="21">
        <f>Table3[[#This Row],[Criteria 1 - Cross-Laminated-Timber]]+Table3[[#This Row],[Criteria 2 - Sustainability]]+Table3[[#This Row],[Criteria 3 - Concrete]]+Table3[[#This Row],[Criteria 4 - Floor]]</f>
        <v>12</v>
      </c>
      <c r="H25" s="20"/>
      <c r="I25" s="21"/>
      <c r="J25" s="21"/>
      <c r="K25" s="99"/>
    </row>
    <row r="26" spans="1:11">
      <c r="A26" s="24">
        <v>25</v>
      </c>
      <c r="B26" s="20" t="str">
        <f>scopus[[#This Row],[Title]]</f>
        <v>Design and performance of high-rise structure using ultra-lightweight cross laminated timber floor system</v>
      </c>
      <c r="C26" s="101">
        <v>4</v>
      </c>
      <c r="D26" s="101">
        <v>4</v>
      </c>
      <c r="E26" s="101">
        <v>4</v>
      </c>
      <c r="F26" s="101">
        <v>0</v>
      </c>
      <c r="G26" s="21">
        <f>Table3[[#This Row],[Criteria 1 - Cross-Laminated-Timber]]+Table3[[#This Row],[Criteria 2 - Sustainability]]+Table3[[#This Row],[Criteria 3 - Concrete]]+Table3[[#This Row],[Criteria 4 - Floor]]</f>
        <v>12</v>
      </c>
      <c r="H26" s="20"/>
      <c r="I26" s="21"/>
      <c r="J26" s="21"/>
      <c r="K26" s="101"/>
    </row>
    <row r="27" spans="1:11" ht="26">
      <c r="A27" s="24">
        <v>26</v>
      </c>
      <c r="B27" s="20" t="str">
        <f>scopus[[#This Row],[Title]]</f>
        <v>A comparative cradle-to-gate life cycle assessment of mid-rise office building construction alternatives: Laminated timber or reinforced concrete</v>
      </c>
      <c r="C27" s="99">
        <v>5</v>
      </c>
      <c r="D27" s="99">
        <v>1</v>
      </c>
      <c r="E27" s="99">
        <v>3</v>
      </c>
      <c r="F27" s="99">
        <v>3</v>
      </c>
      <c r="G27" s="21">
        <f>Table3[[#This Row],[Criteria 1 - Cross-Laminated-Timber]]+Table3[[#This Row],[Criteria 2 - Sustainability]]+Table3[[#This Row],[Criteria 3 - Concrete]]+Table3[[#This Row],[Criteria 4 - Floor]]</f>
        <v>12</v>
      </c>
      <c r="H27" s="20"/>
      <c r="I27" s="21"/>
      <c r="J27" s="21"/>
      <c r="K27" s="99"/>
    </row>
    <row r="28" spans="1:11">
      <c r="A28" s="24">
        <v>27</v>
      </c>
      <c r="B28" s="20" t="str">
        <f>scopus[[#This Row],[Title]]</f>
        <v>Assessment of In-Plane Timber Floor Stiffness as Structural Diaphragms: A Numerical Approach to Lateral Load Response</v>
      </c>
      <c r="C28" s="101">
        <v>4</v>
      </c>
      <c r="D28" s="101">
        <v>4</v>
      </c>
      <c r="E28" s="101">
        <v>4</v>
      </c>
      <c r="F28" s="101">
        <v>0</v>
      </c>
      <c r="G28" s="21">
        <f>Table3[[#This Row],[Criteria 1 - Cross-Laminated-Timber]]+Table3[[#This Row],[Criteria 2 - Sustainability]]+Table3[[#This Row],[Criteria 3 - Concrete]]+Table3[[#This Row],[Criteria 4 - Floor]]</f>
        <v>12</v>
      </c>
      <c r="H28" s="20"/>
      <c r="I28" s="21"/>
      <c r="J28" s="21"/>
      <c r="K28" s="101"/>
    </row>
    <row r="29" spans="1:11">
      <c r="A29" s="24">
        <v>28</v>
      </c>
      <c r="B29" s="20" t="str">
        <f>scopus[[#This Row],[Title]]</f>
        <v>Environmental and economic evaluation of small-scale bridge repair using cross-laminated timber floor slabs</v>
      </c>
      <c r="C29" s="99">
        <v>3</v>
      </c>
      <c r="D29" s="99">
        <v>3</v>
      </c>
      <c r="E29" s="99">
        <v>2</v>
      </c>
      <c r="F29" s="99">
        <v>4</v>
      </c>
      <c r="G29" s="21">
        <f>Table3[[#This Row],[Criteria 1 - Cross-Laminated-Timber]]+Table3[[#This Row],[Criteria 2 - Sustainability]]+Table3[[#This Row],[Criteria 3 - Concrete]]+Table3[[#This Row],[Criteria 4 - Floor]]</f>
        <v>12</v>
      </c>
      <c r="H29" s="20"/>
      <c r="I29" s="21"/>
      <c r="J29" s="21"/>
      <c r="K29" s="99"/>
    </row>
    <row r="30" spans="1:11">
      <c r="A30" s="24">
        <v>29</v>
      </c>
      <c r="B30" s="20" t="str">
        <f>scopus[[#This Row],[Title]]</f>
        <v>Experimental and numerical investigations on vibration performance of mass timber slab floors with floating concrete toppings</v>
      </c>
      <c r="C30" s="101">
        <v>5</v>
      </c>
      <c r="D30" s="101">
        <v>5</v>
      </c>
      <c r="E30" s="101">
        <v>2</v>
      </c>
      <c r="F30" s="101">
        <v>0</v>
      </c>
      <c r="G30" s="21">
        <f>Table3[[#This Row],[Criteria 1 - Cross-Laminated-Timber]]+Table3[[#This Row],[Criteria 2 - Sustainability]]+Table3[[#This Row],[Criteria 3 - Concrete]]+Table3[[#This Row],[Criteria 4 - Floor]]</f>
        <v>12</v>
      </c>
      <c r="H30" s="20"/>
      <c r="I30" s="21"/>
      <c r="J30" s="21"/>
      <c r="K30" s="101"/>
    </row>
    <row r="31" spans="1:11">
      <c r="A31" s="24">
        <v>30</v>
      </c>
      <c r="B31" s="20" t="str">
        <f>scopus[[#This Row],[Title]]</f>
        <v>Tall hybrid RC framed buildings with massive timber floor plates</v>
      </c>
      <c r="C31" s="99">
        <v>5</v>
      </c>
      <c r="D31" s="99">
        <v>4</v>
      </c>
      <c r="E31" s="99">
        <v>3</v>
      </c>
      <c r="F31" s="99">
        <v>0</v>
      </c>
      <c r="G31" s="21">
        <f>Table3[[#This Row],[Criteria 1 - Cross-Laminated-Timber]]+Table3[[#This Row],[Criteria 2 - Sustainability]]+Table3[[#This Row],[Criteria 3 - Concrete]]+Table3[[#This Row],[Criteria 4 - Floor]]</f>
        <v>12</v>
      </c>
      <c r="H31" s="20"/>
      <c r="I31" s="21"/>
      <c r="J31" s="21"/>
      <c r="K31" s="99"/>
    </row>
    <row r="32" spans="1:11">
      <c r="A32" s="24">
        <v>31</v>
      </c>
      <c r="B32" s="20" t="str">
        <f>scopus[[#This Row],[Title]]</f>
        <v>1st International Conference on Civil and Environmental Engineering for Resilient, Smart and Sustainable Solutions, 2024</v>
      </c>
      <c r="C32" s="101">
        <v>2</v>
      </c>
      <c r="D32" s="101">
        <v>4</v>
      </c>
      <c r="E32" s="101">
        <v>4</v>
      </c>
      <c r="F32" s="101">
        <v>2</v>
      </c>
      <c r="G32" s="21">
        <f>Table3[[#This Row],[Criteria 1 - Cross-Laminated-Timber]]+Table3[[#This Row],[Criteria 2 - Sustainability]]+Table3[[#This Row],[Criteria 3 - Concrete]]+Table3[[#This Row],[Criteria 4 - Floor]]</f>
        <v>12</v>
      </c>
      <c r="H32" s="20"/>
      <c r="I32" s="21"/>
      <c r="J32" s="21"/>
      <c r="K32" s="101"/>
    </row>
    <row r="33" spans="1:11">
      <c r="A33" s="24">
        <v>32</v>
      </c>
      <c r="B33" s="20" t="str">
        <f>scopus[[#This Row],[Title]]</f>
        <v>The Arbour: An Innovative Composite Floor System</v>
      </c>
      <c r="C33" s="99">
        <v>5</v>
      </c>
      <c r="D33" s="99">
        <v>5</v>
      </c>
      <c r="E33" s="99">
        <v>2</v>
      </c>
      <c r="F33" s="99">
        <v>0</v>
      </c>
      <c r="G33" s="21">
        <f>Table3[[#This Row],[Criteria 1 - Cross-Laminated-Timber]]+Table3[[#This Row],[Criteria 2 - Sustainability]]+Table3[[#This Row],[Criteria 3 - Concrete]]+Table3[[#This Row],[Criteria 4 - Floor]]</f>
        <v>12</v>
      </c>
      <c r="H33" s="20"/>
      <c r="I33" s="21"/>
      <c r="J33" s="21"/>
      <c r="K33" s="99"/>
    </row>
    <row r="34" spans="1:11">
      <c r="A34" s="24">
        <v>33</v>
      </c>
      <c r="B34" s="20" t="str">
        <f>scopus[[#This Row],[Title]]</f>
        <v>INNOVATIVE CONNECTION SOLUTIONS FOR TCC FLOOR SYSTEMS: MECHANICAL AND ENVIRONMENTAL ASSESSMENT</v>
      </c>
      <c r="C34" s="101">
        <v>3</v>
      </c>
      <c r="D34" s="101">
        <v>4</v>
      </c>
      <c r="E34" s="101">
        <v>1</v>
      </c>
      <c r="F34" s="101">
        <v>4</v>
      </c>
      <c r="G34" s="21">
        <f>Table3[[#This Row],[Criteria 1 - Cross-Laminated-Timber]]+Table3[[#This Row],[Criteria 2 - Sustainability]]+Table3[[#This Row],[Criteria 3 - Concrete]]+Table3[[#This Row],[Criteria 4 - Floor]]</f>
        <v>12</v>
      </c>
      <c r="H34" s="20"/>
      <c r="I34" s="21"/>
      <c r="J34" s="21"/>
      <c r="K34" s="101"/>
    </row>
    <row r="35" spans="1:11">
      <c r="A35" s="24">
        <v>34</v>
      </c>
      <c r="B35" s="20" t="str">
        <f>scopus[[#This Row],[Title]]</f>
        <v>High-rise Timber Buildings as a Climate Change Mitigation Measure - A Comparative LCA of Structural System Alternatives</v>
      </c>
      <c r="C35" s="99">
        <v>3</v>
      </c>
      <c r="D35" s="99">
        <v>1</v>
      </c>
      <c r="E35" s="99">
        <v>3</v>
      </c>
      <c r="F35" s="99">
        <v>5</v>
      </c>
      <c r="G35" s="21">
        <f>Table3[[#This Row],[Criteria 1 - Cross-Laminated-Timber]]+Table3[[#This Row],[Criteria 2 - Sustainability]]+Table3[[#This Row],[Criteria 3 - Concrete]]+Table3[[#This Row],[Criteria 4 - Floor]]</f>
        <v>12</v>
      </c>
      <c r="H35" s="20"/>
      <c r="I35" s="21"/>
      <c r="J35" s="21"/>
      <c r="K35" s="99"/>
    </row>
    <row r="36" spans="1:11">
      <c r="A36" s="24">
        <v>35</v>
      </c>
      <c r="B36" s="20" t="str">
        <f>scopus[[#This Row],[Title]]</f>
        <v>FIRE RESISTANCE TESTING OF CLT-CONCRETE COMPOSITE FLOOR SLABS UTILIZING SELF-TAPPING SCREWS AS SHEAR CONNECTORS</v>
      </c>
      <c r="C36" s="101">
        <v>5</v>
      </c>
      <c r="D36" s="101">
        <v>5</v>
      </c>
      <c r="E36" s="101">
        <v>1</v>
      </c>
      <c r="F36" s="101">
        <v>0</v>
      </c>
      <c r="G36" s="21">
        <f>Table3[[#This Row],[Criteria 1 - Cross-Laminated-Timber]]+Table3[[#This Row],[Criteria 2 - Sustainability]]+Table3[[#This Row],[Criteria 3 - Concrete]]+Table3[[#This Row],[Criteria 4 - Floor]]</f>
        <v>11</v>
      </c>
      <c r="H36" s="20"/>
      <c r="I36" s="21"/>
      <c r="J36" s="21"/>
      <c r="K36" s="101"/>
    </row>
    <row r="37" spans="1:11">
      <c r="A37" s="24">
        <v>36</v>
      </c>
      <c r="B37" s="20" t="str">
        <f>scopus[[#This Row],[Title]]</f>
        <v>Cross-laminated timber–concrete composite structural floor system: A state-of-the-art review</v>
      </c>
      <c r="C37" s="99">
        <v>3</v>
      </c>
      <c r="D37" s="99">
        <v>5</v>
      </c>
      <c r="E37" s="99">
        <v>2</v>
      </c>
      <c r="F37" s="99">
        <v>1</v>
      </c>
      <c r="G37" s="21">
        <f>Table3[[#This Row],[Criteria 1 - Cross-Laminated-Timber]]+Table3[[#This Row],[Criteria 2 - Sustainability]]+Table3[[#This Row],[Criteria 3 - Concrete]]+Table3[[#This Row],[Criteria 4 - Floor]]</f>
        <v>11</v>
      </c>
      <c r="H37" s="20"/>
      <c r="I37" s="21"/>
      <c r="J37" s="21"/>
      <c r="K37" s="99"/>
    </row>
    <row r="38" spans="1:11">
      <c r="A38" s="24">
        <v>37</v>
      </c>
      <c r="B38" s="20" t="str">
        <f>scopus[[#This Row],[Title]]</f>
        <v>CREEP BEHAVIOR OF CROSS-LAMINATED TIMBER-CONCRETE COMPOSITE FLOOR SYSTEM ON FIXED END CONDITION</v>
      </c>
      <c r="C38" s="101">
        <v>3</v>
      </c>
      <c r="D38" s="101">
        <v>5</v>
      </c>
      <c r="E38" s="101">
        <v>3</v>
      </c>
      <c r="F38" s="101">
        <v>0</v>
      </c>
      <c r="G38" s="21">
        <f>Table3[[#This Row],[Criteria 1 - Cross-Laminated-Timber]]+Table3[[#This Row],[Criteria 2 - Sustainability]]+Table3[[#This Row],[Criteria 3 - Concrete]]+Table3[[#This Row],[Criteria 4 - Floor]]</f>
        <v>11</v>
      </c>
      <c r="H38" s="20"/>
      <c r="I38" s="21"/>
      <c r="J38" s="21"/>
      <c r="K38" s="101"/>
    </row>
    <row r="39" spans="1:11">
      <c r="A39" s="24">
        <v>38</v>
      </c>
      <c r="B39" s="20" t="str">
        <f>scopus[[#This Row],[Title]]</f>
        <v>Lightweight and slender timber-concrete composite floors made of CLT-HPC and CLT-UHPC with ductile notch connectors</v>
      </c>
      <c r="C39" s="99">
        <v>3</v>
      </c>
      <c r="D39" s="99">
        <v>4</v>
      </c>
      <c r="E39" s="99">
        <v>4</v>
      </c>
      <c r="F39" s="99">
        <v>0</v>
      </c>
      <c r="G39" s="21">
        <f>Table3[[#This Row],[Criteria 1 - Cross-Laminated-Timber]]+Table3[[#This Row],[Criteria 2 - Sustainability]]+Table3[[#This Row],[Criteria 3 - Concrete]]+Table3[[#This Row],[Criteria 4 - Floor]]</f>
        <v>11</v>
      </c>
      <c r="H39" s="20"/>
      <c r="I39" s="21"/>
      <c r="J39" s="21"/>
      <c r="K39" s="99"/>
    </row>
    <row r="40" spans="1:11">
      <c r="A40" s="24">
        <v>39</v>
      </c>
      <c r="B40" s="20" t="str">
        <f>scopus[[#This Row],[Title]]</f>
        <v>Cross-Laminated Timber Concrete Composite Systems for Long-Span Floors</v>
      </c>
      <c r="C40" s="101">
        <v>5</v>
      </c>
      <c r="D40" s="101">
        <v>5</v>
      </c>
      <c r="E40" s="101">
        <v>1</v>
      </c>
      <c r="F40" s="101">
        <v>0</v>
      </c>
      <c r="G40" s="21">
        <f>Table3[[#This Row],[Criteria 1 - Cross-Laminated-Timber]]+Table3[[#This Row],[Criteria 2 - Sustainability]]+Table3[[#This Row],[Criteria 3 - Concrete]]+Table3[[#This Row],[Criteria 4 - Floor]]</f>
        <v>11</v>
      </c>
      <c r="H40" s="20"/>
      <c r="I40" s="21"/>
      <c r="J40" s="21"/>
      <c r="K40" s="101"/>
    </row>
    <row r="41" spans="1:11">
      <c r="A41" s="24">
        <v>40</v>
      </c>
      <c r="B41" s="20" t="str">
        <f>scopus[[#This Row],[Title]]</f>
        <v>Carbon mitigation and energy efficiency of hybrid cross-laminated timber buildings: A case study on a community center design</v>
      </c>
      <c r="C41" s="99">
        <v>4</v>
      </c>
      <c r="D41" s="99">
        <v>1</v>
      </c>
      <c r="E41" s="99">
        <v>1</v>
      </c>
      <c r="F41" s="99">
        <v>5</v>
      </c>
      <c r="G41" s="21">
        <f>Table3[[#This Row],[Criteria 1 - Cross-Laminated-Timber]]+Table3[[#This Row],[Criteria 2 - Sustainability]]+Table3[[#This Row],[Criteria 3 - Concrete]]+Table3[[#This Row],[Criteria 4 - Floor]]</f>
        <v>11</v>
      </c>
      <c r="H41" s="20"/>
      <c r="I41" s="21"/>
      <c r="J41" s="21"/>
      <c r="K41" s="99"/>
    </row>
    <row r="42" spans="1:11">
      <c r="A42" s="24">
        <v>41</v>
      </c>
      <c r="B42" s="20" t="str">
        <f>scopus[[#This Row],[Title]]</f>
        <v>Dynamic Characterization and Vibration Serviceability Assessment of Two Bare High-Frequency CLT Floors</v>
      </c>
      <c r="C42" s="101">
        <v>5</v>
      </c>
      <c r="D42" s="101">
        <v>2</v>
      </c>
      <c r="E42" s="101">
        <v>1</v>
      </c>
      <c r="F42" s="101">
        <v>3</v>
      </c>
      <c r="G42" s="21">
        <f>Table3[[#This Row],[Criteria 1 - Cross-Laminated-Timber]]+Table3[[#This Row],[Criteria 2 - Sustainability]]+Table3[[#This Row],[Criteria 3 - Concrete]]+Table3[[#This Row],[Criteria 4 - Floor]]</f>
        <v>11</v>
      </c>
      <c r="H42" s="20"/>
      <c r="I42" s="21"/>
      <c r="J42" s="21"/>
      <c r="K42" s="101"/>
    </row>
    <row r="43" spans="1:11" ht="26">
      <c r="A43" s="24">
        <v>42</v>
      </c>
      <c r="B43" s="20" t="str">
        <f>scopus[[#This Row],[Title]]</f>
        <v>Nonlinear static seismic response of a building equipped with hybrid cross-laminated timber floor diaphragms and concentric X-braced steel frames</v>
      </c>
      <c r="C43" s="99">
        <v>4</v>
      </c>
      <c r="D43" s="99">
        <v>4</v>
      </c>
      <c r="E43" s="99">
        <v>3</v>
      </c>
      <c r="F43" s="99">
        <v>0</v>
      </c>
      <c r="G43" s="21">
        <f>Table3[[#This Row],[Criteria 1 - Cross-Laminated-Timber]]+Table3[[#This Row],[Criteria 2 - Sustainability]]+Table3[[#This Row],[Criteria 3 - Concrete]]+Table3[[#This Row],[Criteria 4 - Floor]]</f>
        <v>11</v>
      </c>
      <c r="H43" s="20"/>
      <c r="I43" s="21"/>
      <c r="J43" s="21"/>
      <c r="K43" s="99"/>
    </row>
    <row r="44" spans="1:11">
      <c r="A44" s="24">
        <v>43</v>
      </c>
      <c r="B44" s="20" t="str">
        <f>scopus[[#This Row],[Title]]</f>
        <v>Wood buildings as a climate solution</v>
      </c>
      <c r="C44" s="101">
        <v>5</v>
      </c>
      <c r="D44" s="101">
        <v>1</v>
      </c>
      <c r="E44" s="101">
        <v>1</v>
      </c>
      <c r="F44" s="101">
        <v>4</v>
      </c>
      <c r="G44" s="21">
        <f>Table3[[#This Row],[Criteria 1 - Cross-Laminated-Timber]]+Table3[[#This Row],[Criteria 2 - Sustainability]]+Table3[[#This Row],[Criteria 3 - Concrete]]+Table3[[#This Row],[Criteria 4 - Floor]]</f>
        <v>11</v>
      </c>
      <c r="H44" s="20"/>
      <c r="I44" s="21"/>
      <c r="J44" s="21"/>
      <c r="K44" s="101"/>
    </row>
    <row r="45" spans="1:11">
      <c r="A45" s="24">
        <v>44</v>
      </c>
      <c r="B45" s="20" t="str">
        <f>scopus[[#This Row],[Title]]</f>
        <v>A Comparative Floor Assembly Design and Life-Cycle Assessment Study of Steel–Timber and Steel–Concrete Composite Structural Systems</v>
      </c>
      <c r="C45" s="99">
        <v>2</v>
      </c>
      <c r="D45" s="99">
        <v>3</v>
      </c>
      <c r="E45" s="99">
        <v>1</v>
      </c>
      <c r="F45" s="99">
        <v>5</v>
      </c>
      <c r="G45" s="21">
        <f>Table3[[#This Row],[Criteria 1 - Cross-Laminated-Timber]]+Table3[[#This Row],[Criteria 2 - Sustainability]]+Table3[[#This Row],[Criteria 3 - Concrete]]+Table3[[#This Row],[Criteria 4 - Floor]]</f>
        <v>11</v>
      </c>
      <c r="H45" s="20"/>
      <c r="I45" s="21"/>
      <c r="J45" s="21"/>
      <c r="K45" s="99"/>
    </row>
    <row r="46" spans="1:11">
      <c r="A46" s="24">
        <v>45</v>
      </c>
      <c r="B46" s="20" t="str">
        <f>scopus[[#This Row],[Title]]</f>
        <v>INFLUENCE OF DRY-TYPE DOUBLE FLOOR STRUCTURE ON FLOOR IMPACT SOUND INSULATION PERFORMANCE</v>
      </c>
      <c r="C46" s="101">
        <v>3</v>
      </c>
      <c r="D46" s="101">
        <v>5</v>
      </c>
      <c r="E46" s="101">
        <v>3</v>
      </c>
      <c r="F46" s="101">
        <v>0</v>
      </c>
      <c r="G46" s="21">
        <f>Table3[[#This Row],[Criteria 1 - Cross-Laminated-Timber]]+Table3[[#This Row],[Criteria 2 - Sustainability]]+Table3[[#This Row],[Criteria 3 - Concrete]]+Table3[[#This Row],[Criteria 4 - Floor]]</f>
        <v>11</v>
      </c>
      <c r="H46" s="20"/>
      <c r="I46" s="21"/>
      <c r="J46" s="21"/>
      <c r="K46" s="101"/>
    </row>
    <row r="47" spans="1:11" ht="26">
      <c r="A47" s="24">
        <v>46</v>
      </c>
      <c r="B47" s="20" t="str">
        <f>scopus[[#This Row],[Title]]</f>
        <v>Engineering ductile notch connections for composite floors made of laminated timber and high or ultra-high performance fiber reinforced concrete</v>
      </c>
      <c r="C47" s="99">
        <v>4</v>
      </c>
      <c r="D47" s="99">
        <v>5</v>
      </c>
      <c r="E47" s="99">
        <v>2</v>
      </c>
      <c r="F47" s="99">
        <v>0</v>
      </c>
      <c r="G47" s="21">
        <f>Table3[[#This Row],[Criteria 1 - Cross-Laminated-Timber]]+Table3[[#This Row],[Criteria 2 - Sustainability]]+Table3[[#This Row],[Criteria 3 - Concrete]]+Table3[[#This Row],[Criteria 4 - Floor]]</f>
        <v>11</v>
      </c>
      <c r="H47" s="20"/>
      <c r="I47" s="21"/>
      <c r="J47" s="21"/>
      <c r="K47" s="99"/>
    </row>
    <row r="48" spans="1:11">
      <c r="A48" s="24">
        <v>47</v>
      </c>
      <c r="B48" s="20" t="str">
        <f>scopus[[#This Row],[Title]]</f>
        <v>Energy implications of using steel-timber composite (STC) elements in buildings</v>
      </c>
      <c r="C48" s="101">
        <v>3</v>
      </c>
      <c r="D48" s="101">
        <v>3</v>
      </c>
      <c r="E48" s="101">
        <v>3</v>
      </c>
      <c r="F48" s="101">
        <v>2</v>
      </c>
      <c r="G48" s="21">
        <f>Table3[[#This Row],[Criteria 1 - Cross-Laminated-Timber]]+Table3[[#This Row],[Criteria 2 - Sustainability]]+Table3[[#This Row],[Criteria 3 - Concrete]]+Table3[[#This Row],[Criteria 4 - Floor]]</f>
        <v>11</v>
      </c>
      <c r="H48" s="20"/>
      <c r="I48" s="21"/>
      <c r="J48" s="21"/>
      <c r="K48" s="101"/>
    </row>
    <row r="49" spans="1:11">
      <c r="A49" s="24">
        <v>48</v>
      </c>
      <c r="B49" s="20" t="str">
        <f>scopus[[#This Row],[Title]]</f>
        <v>Experimental dataset for effective bending stiffness and load-carrying capacity of CLT-concrete composite floor systems</v>
      </c>
      <c r="C49" s="99">
        <v>5</v>
      </c>
      <c r="D49" s="99">
        <v>4</v>
      </c>
      <c r="E49" s="99">
        <v>2</v>
      </c>
      <c r="F49" s="99">
        <v>0</v>
      </c>
      <c r="G49" s="21">
        <f>Table3[[#This Row],[Criteria 1 - Cross-Laminated-Timber]]+Table3[[#This Row],[Criteria 2 - Sustainability]]+Table3[[#This Row],[Criteria 3 - Concrete]]+Table3[[#This Row],[Criteria 4 - Floor]]</f>
        <v>11</v>
      </c>
      <c r="H49" s="20"/>
      <c r="I49" s="21"/>
      <c r="J49" s="21"/>
      <c r="K49" s="99"/>
    </row>
    <row r="50" spans="1:11">
      <c r="A50" s="24">
        <v>49</v>
      </c>
      <c r="B50" s="20" t="str">
        <f>scopus[[#This Row],[Title]]</f>
        <v>Reinforced cross-laminated timber-concrete composite floor systems</v>
      </c>
      <c r="C50" s="101">
        <v>5</v>
      </c>
      <c r="D50" s="101">
        <v>4</v>
      </c>
      <c r="E50" s="101">
        <v>2</v>
      </c>
      <c r="F50" s="101">
        <v>0</v>
      </c>
      <c r="G50" s="21">
        <f>Table3[[#This Row],[Criteria 1 - Cross-Laminated-Timber]]+Table3[[#This Row],[Criteria 2 - Sustainability]]+Table3[[#This Row],[Criteria 3 - Concrete]]+Table3[[#This Row],[Criteria 4 - Floor]]</f>
        <v>11</v>
      </c>
      <c r="H50" s="20"/>
      <c r="I50" s="21"/>
      <c r="J50" s="21"/>
      <c r="K50" s="101"/>
    </row>
    <row r="51" spans="1:11">
      <c r="A51" s="24">
        <v>50</v>
      </c>
      <c r="B51" s="20" t="str">
        <f>scopus[[#This Row],[Title]]</f>
        <v>Sustainability and cost of a multi-story edifice, with CLT and LGS light weight floor system, at Neom-The Line</v>
      </c>
      <c r="C51" s="99">
        <v>2</v>
      </c>
      <c r="D51" s="99">
        <v>2</v>
      </c>
      <c r="E51" s="99">
        <v>2</v>
      </c>
      <c r="F51" s="99">
        <v>5</v>
      </c>
      <c r="G51" s="21">
        <f>Table3[[#This Row],[Criteria 1 - Cross-Laminated-Timber]]+Table3[[#This Row],[Criteria 2 - Sustainability]]+Table3[[#This Row],[Criteria 3 - Concrete]]+Table3[[#This Row],[Criteria 4 - Floor]]</f>
        <v>11</v>
      </c>
      <c r="H51" s="20"/>
      <c r="I51" s="21"/>
      <c r="J51" s="21"/>
      <c r="K51" s="99"/>
    </row>
    <row r="52" spans="1:11">
      <c r="A52" s="24">
        <v>51</v>
      </c>
      <c r="B52" s="20" t="str">
        <f>scopus[[#This Row],[Title]]</f>
        <v>Composite connections between CLT slab and steel beam: Experiments and empirical models</v>
      </c>
      <c r="C52" s="101">
        <v>3</v>
      </c>
      <c r="D52" s="101">
        <v>4</v>
      </c>
      <c r="E52" s="101">
        <v>3</v>
      </c>
      <c r="F52" s="101">
        <v>1</v>
      </c>
      <c r="G52" s="21">
        <f>Table3[[#This Row],[Criteria 1 - Cross-Laminated-Timber]]+Table3[[#This Row],[Criteria 2 - Sustainability]]+Table3[[#This Row],[Criteria 3 - Concrete]]+Table3[[#This Row],[Criteria 4 - Floor]]</f>
        <v>11</v>
      </c>
      <c r="H52" s="20"/>
      <c r="I52" s="21"/>
      <c r="J52" s="21"/>
      <c r="K52" s="101"/>
    </row>
    <row r="53" spans="1:11">
      <c r="A53" s="24">
        <v>52</v>
      </c>
      <c r="B53" s="20" t="str">
        <f>scopus[[#This Row],[Title]]</f>
        <v>MECHANICAL BEHAVIOUR OF NOTCH CONNECTION FOR MARITIME PINE CLT-CONCRETE COMPOSITE</v>
      </c>
      <c r="C53" s="99">
        <v>5</v>
      </c>
      <c r="D53" s="99">
        <v>3</v>
      </c>
      <c r="E53" s="99">
        <v>2</v>
      </c>
      <c r="F53" s="99">
        <v>1</v>
      </c>
      <c r="G53" s="21">
        <f>Table3[[#This Row],[Criteria 1 - Cross-Laminated-Timber]]+Table3[[#This Row],[Criteria 2 - Sustainability]]+Table3[[#This Row],[Criteria 3 - Concrete]]+Table3[[#This Row],[Criteria 4 - Floor]]</f>
        <v>11</v>
      </c>
      <c r="H53" s="20"/>
      <c r="I53" s="21"/>
      <c r="J53" s="21"/>
      <c r="K53" s="99"/>
    </row>
    <row r="54" spans="1:11">
      <c r="A54" s="24">
        <v>53</v>
      </c>
      <c r="B54" s="20" t="str">
        <f>scopus[[#This Row],[Title]]</f>
        <v>Assessment of the environmental impact of timber and its potential to mitigate embodied GHG emissions</v>
      </c>
      <c r="C54" s="101">
        <v>2</v>
      </c>
      <c r="D54" s="101">
        <v>2</v>
      </c>
      <c r="E54" s="101">
        <v>2</v>
      </c>
      <c r="F54" s="101">
        <v>5</v>
      </c>
      <c r="G54" s="21">
        <f>Table3[[#This Row],[Criteria 1 - Cross-Laminated-Timber]]+Table3[[#This Row],[Criteria 2 - Sustainability]]+Table3[[#This Row],[Criteria 3 - Concrete]]+Table3[[#This Row],[Criteria 4 - Floor]]</f>
        <v>11</v>
      </c>
      <c r="H54" s="20"/>
      <c r="I54" s="21"/>
      <c r="J54" s="21"/>
      <c r="K54" s="101"/>
    </row>
    <row r="55" spans="1:11" ht="26">
      <c r="A55" s="24">
        <v>54</v>
      </c>
      <c r="B55" s="20" t="str">
        <f>scopus[[#This Row],[Title]]</f>
        <v>Vibration performance of cross-laminated timber (CLT)-concrete composite floors considering the section thickness ratio between CLT panels and concrete slabs</v>
      </c>
      <c r="C55" s="99">
        <v>5</v>
      </c>
      <c r="D55" s="99">
        <v>4</v>
      </c>
      <c r="E55" s="99">
        <v>2</v>
      </c>
      <c r="F55" s="99">
        <v>0</v>
      </c>
      <c r="G55" s="21">
        <f>Table3[[#This Row],[Criteria 1 - Cross-Laminated-Timber]]+Table3[[#This Row],[Criteria 2 - Sustainability]]+Table3[[#This Row],[Criteria 3 - Concrete]]+Table3[[#This Row],[Criteria 4 - Floor]]</f>
        <v>11</v>
      </c>
      <c r="H55" s="20"/>
      <c r="I55" s="21"/>
      <c r="J55" s="21"/>
      <c r="K55" s="99"/>
    </row>
    <row r="56" spans="1:11">
      <c r="A56" s="24">
        <v>55</v>
      </c>
      <c r="B56" s="20" t="str">
        <f>scopus[[#This Row],[Title]]</f>
        <v>Out-of-Plane Strengthening of Existing Timber Floors with Cross Laminated Timber Panels Made of Short Supply Chain Beech</v>
      </c>
      <c r="C56" s="101">
        <v>5</v>
      </c>
      <c r="D56" s="101">
        <v>2</v>
      </c>
      <c r="E56" s="101">
        <v>2</v>
      </c>
      <c r="F56" s="101">
        <v>2</v>
      </c>
      <c r="G56" s="21">
        <f>Table3[[#This Row],[Criteria 1 - Cross-Laminated-Timber]]+Table3[[#This Row],[Criteria 2 - Sustainability]]+Table3[[#This Row],[Criteria 3 - Concrete]]+Table3[[#This Row],[Criteria 4 - Floor]]</f>
        <v>11</v>
      </c>
      <c r="H56" s="20"/>
      <c r="I56" s="21"/>
      <c r="J56" s="21"/>
      <c r="K56" s="101"/>
    </row>
    <row r="57" spans="1:11">
      <c r="A57" s="24">
        <v>56</v>
      </c>
      <c r="B57" s="20" t="str">
        <f>scopus[[#This Row],[Title]]</f>
        <v>Structural performance of hybrid tall buildings designed using ultra-lightweight floor slabs</v>
      </c>
      <c r="C57" s="99">
        <v>3</v>
      </c>
      <c r="D57" s="99">
        <v>5</v>
      </c>
      <c r="E57" s="99">
        <v>3</v>
      </c>
      <c r="F57" s="99">
        <v>0</v>
      </c>
      <c r="G57" s="21">
        <f>Table3[[#This Row],[Criteria 1 - Cross-Laminated-Timber]]+Table3[[#This Row],[Criteria 2 - Sustainability]]+Table3[[#This Row],[Criteria 3 - Concrete]]+Table3[[#This Row],[Criteria 4 - Floor]]</f>
        <v>11</v>
      </c>
      <c r="H57" s="20"/>
      <c r="I57" s="21"/>
      <c r="J57" s="21"/>
      <c r="K57" s="99"/>
    </row>
    <row r="58" spans="1:11" ht="26">
      <c r="A58" s="24">
        <v>57</v>
      </c>
      <c r="B58" s="20" t="str">
        <f>scopus[[#This Row],[Title]]</f>
        <v>Estimation of energy demand and greenhouse gas emission reduction effect of cross-laminated timber (CLT) hybrid wall using life cycle assessment for urban residential planning</v>
      </c>
      <c r="C58" s="101">
        <v>3</v>
      </c>
      <c r="D58" s="101">
        <v>2</v>
      </c>
      <c r="E58" s="101">
        <v>1</v>
      </c>
      <c r="F58" s="101">
        <v>5</v>
      </c>
      <c r="G58" s="21">
        <f>Table3[[#This Row],[Criteria 1 - Cross-Laminated-Timber]]+Table3[[#This Row],[Criteria 2 - Sustainability]]+Table3[[#This Row],[Criteria 3 - Concrete]]+Table3[[#This Row],[Criteria 4 - Floor]]</f>
        <v>11</v>
      </c>
      <c r="H58" s="20"/>
      <c r="I58" s="21"/>
      <c r="J58" s="21"/>
      <c r="K58" s="101"/>
    </row>
    <row r="59" spans="1:11">
      <c r="A59" s="24">
        <v>58</v>
      </c>
      <c r="B59" s="20" t="str">
        <f>scopus[[#This Row],[Title]]</f>
        <v>Behaviour of mass timber panel-concrete connections with inclined self-tapping screws and insulation layer</v>
      </c>
      <c r="C59" s="99">
        <v>3</v>
      </c>
      <c r="D59" s="99">
        <v>5</v>
      </c>
      <c r="E59" s="99">
        <v>3</v>
      </c>
      <c r="F59" s="99">
        <v>0</v>
      </c>
      <c r="G59" s="21">
        <f>Table3[[#This Row],[Criteria 1 - Cross-Laminated-Timber]]+Table3[[#This Row],[Criteria 2 - Sustainability]]+Table3[[#This Row],[Criteria 3 - Concrete]]+Table3[[#This Row],[Criteria 4 - Floor]]</f>
        <v>11</v>
      </c>
      <c r="H59" s="20"/>
      <c r="I59" s="21"/>
      <c r="J59" s="21"/>
      <c r="K59" s="99"/>
    </row>
    <row r="60" spans="1:11">
      <c r="A60" s="24">
        <v>59</v>
      </c>
      <c r="B60" s="20" t="str">
        <f>scopus[[#This Row],[Title]]</f>
        <v>STRUCTURAL DYNAMIC CALCULATIONS OF TRAFFIC INDUCED VIBRATIONS IN MODERN CROSS LAMINATED TIMBER CONSTRUCTIONS</v>
      </c>
      <c r="C60" s="101">
        <v>4</v>
      </c>
      <c r="D60" s="101">
        <v>2</v>
      </c>
      <c r="E60" s="101">
        <v>3</v>
      </c>
      <c r="F60" s="101">
        <v>1</v>
      </c>
      <c r="G60" s="21">
        <f>Table3[[#This Row],[Criteria 1 - Cross-Laminated-Timber]]+Table3[[#This Row],[Criteria 2 - Sustainability]]+Table3[[#This Row],[Criteria 3 - Concrete]]+Table3[[#This Row],[Criteria 4 - Floor]]</f>
        <v>10</v>
      </c>
      <c r="H60" s="20"/>
      <c r="I60" s="21"/>
      <c r="J60" s="21"/>
      <c r="K60" s="101"/>
    </row>
    <row r="61" spans="1:11">
      <c r="A61" s="24">
        <v>60</v>
      </c>
      <c r="B61" s="20" t="str">
        <f>scopus[[#This Row],[Title]]</f>
        <v>Predicting vibration behaviour of cross laminated timber floors</v>
      </c>
      <c r="C61" s="99">
        <v>4</v>
      </c>
      <c r="D61" s="99">
        <v>3</v>
      </c>
      <c r="E61" s="99">
        <v>3</v>
      </c>
      <c r="F61" s="99">
        <v>0</v>
      </c>
      <c r="G61" s="21">
        <f>Table3[[#This Row],[Criteria 1 - Cross-Laminated-Timber]]+Table3[[#This Row],[Criteria 2 - Sustainability]]+Table3[[#This Row],[Criteria 3 - Concrete]]+Table3[[#This Row],[Criteria 4 - Floor]]</f>
        <v>10</v>
      </c>
      <c r="H61" s="20"/>
      <c r="I61" s="21"/>
      <c r="J61" s="21"/>
      <c r="K61" s="99"/>
    </row>
    <row r="62" spans="1:11">
      <c r="A62" s="24">
        <v>61</v>
      </c>
      <c r="B62" s="20" t="str">
        <f>scopus[[#This Row],[Title]]</f>
        <v>Short-Term, Long-Term, and Vibration Performance of TCC Floors Using Mass-Timber Panels</v>
      </c>
      <c r="C62" s="101">
        <v>3</v>
      </c>
      <c r="D62" s="101">
        <v>5</v>
      </c>
      <c r="E62" s="101">
        <v>2</v>
      </c>
      <c r="F62" s="101">
        <v>0</v>
      </c>
      <c r="G62" s="21">
        <f>Table3[[#This Row],[Criteria 1 - Cross-Laminated-Timber]]+Table3[[#This Row],[Criteria 2 - Sustainability]]+Table3[[#This Row],[Criteria 3 - Concrete]]+Table3[[#This Row],[Criteria 4 - Floor]]</f>
        <v>10</v>
      </c>
      <c r="H62" s="20"/>
      <c r="I62" s="21"/>
      <c r="J62" s="21"/>
      <c r="K62" s="101"/>
    </row>
    <row r="63" spans="1:11">
      <c r="A63" s="24">
        <v>62</v>
      </c>
      <c r="B63" s="20" t="str">
        <f>scopus[[#This Row],[Title]]</f>
        <v>Modal Feature Identification of Point-Supported Mass Timber Slabs</v>
      </c>
      <c r="C63" s="99">
        <v>5</v>
      </c>
      <c r="D63" s="99">
        <v>3</v>
      </c>
      <c r="E63" s="99">
        <v>2</v>
      </c>
      <c r="F63" s="99">
        <v>0</v>
      </c>
      <c r="G63" s="21">
        <f>Table3[[#This Row],[Criteria 1 - Cross-Laminated-Timber]]+Table3[[#This Row],[Criteria 2 - Sustainability]]+Table3[[#This Row],[Criteria 3 - Concrete]]+Table3[[#This Row],[Criteria 4 - Floor]]</f>
        <v>10</v>
      </c>
      <c r="H63" s="20"/>
      <c r="I63" s="21"/>
      <c r="J63" s="21"/>
      <c r="K63" s="99"/>
    </row>
    <row r="64" spans="1:11">
      <c r="A64" s="24">
        <v>63</v>
      </c>
      <c r="B64" s="20" t="str">
        <f>scopus[[#This Row],[Title]]</f>
        <v>Design Analysis of Mass Timber and Volumetric Modular Strategies as Counterproposals for an Existing Reinforced Concrete Hotel</v>
      </c>
      <c r="C64" s="101">
        <v>4</v>
      </c>
      <c r="D64" s="101">
        <v>2</v>
      </c>
      <c r="E64" s="101">
        <v>3</v>
      </c>
      <c r="F64" s="101">
        <v>1</v>
      </c>
      <c r="G64" s="21">
        <f>Table3[[#This Row],[Criteria 1 - Cross-Laminated-Timber]]+Table3[[#This Row],[Criteria 2 - Sustainability]]+Table3[[#This Row],[Criteria 3 - Concrete]]+Table3[[#This Row],[Criteria 4 - Floor]]</f>
        <v>10</v>
      </c>
      <c r="H64" s="20"/>
      <c r="I64" s="21"/>
      <c r="J64" s="21"/>
      <c r="K64" s="101"/>
    </row>
    <row r="65" spans="1:11">
      <c r="A65" s="24">
        <v>64</v>
      </c>
      <c r="B65" s="20" t="str">
        <f>scopus[[#This Row],[Title]]</f>
        <v>DESIGN AND CRADLE-TO-GRAVE LIFE-CYCLE ASSESSMENT: FULL-SCALE SIX-STORY SHAKE-TABLE TEST BUILDING LATERAL SYSTEMS</v>
      </c>
      <c r="C65" s="99">
        <v>3</v>
      </c>
      <c r="D65" s="99">
        <v>1</v>
      </c>
      <c r="E65" s="99">
        <v>2</v>
      </c>
      <c r="F65" s="99">
        <v>4</v>
      </c>
      <c r="G65" s="21">
        <f>Table3[[#This Row],[Criteria 1 - Cross-Laminated-Timber]]+Table3[[#This Row],[Criteria 2 - Sustainability]]+Table3[[#This Row],[Criteria 3 - Concrete]]+Table3[[#This Row],[Criteria 4 - Floor]]</f>
        <v>10</v>
      </c>
      <c r="H65" s="20"/>
      <c r="I65" s="21"/>
      <c r="J65" s="21"/>
      <c r="K65" s="99"/>
    </row>
    <row r="66" spans="1:11" ht="26">
      <c r="A66" s="24">
        <v>65</v>
      </c>
      <c r="B66" s="20" t="str">
        <f>scopus[[#This Row],[Title]]</f>
        <v>VIBRATION PERFORMANCE OF A BEAMLESS CROSS LAMINATED TIMBER-CONCRETE COMPOSITE SLAB BAND FLOOR SYSTEM FOR 10-STOREY LIMBERLOST PLACE</v>
      </c>
      <c r="C66" s="101">
        <v>3</v>
      </c>
      <c r="D66" s="101">
        <v>5</v>
      </c>
      <c r="E66" s="101">
        <v>2</v>
      </c>
      <c r="F66" s="101">
        <v>0</v>
      </c>
      <c r="G66" s="21">
        <f>Table3[[#This Row],[Criteria 1 - Cross-Laminated-Timber]]+Table3[[#This Row],[Criteria 2 - Sustainability]]+Table3[[#This Row],[Criteria 3 - Concrete]]+Table3[[#This Row],[Criteria 4 - Floor]]</f>
        <v>10</v>
      </c>
      <c r="H66" s="20"/>
      <c r="I66" s="21"/>
      <c r="J66" s="21"/>
      <c r="K66" s="101"/>
    </row>
    <row r="67" spans="1:11">
      <c r="A67" s="24">
        <v>66</v>
      </c>
      <c r="B67" s="20" t="str">
        <f>scopus[[#This Row],[Title]]</f>
        <v>Structural behaviour of steel-timber versus steel-concrete composite joints with flush end plate</v>
      </c>
      <c r="C67" s="99">
        <v>3</v>
      </c>
      <c r="D67" s="99">
        <v>4</v>
      </c>
      <c r="E67" s="99">
        <v>2</v>
      </c>
      <c r="F67" s="99">
        <v>1</v>
      </c>
      <c r="G67" s="21">
        <f>Table3[[#This Row],[Criteria 1 - Cross-Laminated-Timber]]+Table3[[#This Row],[Criteria 2 - Sustainability]]+Table3[[#This Row],[Criteria 3 - Concrete]]+Table3[[#This Row],[Criteria 4 - Floor]]</f>
        <v>10</v>
      </c>
      <c r="H67" s="20"/>
      <c r="I67" s="21"/>
      <c r="J67" s="21"/>
      <c r="K67" s="99"/>
    </row>
    <row r="68" spans="1:11">
      <c r="A68" s="24">
        <v>67</v>
      </c>
      <c r="B68" s="20" t="str">
        <f>scopus[[#This Row],[Title]]</f>
        <v>FLEXURAL BEHAVIOR OF STEEL-TIMBER-CONCRETE COMPOSITE SLAB EXPOSED TO TWO HOURS UNDER STANDARD FIRE</v>
      </c>
      <c r="C68" s="101">
        <v>4</v>
      </c>
      <c r="D68" s="101">
        <v>4</v>
      </c>
      <c r="E68" s="101">
        <v>2</v>
      </c>
      <c r="F68" s="101">
        <v>0</v>
      </c>
      <c r="G68" s="21">
        <f>Table3[[#This Row],[Criteria 1 - Cross-Laminated-Timber]]+Table3[[#This Row],[Criteria 2 - Sustainability]]+Table3[[#This Row],[Criteria 3 - Concrete]]+Table3[[#This Row],[Criteria 4 - Floor]]</f>
        <v>10</v>
      </c>
      <c r="H68" s="20"/>
      <c r="I68" s="21"/>
      <c r="J68" s="21"/>
      <c r="K68" s="101"/>
    </row>
    <row r="69" spans="1:11">
      <c r="A69" s="24">
        <v>68</v>
      </c>
      <c r="B69" s="20" t="str">
        <f>scopus[[#This Row],[Title]]</f>
        <v>Experimental investigation of plain CLT and CLT-concrete composite slabs subject to punching shear</v>
      </c>
      <c r="C69" s="99">
        <v>3</v>
      </c>
      <c r="D69" s="99">
        <v>5</v>
      </c>
      <c r="E69" s="99">
        <v>2</v>
      </c>
      <c r="F69" s="99">
        <v>0</v>
      </c>
      <c r="G69" s="21">
        <f>Table3[[#This Row],[Criteria 1 - Cross-Laminated-Timber]]+Table3[[#This Row],[Criteria 2 - Sustainability]]+Table3[[#This Row],[Criteria 3 - Concrete]]+Table3[[#This Row],[Criteria 4 - Floor]]</f>
        <v>10</v>
      </c>
      <c r="H69" s="20"/>
      <c r="I69" s="21"/>
      <c r="J69" s="21"/>
      <c r="K69" s="99"/>
    </row>
    <row r="70" spans="1:11">
      <c r="A70" s="24">
        <v>69</v>
      </c>
      <c r="B70" s="20" t="str">
        <f>scopus[[#This Row],[Title]]</f>
        <v>Stiffness prediction of Mass Timber Panel-Concrete (MTPC) composite connection with inclined screws and a gap</v>
      </c>
      <c r="C70" s="101">
        <v>3</v>
      </c>
      <c r="D70" s="101">
        <v>5</v>
      </c>
      <c r="E70" s="101">
        <v>2</v>
      </c>
      <c r="F70" s="101">
        <v>0</v>
      </c>
      <c r="G70" s="21">
        <f>Table3[[#This Row],[Criteria 1 - Cross-Laminated-Timber]]+Table3[[#This Row],[Criteria 2 - Sustainability]]+Table3[[#This Row],[Criteria 3 - Concrete]]+Table3[[#This Row],[Criteria 4 - Floor]]</f>
        <v>10</v>
      </c>
      <c r="H70" s="20"/>
      <c r="I70" s="21"/>
      <c r="J70" s="21"/>
      <c r="K70" s="101"/>
    </row>
    <row r="71" spans="1:11">
      <c r="A71" s="24">
        <v>70</v>
      </c>
      <c r="B71" s="20" t="str">
        <f>scopus[[#This Row],[Title]]</f>
        <v>HYBRID MODELING APPROACH FOR TIME-DEPENDENT BEHAVIOR OF TIMBER-CONCRETE-COMPOSITE STRUCTURES</v>
      </c>
      <c r="C71" s="99">
        <v>3</v>
      </c>
      <c r="D71" s="99">
        <v>4</v>
      </c>
      <c r="E71" s="99">
        <v>3</v>
      </c>
      <c r="F71" s="99">
        <v>0</v>
      </c>
      <c r="G71" s="21">
        <f>Table3[[#This Row],[Criteria 1 - Cross-Laminated-Timber]]+Table3[[#This Row],[Criteria 2 - Sustainability]]+Table3[[#This Row],[Criteria 3 - Concrete]]+Table3[[#This Row],[Criteria 4 - Floor]]</f>
        <v>10</v>
      </c>
      <c r="H71" s="20"/>
      <c r="I71" s="21"/>
      <c r="J71" s="21"/>
      <c r="K71" s="99"/>
    </row>
    <row r="72" spans="1:11">
      <c r="A72" s="24">
        <v>71</v>
      </c>
      <c r="B72" s="20" t="str">
        <f>scopus[[#This Row],[Title]]</f>
        <v>FIRE RESISTANCE TESTING OF CLT-CONCRETE COMPOSITE FLOOR SLABS UTILIZING GLUED-IN STEEL PLATES AS SHEAR CONNECTORS</v>
      </c>
      <c r="C72" s="101">
        <v>3</v>
      </c>
      <c r="D72" s="101">
        <v>5</v>
      </c>
      <c r="E72" s="101">
        <v>2</v>
      </c>
      <c r="F72" s="101">
        <v>0</v>
      </c>
      <c r="G72" s="21">
        <f>Table3[[#This Row],[Criteria 1 - Cross-Laminated-Timber]]+Table3[[#This Row],[Criteria 2 - Sustainability]]+Table3[[#This Row],[Criteria 3 - Concrete]]+Table3[[#This Row],[Criteria 4 - Floor]]</f>
        <v>10</v>
      </c>
      <c r="H72" s="20"/>
      <c r="I72" s="21"/>
      <c r="J72" s="21"/>
      <c r="K72" s="101"/>
    </row>
    <row r="73" spans="1:11">
      <c r="A73" s="24">
        <v>72</v>
      </c>
      <c r="B73" s="20" t="str">
        <f>scopus[[#This Row],[Title]]</f>
        <v>EARTHQUAKE RESPONSE ANALYSES OF A TALL BUILDING CONSIDERING IN-PLANE FLOOR STIFFNESS</v>
      </c>
      <c r="C73" s="99">
        <v>4</v>
      </c>
      <c r="D73" s="99">
        <v>4</v>
      </c>
      <c r="E73" s="99">
        <v>2</v>
      </c>
      <c r="F73" s="99">
        <v>0</v>
      </c>
      <c r="G73" s="21">
        <f>Table3[[#This Row],[Criteria 1 - Cross-Laminated-Timber]]+Table3[[#This Row],[Criteria 2 - Sustainability]]+Table3[[#This Row],[Criteria 3 - Concrete]]+Table3[[#This Row],[Criteria 4 - Floor]]</f>
        <v>10</v>
      </c>
      <c r="H73" s="20"/>
      <c r="I73" s="21"/>
      <c r="J73" s="21"/>
      <c r="K73" s="99"/>
    </row>
    <row r="74" spans="1:11">
      <c r="A74" s="24">
        <v>73</v>
      </c>
      <c r="B74" s="20" t="str">
        <f>scopus[[#This Row],[Title]]</f>
        <v>Comparative analysis of the feasibility of hollowcore mass timber panels for long span floor systems</v>
      </c>
      <c r="C74" s="101">
        <v>5</v>
      </c>
      <c r="D74" s="101">
        <v>4</v>
      </c>
      <c r="E74" s="101">
        <v>1</v>
      </c>
      <c r="F74" s="101">
        <v>0</v>
      </c>
      <c r="G74" s="21">
        <f>Table3[[#This Row],[Criteria 1 - Cross-Laminated-Timber]]+Table3[[#This Row],[Criteria 2 - Sustainability]]+Table3[[#This Row],[Criteria 3 - Concrete]]+Table3[[#This Row],[Criteria 4 - Floor]]</f>
        <v>10</v>
      </c>
      <c r="H74" s="20"/>
      <c r="I74" s="21"/>
      <c r="J74" s="21"/>
      <c r="K74" s="101"/>
    </row>
    <row r="75" spans="1:11">
      <c r="A75" s="24">
        <v>74</v>
      </c>
      <c r="B75" s="20" t="str">
        <f>scopus[[#This Row],[Title]]</f>
        <v>FIRE RESISTANCE TESTING OF CLT-CONCRETE COMPOSITE FLOOR SLABS WITH STRIP NOTCH SHEAR CONNECTIONS</v>
      </c>
      <c r="C75" s="99">
        <v>5</v>
      </c>
      <c r="D75" s="99">
        <v>4</v>
      </c>
      <c r="E75" s="99">
        <v>1</v>
      </c>
      <c r="F75" s="99">
        <v>0</v>
      </c>
      <c r="G75" s="21">
        <f>Table3[[#This Row],[Criteria 1 - Cross-Laminated-Timber]]+Table3[[#This Row],[Criteria 2 - Sustainability]]+Table3[[#This Row],[Criteria 3 - Concrete]]+Table3[[#This Row],[Criteria 4 - Floor]]</f>
        <v>10</v>
      </c>
      <c r="H75" s="20"/>
      <c r="I75" s="21"/>
      <c r="J75" s="21"/>
      <c r="K75" s="99"/>
    </row>
    <row r="76" spans="1:11">
      <c r="A76" s="24">
        <v>75</v>
      </c>
      <c r="B76" s="20" t="str">
        <f>scopus[[#This Row],[Title]]</f>
        <v>Flexural behaviour and connection efficiency of cross-laminated timber–glulam composite floor systems</v>
      </c>
      <c r="C76" s="101">
        <v>5</v>
      </c>
      <c r="D76" s="101">
        <v>3</v>
      </c>
      <c r="E76" s="101">
        <v>1</v>
      </c>
      <c r="F76" s="101">
        <v>1</v>
      </c>
      <c r="G76" s="21">
        <f>Table3[[#This Row],[Criteria 1 - Cross-Laminated-Timber]]+Table3[[#This Row],[Criteria 2 - Sustainability]]+Table3[[#This Row],[Criteria 3 - Concrete]]+Table3[[#This Row],[Criteria 4 - Floor]]</f>
        <v>10</v>
      </c>
      <c r="H76" s="20"/>
      <c r="I76" s="21"/>
      <c r="J76" s="21"/>
      <c r="K76" s="101"/>
    </row>
    <row r="77" spans="1:11">
      <c r="A77" s="24">
        <v>76</v>
      </c>
      <c r="B77" s="20" t="str">
        <f>scopus[[#This Row],[Title]]</f>
        <v>Large-scale building unit construction with carbon-neutral and robotics technologies, Kajima Technical Center</v>
      </c>
      <c r="C77" s="99">
        <v>1</v>
      </c>
      <c r="D77" s="99">
        <v>4</v>
      </c>
      <c r="E77" s="99">
        <v>4</v>
      </c>
      <c r="F77" s="99">
        <v>1</v>
      </c>
      <c r="G77" s="21">
        <f>Table3[[#This Row],[Criteria 1 - Cross-Laminated-Timber]]+Table3[[#This Row],[Criteria 2 - Sustainability]]+Table3[[#This Row],[Criteria 3 - Concrete]]+Table3[[#This Row],[Criteria 4 - Floor]]</f>
        <v>10</v>
      </c>
      <c r="H77" s="20"/>
      <c r="I77" s="21"/>
      <c r="J77" s="21"/>
      <c r="K77" s="99"/>
    </row>
    <row r="78" spans="1:11">
      <c r="A78" s="24">
        <v>77</v>
      </c>
      <c r="B78" s="20" t="str">
        <f>scopus[[#This Row],[Title]]</f>
        <v>Efficiency of floating concrete toppings on mass timber floors for impact sound insulation</v>
      </c>
      <c r="C78" s="101">
        <v>5</v>
      </c>
      <c r="D78" s="101">
        <v>3</v>
      </c>
      <c r="E78" s="101">
        <v>2</v>
      </c>
      <c r="F78" s="101">
        <v>0</v>
      </c>
      <c r="G78" s="21">
        <f>Table3[[#This Row],[Criteria 1 - Cross-Laminated-Timber]]+Table3[[#This Row],[Criteria 2 - Sustainability]]+Table3[[#This Row],[Criteria 3 - Concrete]]+Table3[[#This Row],[Criteria 4 - Floor]]</f>
        <v>10</v>
      </c>
      <c r="H78" s="20"/>
      <c r="I78" s="21"/>
      <c r="J78" s="21"/>
      <c r="K78" s="101"/>
    </row>
    <row r="79" spans="1:11">
      <c r="A79" s="24">
        <v>78</v>
      </c>
      <c r="B79" s="20" t="str">
        <f>scopus[[#This Row],[Title]]</f>
        <v>Acoustic emission monitoring of cross-laminated timber-steel composite beams during elastic bending</v>
      </c>
      <c r="C79" s="99">
        <v>5</v>
      </c>
      <c r="D79" s="99">
        <v>3</v>
      </c>
      <c r="E79" s="99">
        <v>1</v>
      </c>
      <c r="F79" s="99">
        <v>1</v>
      </c>
      <c r="G79" s="21">
        <f>Table3[[#This Row],[Criteria 1 - Cross-Laminated-Timber]]+Table3[[#This Row],[Criteria 2 - Sustainability]]+Table3[[#This Row],[Criteria 3 - Concrete]]+Table3[[#This Row],[Criteria 4 - Floor]]</f>
        <v>10</v>
      </c>
      <c r="H79" s="20"/>
      <c r="I79" s="21"/>
      <c r="J79" s="21"/>
      <c r="K79" s="99"/>
    </row>
    <row r="80" spans="1:11">
      <c r="A80" s="24">
        <v>79</v>
      </c>
      <c r="B80" s="20" t="str">
        <f>scopus[[#This Row],[Title]]</f>
        <v>In-Plane Shear Cyclic Performance of Spline Cross-Laminated Timber-Concrete Composite Diaphragms</v>
      </c>
      <c r="C80" s="101">
        <v>3</v>
      </c>
      <c r="D80" s="101">
        <v>5</v>
      </c>
      <c r="E80" s="101">
        <v>2</v>
      </c>
      <c r="F80" s="101">
        <v>0</v>
      </c>
      <c r="G80" s="21">
        <f>Table3[[#This Row],[Criteria 1 - Cross-Laminated-Timber]]+Table3[[#This Row],[Criteria 2 - Sustainability]]+Table3[[#This Row],[Criteria 3 - Concrete]]+Table3[[#This Row],[Criteria 4 - Floor]]</f>
        <v>10</v>
      </c>
      <c r="H80" s="20"/>
      <c r="I80" s="21"/>
      <c r="J80" s="21"/>
      <c r="K80" s="101"/>
    </row>
    <row r="81" spans="1:11" ht="26">
      <c r="A81" s="24">
        <v>80</v>
      </c>
      <c r="B81" s="20" t="str">
        <f>scopus[[#This Row],[Title]]</f>
        <v>CASE STUDY: SEISMIC AND GRAVITATIONAL DESIGN OF 15-STORY OFFICE AND RESIDENTIAL BUILDING ARCHETYPES WITH A SEMI-RIGID CLT DIAPHRAGM AND REINFORCED CONCRETE SHEAR WALLS IN CHILE</v>
      </c>
      <c r="C81" s="99">
        <v>4</v>
      </c>
      <c r="D81" s="99">
        <v>4</v>
      </c>
      <c r="E81" s="99">
        <v>2</v>
      </c>
      <c r="F81" s="99">
        <v>0</v>
      </c>
      <c r="G81" s="21">
        <f>Table3[[#This Row],[Criteria 1 - Cross-Laminated-Timber]]+Table3[[#This Row],[Criteria 2 - Sustainability]]+Table3[[#This Row],[Criteria 3 - Concrete]]+Table3[[#This Row],[Criteria 4 - Floor]]</f>
        <v>10</v>
      </c>
      <c r="H81" s="20"/>
      <c r="I81" s="21"/>
      <c r="J81" s="21"/>
      <c r="K81" s="99"/>
    </row>
    <row r="82" spans="1:11">
      <c r="A82" s="24">
        <v>81</v>
      </c>
      <c r="B82" s="20" t="str">
        <f>scopus[[#This Row],[Title]]</f>
        <v>COMPARATIVE CARBON-FOOTPRINT ANALYSIS OF RESIDENTIAL BUILDINGS WITH DIFFERENT STRUCTURAL MATERIALS</v>
      </c>
      <c r="C82" s="101">
        <v>2</v>
      </c>
      <c r="D82" s="101">
        <v>1</v>
      </c>
      <c r="E82" s="101">
        <v>2</v>
      </c>
      <c r="F82" s="101">
        <v>5</v>
      </c>
      <c r="G82" s="21">
        <f>Table3[[#This Row],[Criteria 1 - Cross-Laminated-Timber]]+Table3[[#This Row],[Criteria 2 - Sustainability]]+Table3[[#This Row],[Criteria 3 - Concrete]]+Table3[[#This Row],[Criteria 4 - Floor]]</f>
        <v>10</v>
      </c>
      <c r="H82" s="20"/>
      <c r="I82" s="21"/>
      <c r="J82" s="21"/>
      <c r="K82" s="101"/>
    </row>
    <row r="83" spans="1:11">
      <c r="A83" s="24">
        <v>82</v>
      </c>
      <c r="B83" s="20" t="str">
        <f>scopus[[#This Row],[Title]]</f>
        <v>STRUCTURAL MODELLING OF A NOVEL HYBRID TIMBER FLOOR SYSTEM</v>
      </c>
      <c r="C83" s="99">
        <v>5</v>
      </c>
      <c r="D83" s="99">
        <v>3</v>
      </c>
      <c r="E83" s="99">
        <v>1</v>
      </c>
      <c r="F83" s="99">
        <v>1</v>
      </c>
      <c r="G83" s="21">
        <f>Table3[[#This Row],[Criteria 1 - Cross-Laminated-Timber]]+Table3[[#This Row],[Criteria 2 - Sustainability]]+Table3[[#This Row],[Criteria 3 - Concrete]]+Table3[[#This Row],[Criteria 4 - Floor]]</f>
        <v>10</v>
      </c>
      <c r="H83" s="20"/>
      <c r="I83" s="21"/>
      <c r="J83" s="21"/>
      <c r="K83" s="99"/>
    </row>
    <row r="84" spans="1:11" ht="26">
      <c r="A84" s="24">
        <v>83</v>
      </c>
      <c r="B84" s="20" t="str">
        <f>scopus[[#This Row],[Title]]</f>
        <v>Numerical investigation of connection performance of timber-concrete composite slabs with inclined self-tapping screws under high temperature</v>
      </c>
      <c r="C84" s="101">
        <v>4</v>
      </c>
      <c r="D84" s="101">
        <v>4</v>
      </c>
      <c r="E84" s="101">
        <v>2</v>
      </c>
      <c r="F84" s="101">
        <v>0</v>
      </c>
      <c r="G84" s="21">
        <f>Table3[[#This Row],[Criteria 1 - Cross-Laminated-Timber]]+Table3[[#This Row],[Criteria 2 - Sustainability]]+Table3[[#This Row],[Criteria 3 - Concrete]]+Table3[[#This Row],[Criteria 4 - Floor]]</f>
        <v>10</v>
      </c>
      <c r="H84" s="20"/>
      <c r="I84" s="21"/>
      <c r="J84" s="21"/>
      <c r="K84" s="101"/>
    </row>
    <row r="85" spans="1:11">
      <c r="A85" s="24">
        <v>84</v>
      </c>
      <c r="B85" s="20" t="str">
        <f>scopus[[#This Row],[Title]]</f>
        <v>Finite Element Modelling of CLT-Concrete Composite Sections Utilizing Wood Screws as Shear Connectors</v>
      </c>
      <c r="C85" s="99">
        <v>5</v>
      </c>
      <c r="D85" s="99">
        <v>4</v>
      </c>
      <c r="E85" s="99">
        <v>1</v>
      </c>
      <c r="F85" s="99">
        <v>0</v>
      </c>
      <c r="G85" s="21">
        <f>Table3[[#This Row],[Criteria 1 - Cross-Laminated-Timber]]+Table3[[#This Row],[Criteria 2 - Sustainability]]+Table3[[#This Row],[Criteria 3 - Concrete]]+Table3[[#This Row],[Criteria 4 - Floor]]</f>
        <v>10</v>
      </c>
      <c r="H85" s="20"/>
      <c r="I85" s="21"/>
      <c r="J85" s="21"/>
      <c r="K85" s="99"/>
    </row>
    <row r="86" spans="1:11">
      <c r="A86" s="24">
        <v>85</v>
      </c>
      <c r="B86" s="20" t="str">
        <f>scopus[[#This Row],[Title]]</f>
        <v>Apparent Impact Sound Insulation Performance of Continuous Floating Concrete Toppings on Mass Timber Slab Floors</v>
      </c>
      <c r="C86" s="101">
        <v>5</v>
      </c>
      <c r="D86" s="101">
        <v>4</v>
      </c>
      <c r="E86" s="101">
        <v>1</v>
      </c>
      <c r="F86" s="101">
        <v>0</v>
      </c>
      <c r="G86" s="21">
        <f>Table3[[#This Row],[Criteria 1 - Cross-Laminated-Timber]]+Table3[[#This Row],[Criteria 2 - Sustainability]]+Table3[[#This Row],[Criteria 3 - Concrete]]+Table3[[#This Row],[Criteria 4 - Floor]]</f>
        <v>10</v>
      </c>
      <c r="H86" s="20"/>
      <c r="I86" s="21"/>
      <c r="J86" s="21"/>
      <c r="K86" s="101"/>
    </row>
    <row r="87" spans="1:11">
      <c r="A87" s="24">
        <v>86</v>
      </c>
      <c r="B87" s="20" t="str">
        <f>scopus[[#This Row],[Title]]</f>
        <v>Experimental and numerical study on shear behavior of a demountable CLT-concrete composite shear connection</v>
      </c>
      <c r="C87" s="99">
        <v>3</v>
      </c>
      <c r="D87" s="99">
        <v>4</v>
      </c>
      <c r="E87" s="99">
        <v>1</v>
      </c>
      <c r="F87" s="99">
        <v>2</v>
      </c>
      <c r="G87" s="21">
        <f>Table3[[#This Row],[Criteria 1 - Cross-Laminated-Timber]]+Table3[[#This Row],[Criteria 2 - Sustainability]]+Table3[[#This Row],[Criteria 3 - Concrete]]+Table3[[#This Row],[Criteria 4 - Floor]]</f>
        <v>10</v>
      </c>
      <c r="H87" s="20"/>
      <c r="I87" s="21"/>
      <c r="J87" s="21"/>
      <c r="K87" s="99"/>
    </row>
    <row r="88" spans="1:11" ht="26">
      <c r="A88" s="24">
        <v>87</v>
      </c>
      <c r="B88" s="20" t="str">
        <f>scopus[[#This Row],[Title]]</f>
        <v>Efficiency of energy consumption between reinforced concrete structure and cross‐laminated timber based hybrid structure in East Asian cities</v>
      </c>
      <c r="C88" s="101">
        <v>3</v>
      </c>
      <c r="D88" s="101">
        <v>1</v>
      </c>
      <c r="E88" s="101">
        <v>3</v>
      </c>
      <c r="F88" s="101">
        <v>3</v>
      </c>
      <c r="G88" s="21">
        <f>Table3[[#This Row],[Criteria 1 - Cross-Laminated-Timber]]+Table3[[#This Row],[Criteria 2 - Sustainability]]+Table3[[#This Row],[Criteria 3 - Concrete]]+Table3[[#This Row],[Criteria 4 - Floor]]</f>
        <v>10</v>
      </c>
      <c r="H88" s="20"/>
      <c r="I88" s="21"/>
      <c r="J88" s="21"/>
      <c r="K88" s="101"/>
    </row>
    <row r="89" spans="1:11" ht="26">
      <c r="A89" s="24">
        <v>88</v>
      </c>
      <c r="B89" s="20" t="str">
        <f>scopus[[#This Row],[Title]]</f>
        <v>Vibration performance of CLT and CLT-concrete composite floors supported by glulam beams under human activity in mass timber office buildings</v>
      </c>
      <c r="C89" s="99">
        <v>5</v>
      </c>
      <c r="D89" s="99">
        <v>3</v>
      </c>
      <c r="E89" s="99">
        <v>2</v>
      </c>
      <c r="F89" s="99">
        <v>0</v>
      </c>
      <c r="G89" s="21">
        <f>Table3[[#This Row],[Criteria 1 - Cross-Laminated-Timber]]+Table3[[#This Row],[Criteria 2 - Sustainability]]+Table3[[#This Row],[Criteria 3 - Concrete]]+Table3[[#This Row],[Criteria 4 - Floor]]</f>
        <v>10</v>
      </c>
      <c r="H89" s="20"/>
      <c r="I89" s="21"/>
      <c r="J89" s="21"/>
      <c r="K89" s="99"/>
    </row>
    <row r="90" spans="1:11">
      <c r="A90" s="24">
        <v>89</v>
      </c>
      <c r="B90" s="20" t="str">
        <f>scopus[[#This Row],[Title]]</f>
        <v>Field measurement of vertical movement and roof moisture performance of the Wood Innovation and Design Centre</v>
      </c>
      <c r="C90" s="101">
        <v>5</v>
      </c>
      <c r="D90" s="101">
        <v>3</v>
      </c>
      <c r="E90" s="101">
        <v>1</v>
      </c>
      <c r="F90" s="101">
        <v>0</v>
      </c>
      <c r="G90" s="21">
        <f>Table3[[#This Row],[Criteria 1 - Cross-Laminated-Timber]]+Table3[[#This Row],[Criteria 2 - Sustainability]]+Table3[[#This Row],[Criteria 3 - Concrete]]+Table3[[#This Row],[Criteria 4 - Floor]]</f>
        <v>9</v>
      </c>
      <c r="H90" s="20"/>
      <c r="I90" s="21"/>
      <c r="J90" s="21"/>
      <c r="K90" s="101"/>
    </row>
    <row r="91" spans="1:11">
      <c r="A91" s="24">
        <v>90</v>
      </c>
      <c r="B91" s="20" t="str">
        <f>scopus[[#This Row],[Title]]</f>
        <v>Controlling cross-laminated timber (CLT) floor vibrations: Fundamentals and method</v>
      </c>
      <c r="C91" s="99">
        <v>2</v>
      </c>
      <c r="D91" s="99">
        <v>5</v>
      </c>
      <c r="E91" s="99">
        <v>2</v>
      </c>
      <c r="F91" s="99">
        <v>0</v>
      </c>
      <c r="G91" s="21">
        <f>Table3[[#This Row],[Criteria 1 - Cross-Laminated-Timber]]+Table3[[#This Row],[Criteria 2 - Sustainability]]+Table3[[#This Row],[Criteria 3 - Concrete]]+Table3[[#This Row],[Criteria 4 - Floor]]</f>
        <v>9</v>
      </c>
      <c r="H91" s="20"/>
      <c r="I91" s="21"/>
      <c r="J91" s="21"/>
      <c r="K91" s="99"/>
    </row>
    <row r="92" spans="1:11">
      <c r="A92" s="24">
        <v>91</v>
      </c>
      <c r="B92" s="20" t="str">
        <f>scopus[[#This Row],[Title]]</f>
        <v>Development of the structural system with steel frame and wooden floor-connection method of steel beam and wooden floor</v>
      </c>
      <c r="C92" s="101">
        <v>3</v>
      </c>
      <c r="D92" s="101">
        <v>4</v>
      </c>
      <c r="E92" s="101">
        <v>2</v>
      </c>
      <c r="F92" s="101">
        <v>0</v>
      </c>
      <c r="G92" s="21">
        <f>Table3[[#This Row],[Criteria 1 - Cross-Laminated-Timber]]+Table3[[#This Row],[Criteria 2 - Sustainability]]+Table3[[#This Row],[Criteria 3 - Concrete]]+Table3[[#This Row],[Criteria 4 - Floor]]</f>
        <v>9</v>
      </c>
      <c r="H92" s="20"/>
      <c r="I92" s="21"/>
      <c r="J92" s="21"/>
      <c r="K92" s="101"/>
    </row>
    <row r="93" spans="1:11" ht="26">
      <c r="A93" s="24">
        <v>92</v>
      </c>
      <c r="B93" s="20" t="str">
        <f>scopus[[#This Row],[Title]]</f>
        <v>Cross laminated timber: Technological, construction and dimensioning aspects; [A madeira laminada cruzada: Aspectos tecnológicos, construtivos e de dimensionamento]</v>
      </c>
      <c r="C93" s="99">
        <v>4</v>
      </c>
      <c r="D93" s="99">
        <v>2</v>
      </c>
      <c r="E93" s="99">
        <v>1</v>
      </c>
      <c r="F93" s="99">
        <v>2</v>
      </c>
      <c r="G93" s="21">
        <f>Table3[[#This Row],[Criteria 1 - Cross-Laminated-Timber]]+Table3[[#This Row],[Criteria 2 - Sustainability]]+Table3[[#This Row],[Criteria 3 - Concrete]]+Table3[[#This Row],[Criteria 4 - Floor]]</f>
        <v>9</v>
      </c>
      <c r="H93" s="20"/>
      <c r="I93" s="21"/>
      <c r="J93" s="21"/>
      <c r="K93" s="99"/>
    </row>
    <row r="94" spans="1:11">
      <c r="A94" s="24">
        <v>93</v>
      </c>
      <c r="B94" s="20" t="str">
        <f>scopus[[#This Row],[Title]]</f>
        <v>Control of the dynamic performance of hybrid steel frame and cross laminated timber slab buildings</v>
      </c>
      <c r="C94" s="101">
        <v>4</v>
      </c>
      <c r="D94" s="101">
        <v>3</v>
      </c>
      <c r="E94" s="101">
        <v>2</v>
      </c>
      <c r="F94" s="101">
        <v>0</v>
      </c>
      <c r="G94" s="21">
        <f>Table3[[#This Row],[Criteria 1 - Cross-Laminated-Timber]]+Table3[[#This Row],[Criteria 2 - Sustainability]]+Table3[[#This Row],[Criteria 3 - Concrete]]+Table3[[#This Row],[Criteria 4 - Floor]]</f>
        <v>9</v>
      </c>
      <c r="H94" s="20"/>
      <c r="I94" s="21"/>
      <c r="J94" s="21"/>
      <c r="K94" s="101"/>
    </row>
    <row r="95" spans="1:11">
      <c r="A95" s="24">
        <v>94</v>
      </c>
      <c r="B95" s="20" t="str">
        <f>scopus[[#This Row],[Title]]</f>
        <v>Laboratory data examining impact and airborne sound attenuation in cross-laminated timber panel construction</v>
      </c>
      <c r="C95" s="99">
        <v>4</v>
      </c>
      <c r="D95" s="99">
        <v>4</v>
      </c>
      <c r="E95" s="99">
        <v>1</v>
      </c>
      <c r="F95" s="99">
        <v>0</v>
      </c>
      <c r="G95" s="21">
        <f>Table3[[#This Row],[Criteria 1 - Cross-Laminated-Timber]]+Table3[[#This Row],[Criteria 2 - Sustainability]]+Table3[[#This Row],[Criteria 3 - Concrete]]+Table3[[#This Row],[Criteria 4 - Floor]]</f>
        <v>9</v>
      </c>
      <c r="H95" s="20"/>
      <c r="I95" s="21"/>
      <c r="J95" s="21"/>
      <c r="K95" s="99"/>
    </row>
    <row r="96" spans="1:11" ht="26">
      <c r="A96" s="24">
        <v>95</v>
      </c>
      <c r="B96" s="20" t="str">
        <f>scopus[[#This Row],[Title]]</f>
        <v>Investigating impact sound insulation in cross-laminated timber (CLT)-concrete composite floors with embedded mechanical fastening: Experimental analysis and statistical energy analysis</v>
      </c>
      <c r="C96" s="101">
        <v>5</v>
      </c>
      <c r="D96" s="101">
        <v>3</v>
      </c>
      <c r="E96" s="101">
        <v>1</v>
      </c>
      <c r="F96" s="101">
        <v>0</v>
      </c>
      <c r="G96" s="21">
        <f>Table3[[#This Row],[Criteria 1 - Cross-Laminated-Timber]]+Table3[[#This Row],[Criteria 2 - Sustainability]]+Table3[[#This Row],[Criteria 3 - Concrete]]+Table3[[#This Row],[Criteria 4 - Floor]]</f>
        <v>9</v>
      </c>
      <c r="H96" s="20"/>
      <c r="I96" s="21"/>
      <c r="J96" s="21"/>
      <c r="K96" s="101"/>
    </row>
    <row r="97" spans="1:11">
      <c r="A97" s="24">
        <v>96</v>
      </c>
      <c r="B97" s="20" t="str">
        <f>scopus[[#This Row],[Title]]</f>
        <v>Flexural Behavior of Cross-Laminated Timber Panels with Environmentally Friendly Timber Edge Connections</v>
      </c>
      <c r="C97" s="99">
        <v>5</v>
      </c>
      <c r="D97" s="99">
        <v>1</v>
      </c>
      <c r="E97" s="99">
        <v>2</v>
      </c>
      <c r="F97" s="99">
        <v>1</v>
      </c>
      <c r="G97" s="21">
        <f>Table3[[#This Row],[Criteria 1 - Cross-Laminated-Timber]]+Table3[[#This Row],[Criteria 2 - Sustainability]]+Table3[[#This Row],[Criteria 3 - Concrete]]+Table3[[#This Row],[Criteria 4 - Floor]]</f>
        <v>9</v>
      </c>
      <c r="H97" s="20"/>
      <c r="I97" s="21"/>
      <c r="J97" s="21"/>
      <c r="K97" s="99"/>
    </row>
    <row r="98" spans="1:11" ht="26">
      <c r="A98" s="24">
        <v>97</v>
      </c>
      <c r="B98" s="20" t="str">
        <f>scopus[[#This Row],[Title]]</f>
        <v>High-rise timber buildings: Benchmarks in structural systems, fire safety, prefabrication efficiency and environmental insights of world's 10 tallest completed mass timber projects</v>
      </c>
      <c r="C98" s="101">
        <v>5</v>
      </c>
      <c r="D98" s="101">
        <v>1</v>
      </c>
      <c r="E98" s="101">
        <v>2</v>
      </c>
      <c r="F98" s="101">
        <v>1</v>
      </c>
      <c r="G98" s="21">
        <f>Table3[[#This Row],[Criteria 1 - Cross-Laminated-Timber]]+Table3[[#This Row],[Criteria 2 - Sustainability]]+Table3[[#This Row],[Criteria 3 - Concrete]]+Table3[[#This Row],[Criteria 4 - Floor]]</f>
        <v>9</v>
      </c>
      <c r="H98" s="20"/>
      <c r="I98" s="21"/>
      <c r="J98" s="21"/>
      <c r="K98" s="101"/>
    </row>
    <row r="99" spans="1:11">
      <c r="A99" s="24">
        <v>98</v>
      </c>
      <c r="B99" s="20" t="str">
        <f>scopus[[#This Row],[Title]]</f>
        <v>Fire Testing and Modeling of a Novel Hybrid Timber Floor System</v>
      </c>
      <c r="C99" s="99">
        <v>5</v>
      </c>
      <c r="D99" s="99">
        <v>3</v>
      </c>
      <c r="E99" s="99">
        <v>1</v>
      </c>
      <c r="F99" s="99">
        <v>0</v>
      </c>
      <c r="G99" s="21">
        <f>Table3[[#This Row],[Criteria 1 - Cross-Laminated-Timber]]+Table3[[#This Row],[Criteria 2 - Sustainability]]+Table3[[#This Row],[Criteria 3 - Concrete]]+Table3[[#This Row],[Criteria 4 - Floor]]</f>
        <v>9</v>
      </c>
      <c r="H99" s="20"/>
      <c r="I99" s="21"/>
      <c r="J99" s="21"/>
      <c r="K99" s="99"/>
    </row>
    <row r="100" spans="1:11" ht="26">
      <c r="A100" s="24">
        <v>99</v>
      </c>
      <c r="B100" s="20" t="str">
        <f>scopus[[#This Row],[Title]]</f>
        <v>Composite slab floors made of cross laminated timber and ultra high-performance concrete: Early-age deflection, stripping time, and its implication on the structural performances</v>
      </c>
      <c r="C100" s="101">
        <v>3</v>
      </c>
      <c r="D100" s="101">
        <v>4</v>
      </c>
      <c r="E100" s="101">
        <v>2</v>
      </c>
      <c r="F100" s="101">
        <v>0</v>
      </c>
      <c r="G100" s="21">
        <f>Table3[[#This Row],[Criteria 1 - Cross-Laminated-Timber]]+Table3[[#This Row],[Criteria 2 - Sustainability]]+Table3[[#This Row],[Criteria 3 - Concrete]]+Table3[[#This Row],[Criteria 4 - Floor]]</f>
        <v>9</v>
      </c>
      <c r="H100" s="20"/>
      <c r="I100" s="21"/>
      <c r="J100" s="21"/>
      <c r="K100" s="101"/>
    </row>
    <row r="101" spans="1:11" ht="26">
      <c r="A101" s="24">
        <v>100</v>
      </c>
      <c r="B101" s="20" t="str">
        <f>scopus[[#This Row],[Title]]</f>
        <v>Comparison and Evaluation of Model-Based Optimal Sensor Placement Implementation: A Case Study of a Hybrid Cross-Laminated Timber and Steel Building</v>
      </c>
      <c r="C101" s="99">
        <v>5</v>
      </c>
      <c r="D101" s="99">
        <v>1</v>
      </c>
      <c r="E101" s="99">
        <v>2</v>
      </c>
      <c r="F101" s="99">
        <v>1</v>
      </c>
      <c r="G101" s="21">
        <f>Table3[[#This Row],[Criteria 1 - Cross-Laminated-Timber]]+Table3[[#This Row],[Criteria 2 - Sustainability]]+Table3[[#This Row],[Criteria 3 - Concrete]]+Table3[[#This Row],[Criteria 4 - Floor]]</f>
        <v>9</v>
      </c>
      <c r="H101" s="20"/>
      <c r="I101" s="21"/>
      <c r="J101" s="21"/>
      <c r="K101" s="99"/>
    </row>
    <row r="102" spans="1:11" ht="26">
      <c r="A102" s="24">
        <v>101</v>
      </c>
      <c r="B102" s="20" t="str">
        <f>scopus[[#This Row],[Title]]</f>
        <v>Effect of Concrete Thickness and Expanded Polystyrene Layer on Stiffness and Floor Impact Sound Insulation Performance of Cross-Laminated Timber Slabs</v>
      </c>
      <c r="C102" s="101">
        <v>4</v>
      </c>
      <c r="D102" s="101">
        <v>3</v>
      </c>
      <c r="E102" s="101">
        <v>2</v>
      </c>
      <c r="F102" s="101">
        <v>0</v>
      </c>
      <c r="G102" s="21">
        <f>Table3[[#This Row],[Criteria 1 - Cross-Laminated-Timber]]+Table3[[#This Row],[Criteria 2 - Sustainability]]+Table3[[#This Row],[Criteria 3 - Concrete]]+Table3[[#This Row],[Criteria 4 - Floor]]</f>
        <v>9</v>
      </c>
      <c r="H102" s="20"/>
      <c r="I102" s="21"/>
      <c r="J102" s="21"/>
      <c r="K102" s="101"/>
    </row>
    <row r="103" spans="1:11">
      <c r="A103" s="24">
        <v>102</v>
      </c>
      <c r="B103" s="20" t="str">
        <f>scopus[[#This Row],[Title]]</f>
        <v>Effect of ceiling and dry-type double floor on heavy-weight floor impact sound in concrete building and CLT building</v>
      </c>
      <c r="C103" s="99">
        <v>4</v>
      </c>
      <c r="D103" s="99">
        <v>3</v>
      </c>
      <c r="E103" s="99">
        <v>2</v>
      </c>
      <c r="F103" s="99">
        <v>0</v>
      </c>
      <c r="G103" s="21">
        <f>Table3[[#This Row],[Criteria 1 - Cross-Laminated-Timber]]+Table3[[#This Row],[Criteria 2 - Sustainability]]+Table3[[#This Row],[Criteria 3 - Concrete]]+Table3[[#This Row],[Criteria 4 - Floor]]</f>
        <v>9</v>
      </c>
      <c r="H103" s="20"/>
      <c r="I103" s="21"/>
      <c r="J103" s="21"/>
      <c r="K103" s="99"/>
    </row>
    <row r="104" spans="1:11">
      <c r="A104" s="24">
        <v>103</v>
      </c>
      <c r="B104" s="20" t="str">
        <f>scopus[[#This Row],[Title]]</f>
        <v>Cross-Laminated Timber (CLT) as an Alternative Building Material in South Africa: Awareness and Perceptions</v>
      </c>
      <c r="C104" s="101">
        <v>5</v>
      </c>
      <c r="D104" s="101">
        <v>1</v>
      </c>
      <c r="E104" s="101">
        <v>1</v>
      </c>
      <c r="F104" s="101">
        <v>2</v>
      </c>
      <c r="G104" s="21">
        <f>Table3[[#This Row],[Criteria 1 - Cross-Laminated-Timber]]+Table3[[#This Row],[Criteria 2 - Sustainability]]+Table3[[#This Row],[Criteria 3 - Concrete]]+Table3[[#This Row],[Criteria 4 - Floor]]</f>
        <v>9</v>
      </c>
      <c r="H104" s="20"/>
      <c r="I104" s="21"/>
      <c r="J104" s="21"/>
      <c r="K104" s="101"/>
    </row>
    <row r="105" spans="1:11" ht="26">
      <c r="A105" s="24">
        <v>104</v>
      </c>
      <c r="B105" s="20" t="str">
        <f>scopus[[#This Row],[Title]]</f>
        <v>Building Upward: Methodological Approach to Defining Criteria and Guidelines for Interventions for Italian Post-War Housing Refurbishment in a Seismic Area</v>
      </c>
      <c r="C105" s="99">
        <v>3</v>
      </c>
      <c r="D105" s="99">
        <v>2</v>
      </c>
      <c r="E105" s="99">
        <v>2</v>
      </c>
      <c r="F105" s="99">
        <v>2</v>
      </c>
      <c r="G105" s="21">
        <f>Table3[[#This Row],[Criteria 1 - Cross-Laminated-Timber]]+Table3[[#This Row],[Criteria 2 - Sustainability]]+Table3[[#This Row],[Criteria 3 - Concrete]]+Table3[[#This Row],[Criteria 4 - Floor]]</f>
        <v>9</v>
      </c>
      <c r="H105" s="20"/>
      <c r="I105" s="21"/>
      <c r="J105" s="21"/>
      <c r="K105" s="99"/>
    </row>
    <row r="106" spans="1:11">
      <c r="A106" s="24">
        <v>105</v>
      </c>
      <c r="B106" s="20" t="str">
        <f>scopus[[#This Row],[Title]]</f>
        <v>Structural Design of School Building Fully Constructed of CLT and Technical Development of Flat Slab and Seismic Wall Using CLT</v>
      </c>
      <c r="C106" s="101">
        <v>3</v>
      </c>
      <c r="D106" s="101">
        <v>3</v>
      </c>
      <c r="E106" s="101">
        <v>2</v>
      </c>
      <c r="F106" s="101">
        <v>1</v>
      </c>
      <c r="G106" s="21">
        <f>Table3[[#This Row],[Criteria 1 - Cross-Laminated-Timber]]+Table3[[#This Row],[Criteria 2 - Sustainability]]+Table3[[#This Row],[Criteria 3 - Concrete]]+Table3[[#This Row],[Criteria 4 - Floor]]</f>
        <v>9</v>
      </c>
      <c r="H106" s="20"/>
      <c r="I106" s="21"/>
      <c r="J106" s="21"/>
      <c r="K106" s="101"/>
    </row>
    <row r="107" spans="1:11">
      <c r="A107" s="24">
        <v>106</v>
      </c>
      <c r="B107" s="20" t="str">
        <f>scopus[[#This Row],[Title]]</f>
        <v>Capacity and Failure-Mode Prediction of Mass Timber Panel-Concrete Composite Floor System with Mechanical Connectors</v>
      </c>
      <c r="C107" s="99">
        <v>4</v>
      </c>
      <c r="D107" s="99">
        <v>4</v>
      </c>
      <c r="E107" s="99">
        <v>1</v>
      </c>
      <c r="F107" s="99">
        <v>0</v>
      </c>
      <c r="G107" s="21">
        <f>Table3[[#This Row],[Criteria 1 - Cross-Laminated-Timber]]+Table3[[#This Row],[Criteria 2 - Sustainability]]+Table3[[#This Row],[Criteria 3 - Concrete]]+Table3[[#This Row],[Criteria 4 - Floor]]</f>
        <v>9</v>
      </c>
      <c r="H107" s="20"/>
      <c r="I107" s="21"/>
      <c r="J107" s="21"/>
      <c r="K107" s="99"/>
    </row>
    <row r="108" spans="1:11">
      <c r="A108" s="24">
        <v>107</v>
      </c>
      <c r="B108" s="20" t="str">
        <f>scopus[[#This Row],[Title]]</f>
        <v>Flexural behaviour of an innovative cross-laminated timber-concrete composite structural flooring system</v>
      </c>
      <c r="C108" s="101">
        <v>3</v>
      </c>
      <c r="D108" s="101">
        <v>5</v>
      </c>
      <c r="E108" s="101">
        <v>1</v>
      </c>
      <c r="F108" s="101">
        <v>0</v>
      </c>
      <c r="G108" s="21">
        <f>Table3[[#This Row],[Criteria 1 - Cross-Laminated-Timber]]+Table3[[#This Row],[Criteria 2 - Sustainability]]+Table3[[#This Row],[Criteria 3 - Concrete]]+Table3[[#This Row],[Criteria 4 - Floor]]</f>
        <v>9</v>
      </c>
      <c r="H108" s="20"/>
      <c r="I108" s="21"/>
      <c r="J108" s="21"/>
      <c r="K108" s="101"/>
    </row>
    <row r="109" spans="1:11">
      <c r="A109" s="24">
        <v>108</v>
      </c>
      <c r="B109" s="20" t="str">
        <f>scopus[[#This Row],[Title]]</f>
        <v>Humidity exchange between CLT and UHPC slab in early age period</v>
      </c>
      <c r="C109" s="99">
        <v>3</v>
      </c>
      <c r="D109" s="99">
        <v>3</v>
      </c>
      <c r="E109" s="99">
        <v>3</v>
      </c>
      <c r="F109" s="99">
        <v>0</v>
      </c>
      <c r="G109" s="21">
        <f>Table3[[#This Row],[Criteria 1 - Cross-Laminated-Timber]]+Table3[[#This Row],[Criteria 2 - Sustainability]]+Table3[[#This Row],[Criteria 3 - Concrete]]+Table3[[#This Row],[Criteria 4 - Floor]]</f>
        <v>9</v>
      </c>
      <c r="H109" s="20"/>
      <c r="I109" s="21"/>
      <c r="J109" s="21"/>
      <c r="K109" s="99"/>
    </row>
    <row r="110" spans="1:11">
      <c r="A110" s="24">
        <v>109</v>
      </c>
      <c r="B110" s="20" t="str">
        <f>scopus[[#This Row],[Title]]</f>
        <v>The effects of lamella angle, timber type, and thermal treatment on flexural behavior of CLT panels</v>
      </c>
      <c r="C110" s="101">
        <v>5</v>
      </c>
      <c r="D110" s="101">
        <v>3</v>
      </c>
      <c r="E110" s="101">
        <v>0</v>
      </c>
      <c r="F110" s="101">
        <v>1</v>
      </c>
      <c r="G110" s="21">
        <f>Table3[[#This Row],[Criteria 1 - Cross-Laminated-Timber]]+Table3[[#This Row],[Criteria 2 - Sustainability]]+Table3[[#This Row],[Criteria 3 - Concrete]]+Table3[[#This Row],[Criteria 4 - Floor]]</f>
        <v>9</v>
      </c>
      <c r="H110" s="20"/>
      <c r="I110" s="21"/>
      <c r="J110" s="21"/>
      <c r="K110" s="101"/>
    </row>
    <row r="111" spans="1:11">
      <c r="A111" s="24">
        <v>110</v>
      </c>
      <c r="B111" s="20" t="str">
        <f>scopus[[#This Row],[Title]]</f>
        <v>Life Cycle Regional Economic Impacts of Bridge Repair Using Cross-Laminated Timber Floor Slabs: A Case Study in Akita Prefecture, Japan</v>
      </c>
      <c r="C111" s="99">
        <v>3</v>
      </c>
      <c r="D111" s="99">
        <v>3</v>
      </c>
      <c r="E111" s="99">
        <v>2</v>
      </c>
      <c r="F111" s="99">
        <v>1</v>
      </c>
      <c r="G111" s="21">
        <f>Table3[[#This Row],[Criteria 1 - Cross-Laminated-Timber]]+Table3[[#This Row],[Criteria 2 - Sustainability]]+Table3[[#This Row],[Criteria 3 - Concrete]]+Table3[[#This Row],[Criteria 4 - Floor]]</f>
        <v>9</v>
      </c>
      <c r="H111" s="20"/>
      <c r="I111" s="21"/>
      <c r="J111" s="21"/>
      <c r="K111" s="99"/>
    </row>
    <row r="112" spans="1:11">
      <c r="A112" s="24">
        <v>111</v>
      </c>
      <c r="B112" s="20" t="str">
        <f>scopus[[#This Row],[Title]]</f>
        <v>Comparison of cross-laminated timber and reinforced concrete floors with regard to load-bearing properties</v>
      </c>
      <c r="C112" s="101">
        <v>3</v>
      </c>
      <c r="D112" s="101">
        <v>2</v>
      </c>
      <c r="E112" s="101">
        <v>3</v>
      </c>
      <c r="F112" s="101">
        <v>1</v>
      </c>
      <c r="G112" s="21">
        <f>Table3[[#This Row],[Criteria 1 - Cross-Laminated-Timber]]+Table3[[#This Row],[Criteria 2 - Sustainability]]+Table3[[#This Row],[Criteria 3 - Concrete]]+Table3[[#This Row],[Criteria 4 - Floor]]</f>
        <v>9</v>
      </c>
      <c r="H112" s="20"/>
      <c r="I112" s="21"/>
      <c r="J112" s="21"/>
      <c r="K112" s="101"/>
    </row>
    <row r="113" spans="1:11">
      <c r="A113" s="24">
        <v>112</v>
      </c>
      <c r="B113" s="20" t="str">
        <f>scopus[[#This Row],[Title]]</f>
        <v>Methodological approach to the in-situ monitoring system of cross-laminated timber basement walls</v>
      </c>
      <c r="C113" s="99">
        <v>5</v>
      </c>
      <c r="D113" s="99">
        <v>3</v>
      </c>
      <c r="E113" s="99">
        <v>1</v>
      </c>
      <c r="F113" s="99">
        <v>0</v>
      </c>
      <c r="G113" s="21">
        <f>Table3[[#This Row],[Criteria 1 - Cross-Laminated-Timber]]+Table3[[#This Row],[Criteria 2 - Sustainability]]+Table3[[#This Row],[Criteria 3 - Concrete]]+Table3[[#This Row],[Criteria 4 - Floor]]</f>
        <v>9</v>
      </c>
      <c r="H113" s="20"/>
      <c r="I113" s="21"/>
      <c r="J113" s="21"/>
      <c r="K113" s="99"/>
    </row>
    <row r="114" spans="1:11">
      <c r="A114" s="24">
        <v>113</v>
      </c>
      <c r="B114" s="20" t="str">
        <f>scopus[[#This Row],[Title]]</f>
        <v>Structural performance of hybrid multi-storey buildings with massive timber-based floor elements loaded under extreme lateral loads</v>
      </c>
      <c r="C114" s="101">
        <v>4</v>
      </c>
      <c r="D114" s="101">
        <v>2</v>
      </c>
      <c r="E114" s="101">
        <v>3</v>
      </c>
      <c r="F114" s="101">
        <v>0</v>
      </c>
      <c r="G114" s="21">
        <f>Table3[[#This Row],[Criteria 1 - Cross-Laminated-Timber]]+Table3[[#This Row],[Criteria 2 - Sustainability]]+Table3[[#This Row],[Criteria 3 - Concrete]]+Table3[[#This Row],[Criteria 4 - Floor]]</f>
        <v>9</v>
      </c>
      <c r="H114" s="20"/>
      <c r="I114" s="21"/>
      <c r="J114" s="21"/>
      <c r="K114" s="101"/>
    </row>
    <row r="115" spans="1:11">
      <c r="A115" s="24">
        <v>114</v>
      </c>
      <c r="B115" s="20" t="str">
        <f>scopus[[#This Row],[Title]]</f>
        <v>Apparent impact sound insulation performance of raised discrete floating assemblies on mass timber floors</v>
      </c>
      <c r="C115" s="99">
        <v>5</v>
      </c>
      <c r="D115" s="99">
        <v>2</v>
      </c>
      <c r="E115" s="99">
        <v>2</v>
      </c>
      <c r="F115" s="99">
        <v>0</v>
      </c>
      <c r="G115" s="21">
        <f>Table3[[#This Row],[Criteria 1 - Cross-Laminated-Timber]]+Table3[[#This Row],[Criteria 2 - Sustainability]]+Table3[[#This Row],[Criteria 3 - Concrete]]+Table3[[#This Row],[Criteria 4 - Floor]]</f>
        <v>9</v>
      </c>
      <c r="H115" s="20"/>
      <c r="I115" s="21"/>
      <c r="J115" s="21"/>
      <c r="K115" s="99"/>
    </row>
    <row r="116" spans="1:11">
      <c r="A116" s="24">
        <v>115</v>
      </c>
      <c r="B116" s="20" t="str">
        <f>scopus[[#This Row],[Title]]</f>
        <v>CLT-steel composite flooring a sustainable solution for South Africa?</v>
      </c>
      <c r="C116" s="101">
        <v>1</v>
      </c>
      <c r="D116" s="101">
        <v>4</v>
      </c>
      <c r="E116" s="101">
        <v>2</v>
      </c>
      <c r="F116" s="101">
        <v>2</v>
      </c>
      <c r="G116" s="21">
        <f>Table3[[#This Row],[Criteria 1 - Cross-Laminated-Timber]]+Table3[[#This Row],[Criteria 2 - Sustainability]]+Table3[[#This Row],[Criteria 3 - Concrete]]+Table3[[#This Row],[Criteria 4 - Floor]]</f>
        <v>9</v>
      </c>
      <c r="H116" s="20"/>
      <c r="I116" s="21"/>
      <c r="J116" s="21"/>
      <c r="K116" s="101"/>
    </row>
    <row r="117" spans="1:11">
      <c r="A117" s="24">
        <v>116</v>
      </c>
      <c r="B117" s="20" t="str">
        <f>scopus[[#This Row],[Title]]</f>
        <v>ASSESSING THE STRUCTURAL BEHAVIOUR OF TIMBER-STEEL COMPOSITE BEAMS USING DISTRIBUTED FIBRE OPTIC SENSORS</v>
      </c>
      <c r="C117" s="99">
        <v>3</v>
      </c>
      <c r="D117" s="99">
        <v>3</v>
      </c>
      <c r="E117" s="99">
        <v>1</v>
      </c>
      <c r="F117" s="99">
        <v>2</v>
      </c>
      <c r="G117" s="21">
        <f>Table3[[#This Row],[Criteria 1 - Cross-Laminated-Timber]]+Table3[[#This Row],[Criteria 2 - Sustainability]]+Table3[[#This Row],[Criteria 3 - Concrete]]+Table3[[#This Row],[Criteria 4 - Floor]]</f>
        <v>9</v>
      </c>
      <c r="H117" s="20"/>
      <c r="I117" s="21"/>
      <c r="J117" s="21"/>
      <c r="K117" s="99"/>
    </row>
    <row r="118" spans="1:11">
      <c r="A118" s="24">
        <v>117</v>
      </c>
      <c r="B118" s="20" t="str">
        <f>scopus[[#This Row],[Title]]</f>
        <v>Analysis of acoustic behavior of bare CLT floors for the evaluation of impact sound insulation improvement</v>
      </c>
      <c r="C118" s="101">
        <v>3</v>
      </c>
      <c r="D118" s="101">
        <v>4</v>
      </c>
      <c r="E118" s="101">
        <v>2</v>
      </c>
      <c r="F118" s="101">
        <v>0</v>
      </c>
      <c r="G118" s="21">
        <f>Table3[[#This Row],[Criteria 1 - Cross-Laminated-Timber]]+Table3[[#This Row],[Criteria 2 - Sustainability]]+Table3[[#This Row],[Criteria 3 - Concrete]]+Table3[[#This Row],[Criteria 4 - Floor]]</f>
        <v>9</v>
      </c>
      <c r="H118" s="20"/>
      <c r="I118" s="21"/>
      <c r="J118" s="21"/>
      <c r="K118" s="101"/>
    </row>
    <row r="119" spans="1:11">
      <c r="A119" s="24">
        <v>118</v>
      </c>
      <c r="B119" s="20" t="str">
        <f>scopus[[#This Row],[Title]]</f>
        <v>Full-scale static and dynamic experiments of hybrid CLT–concrete composite floor</v>
      </c>
      <c r="C119" s="99">
        <v>4</v>
      </c>
      <c r="D119" s="99">
        <v>2</v>
      </c>
      <c r="E119" s="99">
        <v>3</v>
      </c>
      <c r="F119" s="99">
        <v>0</v>
      </c>
      <c r="G119" s="21">
        <f>Table3[[#This Row],[Criteria 1 - Cross-Laminated-Timber]]+Table3[[#This Row],[Criteria 2 - Sustainability]]+Table3[[#This Row],[Criteria 3 - Concrete]]+Table3[[#This Row],[Criteria 4 - Floor]]</f>
        <v>9</v>
      </c>
      <c r="H119" s="20"/>
      <c r="I119" s="21"/>
      <c r="J119" s="21"/>
      <c r="K119" s="99"/>
    </row>
    <row r="120" spans="1:11">
      <c r="A120" s="24">
        <v>119</v>
      </c>
      <c r="B120" s="20" t="str">
        <f>scopus[[#This Row],[Title]]</f>
        <v>COMPARISON OF WIND INDUCED RESPONSE OF HIGH-RISE BUILDINGS WITH REINFORCED CONCRETE AND CROSS LAMINATED TIMBER</v>
      </c>
      <c r="C120" s="101">
        <v>3</v>
      </c>
      <c r="D120" s="101">
        <v>4</v>
      </c>
      <c r="E120" s="101">
        <v>2</v>
      </c>
      <c r="F120" s="101">
        <v>0</v>
      </c>
      <c r="G120" s="21">
        <f>Table3[[#This Row],[Criteria 1 - Cross-Laminated-Timber]]+Table3[[#This Row],[Criteria 2 - Sustainability]]+Table3[[#This Row],[Criteria 3 - Concrete]]+Table3[[#This Row],[Criteria 4 - Floor]]</f>
        <v>9</v>
      </c>
      <c r="H120" s="20"/>
      <c r="I120" s="21"/>
      <c r="J120" s="21"/>
      <c r="K120" s="101"/>
    </row>
    <row r="121" spans="1:11" ht="26">
      <c r="A121" s="24">
        <v>120</v>
      </c>
      <c r="B121" s="20" t="str">
        <f>scopus[[#This Row],[Title]]</f>
        <v>Flexural behavior of adhesively bonded cross-laminated timber-concrete composite (TCC) panel with glass-fiber textile mesh as reinforcement in concrete: Experimental studying and numerical simulation</v>
      </c>
      <c r="C121" s="99">
        <v>4</v>
      </c>
      <c r="D121" s="99">
        <v>3</v>
      </c>
      <c r="E121" s="99">
        <v>2</v>
      </c>
      <c r="F121" s="99">
        <v>0</v>
      </c>
      <c r="G121" s="21">
        <f>Table3[[#This Row],[Criteria 1 - Cross-Laminated-Timber]]+Table3[[#This Row],[Criteria 2 - Sustainability]]+Table3[[#This Row],[Criteria 3 - Concrete]]+Table3[[#This Row],[Criteria 4 - Floor]]</f>
        <v>9</v>
      </c>
      <c r="H121" s="20"/>
      <c r="I121" s="21"/>
      <c r="J121" s="21"/>
      <c r="K121" s="99"/>
    </row>
    <row r="122" spans="1:11">
      <c r="A122" s="24">
        <v>121</v>
      </c>
      <c r="B122" s="20" t="str">
        <f>scopus[[#This Row],[Title]]</f>
        <v>Influence of the inclination angle of self-tapping screws on the fire performance of CLT-concrete composite floor slabs</v>
      </c>
      <c r="C122" s="101">
        <v>3</v>
      </c>
      <c r="D122" s="101">
        <v>4</v>
      </c>
      <c r="E122" s="101">
        <v>2</v>
      </c>
      <c r="F122" s="101">
        <v>0</v>
      </c>
      <c r="G122" s="21">
        <f>Table3[[#This Row],[Criteria 1 - Cross-Laminated-Timber]]+Table3[[#This Row],[Criteria 2 - Sustainability]]+Table3[[#This Row],[Criteria 3 - Concrete]]+Table3[[#This Row],[Criteria 4 - Floor]]</f>
        <v>9</v>
      </c>
      <c r="H122" s="20"/>
      <c r="I122" s="21"/>
      <c r="J122" s="21"/>
      <c r="K122" s="101"/>
    </row>
    <row r="123" spans="1:11">
      <c r="A123" s="24">
        <v>122</v>
      </c>
      <c r="B123" s="20" t="str">
        <f>scopus[[#This Row],[Title]]</f>
        <v>Apparent impact sound insulation performance of cross laminated timber floors with floating concrete toppings</v>
      </c>
      <c r="C123" s="99">
        <v>5</v>
      </c>
      <c r="D123" s="99">
        <v>2</v>
      </c>
      <c r="E123" s="99">
        <v>1</v>
      </c>
      <c r="F123" s="99">
        <v>1</v>
      </c>
      <c r="G123" s="21">
        <f>Table3[[#This Row],[Criteria 1 - Cross-Laminated-Timber]]+Table3[[#This Row],[Criteria 2 - Sustainability]]+Table3[[#This Row],[Criteria 3 - Concrete]]+Table3[[#This Row],[Criteria 4 - Floor]]</f>
        <v>9</v>
      </c>
      <c r="H123" s="20"/>
      <c r="I123" s="21"/>
      <c r="J123" s="21"/>
      <c r="K123" s="99"/>
    </row>
    <row r="124" spans="1:11">
      <c r="A124" s="24">
        <v>123</v>
      </c>
      <c r="B124" s="20" t="str">
        <f>scopus[[#This Row],[Title]]</f>
        <v>Evaluation of vibration properties of an 18-story mass timber–concrete hybrid building by on-site vibration tests</v>
      </c>
      <c r="C124" s="101">
        <v>5</v>
      </c>
      <c r="D124" s="101">
        <v>3</v>
      </c>
      <c r="E124" s="101">
        <v>1</v>
      </c>
      <c r="F124" s="101">
        <v>0</v>
      </c>
      <c r="G124" s="21">
        <f>Table3[[#This Row],[Criteria 1 - Cross-Laminated-Timber]]+Table3[[#This Row],[Criteria 2 - Sustainability]]+Table3[[#This Row],[Criteria 3 - Concrete]]+Table3[[#This Row],[Criteria 4 - Floor]]</f>
        <v>9</v>
      </c>
      <c r="H124" s="20"/>
      <c r="I124" s="21"/>
      <c r="J124" s="21"/>
      <c r="K124" s="101"/>
    </row>
    <row r="125" spans="1:11">
      <c r="A125" s="24">
        <v>124</v>
      </c>
      <c r="B125" s="20" t="str">
        <f>scopus[[#This Row],[Title]]</f>
        <v>Mortise-and-tenon joinery for modern timber construction: Quantifying the embodied carbon of an alternative structural connection</v>
      </c>
      <c r="C125" s="99">
        <v>3</v>
      </c>
      <c r="D125" s="99">
        <v>2</v>
      </c>
      <c r="E125" s="99">
        <v>1</v>
      </c>
      <c r="F125" s="99">
        <v>3</v>
      </c>
      <c r="G125" s="21">
        <f>Table3[[#This Row],[Criteria 1 - Cross-Laminated-Timber]]+Table3[[#This Row],[Criteria 2 - Sustainability]]+Table3[[#This Row],[Criteria 3 - Concrete]]+Table3[[#This Row],[Criteria 4 - Floor]]</f>
        <v>9</v>
      </c>
      <c r="H125" s="20"/>
      <c r="I125" s="21"/>
      <c r="J125" s="21"/>
      <c r="K125" s="99"/>
    </row>
    <row r="126" spans="1:11">
      <c r="A126" s="24">
        <v>125</v>
      </c>
      <c r="B126" s="20" t="str">
        <f>scopus[[#This Row],[Title]]</f>
        <v>Comparison of the direct sound insulation for wooden joist, CLT and timber hollow box floors</v>
      </c>
      <c r="C126" s="101">
        <v>3</v>
      </c>
      <c r="D126" s="101">
        <v>4</v>
      </c>
      <c r="E126" s="101">
        <v>1</v>
      </c>
      <c r="F126" s="101">
        <v>1</v>
      </c>
      <c r="G126" s="21">
        <f>Table3[[#This Row],[Criteria 1 - Cross-Laminated-Timber]]+Table3[[#This Row],[Criteria 2 - Sustainability]]+Table3[[#This Row],[Criteria 3 - Concrete]]+Table3[[#This Row],[Criteria 4 - Floor]]</f>
        <v>9</v>
      </c>
      <c r="H126" s="20"/>
      <c r="I126" s="21"/>
      <c r="J126" s="21"/>
      <c r="K126" s="101"/>
    </row>
    <row r="127" spans="1:11">
      <c r="A127" s="24">
        <v>126</v>
      </c>
      <c r="B127" s="20" t="str">
        <f>scopus[[#This Row],[Title]]</f>
        <v>Reliability framework for CLT floors in out-of-plane bending using Monte Carlo simulation</v>
      </c>
      <c r="C127" s="99">
        <v>5</v>
      </c>
      <c r="D127" s="99">
        <v>2</v>
      </c>
      <c r="E127" s="99">
        <v>1</v>
      </c>
      <c r="F127" s="99">
        <v>1</v>
      </c>
      <c r="G127" s="21">
        <f>Table3[[#This Row],[Criteria 1 - Cross-Laminated-Timber]]+Table3[[#This Row],[Criteria 2 - Sustainability]]+Table3[[#This Row],[Criteria 3 - Concrete]]+Table3[[#This Row],[Criteria 4 - Floor]]</f>
        <v>9</v>
      </c>
      <c r="H127" s="20"/>
      <c r="I127" s="21"/>
      <c r="J127" s="21"/>
      <c r="K127" s="99"/>
    </row>
    <row r="128" spans="1:11">
      <c r="A128" s="24">
        <v>127</v>
      </c>
      <c r="B128" s="20" t="str">
        <f>scopus[[#This Row],[Title]]</f>
        <v>Analysis of Seismic Responses and Vibration Serviceability in a High-Rise Timber–Concrete Hybrid Building</v>
      </c>
      <c r="C128" s="101">
        <v>5</v>
      </c>
      <c r="D128" s="101">
        <v>2</v>
      </c>
      <c r="E128" s="101">
        <v>2</v>
      </c>
      <c r="F128" s="101">
        <v>0</v>
      </c>
      <c r="G128" s="21">
        <f>Table3[[#This Row],[Criteria 1 - Cross-Laminated-Timber]]+Table3[[#This Row],[Criteria 2 - Sustainability]]+Table3[[#This Row],[Criteria 3 - Concrete]]+Table3[[#This Row],[Criteria 4 - Floor]]</f>
        <v>9</v>
      </c>
      <c r="H128" s="20"/>
      <c r="I128" s="21"/>
      <c r="J128" s="21"/>
      <c r="K128" s="101"/>
    </row>
    <row r="129" spans="1:11">
      <c r="A129" s="24">
        <v>128</v>
      </c>
      <c r="B129" s="20" t="str">
        <f>scopus[[#This Row],[Title]]</f>
        <v>Experimental Testing of the Shear Strength of CLT-Concrete Composite Sections Utilizing Adhesive for Shear Connections</v>
      </c>
      <c r="C129" s="99">
        <v>4</v>
      </c>
      <c r="D129" s="99">
        <v>4</v>
      </c>
      <c r="E129" s="99">
        <v>1</v>
      </c>
      <c r="F129" s="99">
        <v>0</v>
      </c>
      <c r="G129" s="21">
        <f>Table3[[#This Row],[Criteria 1 - Cross-Laminated-Timber]]+Table3[[#This Row],[Criteria 2 - Sustainability]]+Table3[[#This Row],[Criteria 3 - Concrete]]+Table3[[#This Row],[Criteria 4 - Floor]]</f>
        <v>9</v>
      </c>
      <c r="H129" s="20"/>
      <c r="I129" s="21"/>
      <c r="J129" s="21"/>
      <c r="K129" s="99"/>
    </row>
    <row r="130" spans="1:11" ht="26">
      <c r="A130" s="24">
        <v>129</v>
      </c>
      <c r="B130" s="20" t="str">
        <f>scopus[[#This Row],[Title]]</f>
        <v>Optimizing composite floors for sustainability and efficiency: Cross laminated timber, concrete types, and ductile notch connectors with enhanced shape</v>
      </c>
      <c r="C130" s="101">
        <v>3</v>
      </c>
      <c r="D130" s="101">
        <v>2</v>
      </c>
      <c r="E130" s="101">
        <v>2</v>
      </c>
      <c r="F130" s="101">
        <v>2</v>
      </c>
      <c r="G130" s="21">
        <f>Table3[[#This Row],[Criteria 1 - Cross-Laminated-Timber]]+Table3[[#This Row],[Criteria 2 - Sustainability]]+Table3[[#This Row],[Criteria 3 - Concrete]]+Table3[[#This Row],[Criteria 4 - Floor]]</f>
        <v>9</v>
      </c>
      <c r="H130" s="20"/>
      <c r="I130" s="21"/>
      <c r="J130" s="21"/>
      <c r="K130" s="101"/>
    </row>
    <row r="131" spans="1:11">
      <c r="A131" s="24">
        <v>130</v>
      </c>
      <c r="B131" s="20" t="str">
        <f>scopus[[#This Row],[Title]]</f>
        <v>Risk-based wind design of tall mass-timber buildings</v>
      </c>
      <c r="C131" s="99">
        <v>5</v>
      </c>
      <c r="D131" s="99">
        <v>1</v>
      </c>
      <c r="E131" s="99">
        <v>2</v>
      </c>
      <c r="F131" s="99">
        <v>1</v>
      </c>
      <c r="G131" s="21">
        <f>Table3[[#This Row],[Criteria 1 - Cross-Laminated-Timber]]+Table3[[#This Row],[Criteria 2 - Sustainability]]+Table3[[#This Row],[Criteria 3 - Concrete]]+Table3[[#This Row],[Criteria 4 - Floor]]</f>
        <v>9</v>
      </c>
      <c r="H131" s="20"/>
      <c r="I131" s="21"/>
      <c r="J131" s="21"/>
      <c r="K131" s="99"/>
    </row>
    <row r="132" spans="1:11" ht="26">
      <c r="A132" s="24">
        <v>131</v>
      </c>
      <c r="B132" s="20" t="str">
        <f>scopus[[#This Row],[Title]]</f>
        <v>STRUCTURAL LIMITATIONS IN THE USE OF EARTHQUAKE-RESISTANT PROPRIETARY CONNECTIONS IN MULTI-STOREY CLT BUILDINGS: A MULTI-PARAMETRIC NUMERICAL STUDY</v>
      </c>
      <c r="C132" s="101">
        <v>5</v>
      </c>
      <c r="D132" s="101">
        <v>2</v>
      </c>
      <c r="E132" s="101">
        <v>1</v>
      </c>
      <c r="F132" s="101">
        <v>1</v>
      </c>
      <c r="G132" s="21">
        <f>Table3[[#This Row],[Criteria 1 - Cross-Laminated-Timber]]+Table3[[#This Row],[Criteria 2 - Sustainability]]+Table3[[#This Row],[Criteria 3 - Concrete]]+Table3[[#This Row],[Criteria 4 - Floor]]</f>
        <v>9</v>
      </c>
      <c r="H132" s="20"/>
      <c r="I132" s="21"/>
      <c r="J132" s="21"/>
      <c r="K132" s="101"/>
    </row>
    <row r="133" spans="1:11">
      <c r="A133" s="24">
        <v>132</v>
      </c>
      <c r="B133" s="20" t="str">
        <f>scopus[[#This Row],[Title]]</f>
        <v>Floor airborne and impact sound insulation performance of cross laminated timber vs. timber joist and concrete systems</v>
      </c>
      <c r="C133" s="99">
        <v>4</v>
      </c>
      <c r="D133" s="99">
        <v>4</v>
      </c>
      <c r="E133" s="99">
        <v>1</v>
      </c>
      <c r="F133" s="99">
        <v>0</v>
      </c>
      <c r="G133" s="21">
        <f>Table3[[#This Row],[Criteria 1 - Cross-Laminated-Timber]]+Table3[[#This Row],[Criteria 2 - Sustainability]]+Table3[[#This Row],[Criteria 3 - Concrete]]+Table3[[#This Row],[Criteria 4 - Floor]]</f>
        <v>9</v>
      </c>
      <c r="H133" s="20"/>
      <c r="I133" s="21"/>
      <c r="J133" s="21"/>
      <c r="K133" s="99"/>
    </row>
    <row r="134" spans="1:11">
      <c r="A134" s="24">
        <v>133</v>
      </c>
      <c r="B134" s="20" t="str">
        <f>scopus[[#This Row],[Title]]</f>
        <v>ADVANCED SEISMIC-RESILIENT CONNECTION FOR MODULAR MASS TIMBER STRUCTURES</v>
      </c>
      <c r="C134" s="101">
        <v>5</v>
      </c>
      <c r="D134" s="101">
        <v>2</v>
      </c>
      <c r="E134" s="101">
        <v>0</v>
      </c>
      <c r="F134" s="101">
        <v>1</v>
      </c>
      <c r="G134" s="21">
        <f>Table3[[#This Row],[Criteria 1 - Cross-Laminated-Timber]]+Table3[[#This Row],[Criteria 2 - Sustainability]]+Table3[[#This Row],[Criteria 3 - Concrete]]+Table3[[#This Row],[Criteria 4 - Floor]]</f>
        <v>8</v>
      </c>
      <c r="H134" s="20"/>
      <c r="I134" s="21"/>
      <c r="J134" s="21"/>
      <c r="K134" s="101"/>
    </row>
    <row r="135" spans="1:11">
      <c r="A135" s="24">
        <v>134</v>
      </c>
      <c r="B135" s="20" t="str">
        <f>scopus[[#This Row],[Title]]</f>
        <v>Enhancing CLT floor vibration mitigation with pre-strained shape memory alloy-tuned mass dampers</v>
      </c>
      <c r="C135" s="99">
        <v>4</v>
      </c>
      <c r="D135" s="99">
        <v>3</v>
      </c>
      <c r="E135" s="99">
        <v>0</v>
      </c>
      <c r="F135" s="99">
        <v>1</v>
      </c>
      <c r="G135" s="21">
        <f>Table3[[#This Row],[Criteria 1 - Cross-Laminated-Timber]]+Table3[[#This Row],[Criteria 2 - Sustainability]]+Table3[[#This Row],[Criteria 3 - Concrete]]+Table3[[#This Row],[Criteria 4 - Floor]]</f>
        <v>8</v>
      </c>
      <c r="H135" s="20"/>
      <c r="I135" s="21"/>
      <c r="J135" s="21"/>
      <c r="K135" s="99"/>
    </row>
    <row r="136" spans="1:11">
      <c r="A136" s="24">
        <v>135</v>
      </c>
      <c r="B136" s="20" t="str">
        <f>scopus[[#This Row],[Title]]</f>
        <v>Numerical investigation of steel-timber composite floors with flush end-plate connection</v>
      </c>
      <c r="C136" s="101">
        <v>5</v>
      </c>
      <c r="D136" s="101">
        <v>2</v>
      </c>
      <c r="E136" s="101">
        <v>0</v>
      </c>
      <c r="F136" s="101">
        <v>1</v>
      </c>
      <c r="G136" s="21">
        <f>Table3[[#This Row],[Criteria 1 - Cross-Laminated-Timber]]+Table3[[#This Row],[Criteria 2 - Sustainability]]+Table3[[#This Row],[Criteria 3 - Concrete]]+Table3[[#This Row],[Criteria 4 - Floor]]</f>
        <v>8</v>
      </c>
      <c r="H136" s="20"/>
      <c r="I136" s="21"/>
      <c r="J136" s="21"/>
      <c r="K136" s="101"/>
    </row>
    <row r="137" spans="1:11">
      <c r="A137" s="24">
        <v>136</v>
      </c>
      <c r="B137" s="20" t="str">
        <f>scopus[[#This Row],[Title]]</f>
        <v>Case Study: A High-Rise Mass Timber Building in Vancouver, British Columbia</v>
      </c>
      <c r="C137" s="99">
        <v>5</v>
      </c>
      <c r="D137" s="99">
        <v>2</v>
      </c>
      <c r="E137" s="99">
        <v>1</v>
      </c>
      <c r="F137" s="99">
        <v>0</v>
      </c>
      <c r="G137" s="21">
        <f>Table3[[#This Row],[Criteria 1 - Cross-Laminated-Timber]]+Table3[[#This Row],[Criteria 2 - Sustainability]]+Table3[[#This Row],[Criteria 3 - Concrete]]+Table3[[#This Row],[Criteria 4 - Floor]]</f>
        <v>8</v>
      </c>
      <c r="H137" s="20"/>
      <c r="I137" s="21"/>
      <c r="J137" s="21"/>
      <c r="K137" s="99"/>
    </row>
    <row r="138" spans="1:11">
      <c r="A138" s="24">
        <v>137</v>
      </c>
      <c r="B138" s="20" t="str">
        <f>scopus[[#This Row],[Title]]</f>
        <v>Comparative energy analysis from fire resistance tests on combustible versus noncombustible slabs</v>
      </c>
      <c r="C138" s="101">
        <v>3</v>
      </c>
      <c r="D138" s="101">
        <v>3</v>
      </c>
      <c r="E138" s="101">
        <v>2</v>
      </c>
      <c r="F138" s="101">
        <v>0</v>
      </c>
      <c r="G138" s="21">
        <f>Table3[[#This Row],[Criteria 1 - Cross-Laminated-Timber]]+Table3[[#This Row],[Criteria 2 - Sustainability]]+Table3[[#This Row],[Criteria 3 - Concrete]]+Table3[[#This Row],[Criteria 4 - Floor]]</f>
        <v>8</v>
      </c>
      <c r="H138" s="20"/>
      <c r="I138" s="21"/>
      <c r="J138" s="21"/>
      <c r="K138" s="101"/>
    </row>
    <row r="139" spans="1:11">
      <c r="A139" s="24">
        <v>138</v>
      </c>
      <c r="B139" s="20" t="str">
        <f>scopus[[#This Row],[Title]]</f>
        <v>Experimental and Numerical Investigations on the Usage of CLT Panels to Form Timber-Steel Composite Floor Systems</v>
      </c>
      <c r="C139" s="99">
        <v>4</v>
      </c>
      <c r="D139" s="99">
        <v>3</v>
      </c>
      <c r="E139" s="99">
        <v>1</v>
      </c>
      <c r="F139" s="99">
        <v>0</v>
      </c>
      <c r="G139" s="21">
        <f>Table3[[#This Row],[Criteria 1 - Cross-Laminated-Timber]]+Table3[[#This Row],[Criteria 2 - Sustainability]]+Table3[[#This Row],[Criteria 3 - Concrete]]+Table3[[#This Row],[Criteria 4 - Floor]]</f>
        <v>8</v>
      </c>
      <c r="H139" s="20"/>
      <c r="I139" s="21"/>
      <c r="J139" s="21"/>
      <c r="K139" s="99"/>
    </row>
    <row r="140" spans="1:11">
      <c r="A140" s="24">
        <v>139</v>
      </c>
      <c r="B140" s="20" t="str">
        <f>scopus[[#This Row],[Title]]</f>
        <v>Experimental study on floor impact sound reduction by double ceiling system with cross laminated timber panels</v>
      </c>
      <c r="C140" s="101">
        <v>4</v>
      </c>
      <c r="D140" s="101">
        <v>3</v>
      </c>
      <c r="E140" s="101">
        <v>1</v>
      </c>
      <c r="F140" s="101">
        <v>0</v>
      </c>
      <c r="G140" s="21">
        <f>Table3[[#This Row],[Criteria 1 - Cross-Laminated-Timber]]+Table3[[#This Row],[Criteria 2 - Sustainability]]+Table3[[#This Row],[Criteria 3 - Concrete]]+Table3[[#This Row],[Criteria 4 - Floor]]</f>
        <v>8</v>
      </c>
      <c r="H140" s="20"/>
      <c r="I140" s="21"/>
      <c r="J140" s="21"/>
      <c r="K140" s="101"/>
    </row>
    <row r="141" spans="1:11" ht="26">
      <c r="A141" s="24">
        <v>140</v>
      </c>
      <c r="B141" s="20" t="str">
        <f>scopus[[#This Row],[Title]]</f>
        <v>02-028-Design of a timber structure for an office building located in a seismic zone, consisting of two storeys; [Diseño de estructura de madera de un edificio de oficinas en zona sísmica formado por planta baja y dos alturas]</v>
      </c>
      <c r="C141" s="99">
        <v>3</v>
      </c>
      <c r="D141" s="99">
        <v>1</v>
      </c>
      <c r="E141" s="99">
        <v>2</v>
      </c>
      <c r="F141" s="99">
        <v>2</v>
      </c>
      <c r="G141" s="21">
        <f>Table3[[#This Row],[Criteria 1 - Cross-Laminated-Timber]]+Table3[[#This Row],[Criteria 2 - Sustainability]]+Table3[[#This Row],[Criteria 3 - Concrete]]+Table3[[#This Row],[Criteria 4 - Floor]]</f>
        <v>8</v>
      </c>
      <c r="H141" s="20"/>
      <c r="I141" s="21"/>
      <c r="J141" s="21"/>
      <c r="K141" s="99"/>
    </row>
    <row r="142" spans="1:11">
      <c r="A142" s="24">
        <v>141</v>
      </c>
      <c r="B142" s="20" t="str">
        <f>scopus[[#This Row],[Title]]</f>
        <v>Connectors for hybrid cross-laminated timber prefabricated buildings</v>
      </c>
      <c r="C142" s="101">
        <v>4</v>
      </c>
      <c r="D142" s="101">
        <v>2</v>
      </c>
      <c r="E142" s="101">
        <v>1</v>
      </c>
      <c r="F142" s="101">
        <v>1</v>
      </c>
      <c r="G142" s="21">
        <f>Table3[[#This Row],[Criteria 1 - Cross-Laminated-Timber]]+Table3[[#This Row],[Criteria 2 - Sustainability]]+Table3[[#This Row],[Criteria 3 - Concrete]]+Table3[[#This Row],[Criteria 4 - Floor]]</f>
        <v>8</v>
      </c>
      <c r="H142" s="20"/>
      <c r="I142" s="21"/>
      <c r="J142" s="21"/>
      <c r="K142" s="101"/>
    </row>
    <row r="143" spans="1:11">
      <c r="A143" s="24">
        <v>142</v>
      </c>
      <c r="B143" s="20" t="str">
        <f>scopus[[#This Row],[Title]]</f>
        <v>VIBROACOUSTIC FINITE ELEMENT MODELLING OF AIRBORNE SOUND INSULATION OF A CROSS LAMINATED TIMBER FLOOR</v>
      </c>
      <c r="C143" s="99">
        <v>4</v>
      </c>
      <c r="D143" s="99">
        <v>2</v>
      </c>
      <c r="E143" s="99">
        <v>2</v>
      </c>
      <c r="F143" s="99">
        <v>0</v>
      </c>
      <c r="G143" s="21">
        <f>Table3[[#This Row],[Criteria 1 - Cross-Laminated-Timber]]+Table3[[#This Row],[Criteria 2 - Sustainability]]+Table3[[#This Row],[Criteria 3 - Concrete]]+Table3[[#This Row],[Criteria 4 - Floor]]</f>
        <v>8</v>
      </c>
      <c r="H143" s="20"/>
      <c r="I143" s="21"/>
      <c r="J143" s="21"/>
      <c r="K143" s="99"/>
    </row>
    <row r="144" spans="1:11">
      <c r="A144" s="24">
        <v>143</v>
      </c>
      <c r="B144" s="20" t="str">
        <f>scopus[[#This Row],[Title]]</f>
        <v>Vibration control of cross-laminated timber floor with concrete topping</v>
      </c>
      <c r="C144" s="101">
        <v>4</v>
      </c>
      <c r="D144" s="101">
        <v>3</v>
      </c>
      <c r="E144" s="101">
        <v>1</v>
      </c>
      <c r="F144" s="101">
        <v>0</v>
      </c>
      <c r="G144" s="21">
        <f>Table3[[#This Row],[Criteria 1 - Cross-Laminated-Timber]]+Table3[[#This Row],[Criteria 2 - Sustainability]]+Table3[[#This Row],[Criteria 3 - Concrete]]+Table3[[#This Row],[Criteria 4 - Floor]]</f>
        <v>8</v>
      </c>
      <c r="H144" s="20"/>
      <c r="I144" s="21"/>
      <c r="J144" s="21"/>
      <c r="K144" s="101"/>
    </row>
    <row r="145" spans="1:11">
      <c r="A145" s="24">
        <v>144</v>
      </c>
      <c r="B145" s="20" t="str">
        <f>scopus[[#This Row],[Title]]</f>
        <v>SEISMIC FRAGILITY OF A NEW MASS TIMBER-STEEL HYBRID BUILDING SYSTEM EQUIPPED WITH CLT FLOOR DIAPHRAGMS</v>
      </c>
      <c r="C145" s="99">
        <v>2</v>
      </c>
      <c r="D145" s="99">
        <v>4</v>
      </c>
      <c r="E145" s="99">
        <v>2</v>
      </c>
      <c r="F145" s="99">
        <v>0</v>
      </c>
      <c r="G145" s="21">
        <f>Table3[[#This Row],[Criteria 1 - Cross-Laminated-Timber]]+Table3[[#This Row],[Criteria 2 - Sustainability]]+Table3[[#This Row],[Criteria 3 - Concrete]]+Table3[[#This Row],[Criteria 4 - Floor]]</f>
        <v>8</v>
      </c>
      <c r="H145" s="20"/>
      <c r="I145" s="21"/>
      <c r="J145" s="21"/>
      <c r="K145" s="99"/>
    </row>
    <row r="146" spans="1:11">
      <c r="A146" s="24">
        <v>145</v>
      </c>
      <c r="B146" s="20" t="str">
        <f>scopus[[#This Row],[Title]]</f>
        <v>Prestressed CLT-concrete composite panels with adhesive shear connection</v>
      </c>
      <c r="C146" s="101">
        <v>4</v>
      </c>
      <c r="D146" s="101">
        <v>3</v>
      </c>
      <c r="E146" s="101">
        <v>1</v>
      </c>
      <c r="F146" s="101">
        <v>0</v>
      </c>
      <c r="G146" s="21">
        <f>Table3[[#This Row],[Criteria 1 - Cross-Laminated-Timber]]+Table3[[#This Row],[Criteria 2 - Sustainability]]+Table3[[#This Row],[Criteria 3 - Concrete]]+Table3[[#This Row],[Criteria 4 - Floor]]</f>
        <v>8</v>
      </c>
      <c r="H146" s="20"/>
      <c r="I146" s="21"/>
      <c r="J146" s="21"/>
      <c r="K146" s="101"/>
    </row>
    <row r="147" spans="1:11">
      <c r="A147" s="24">
        <v>146</v>
      </c>
      <c r="B147" s="20" t="str">
        <f>scopus[[#This Row],[Title]]</f>
        <v>Control of building sway and force flows using ultralightweight slabs</v>
      </c>
      <c r="C147" s="99">
        <v>1</v>
      </c>
      <c r="D147" s="99">
        <v>4</v>
      </c>
      <c r="E147" s="99">
        <v>3</v>
      </c>
      <c r="F147" s="99">
        <v>0</v>
      </c>
      <c r="G147" s="21">
        <f>Table3[[#This Row],[Criteria 1 - Cross-Laminated-Timber]]+Table3[[#This Row],[Criteria 2 - Sustainability]]+Table3[[#This Row],[Criteria 3 - Concrete]]+Table3[[#This Row],[Criteria 4 - Floor]]</f>
        <v>8</v>
      </c>
      <c r="H147" s="20"/>
      <c r="I147" s="21"/>
      <c r="J147" s="21"/>
      <c r="K147" s="99"/>
    </row>
    <row r="148" spans="1:11">
      <c r="A148" s="24">
        <v>147</v>
      </c>
      <c r="B148" s="20" t="str">
        <f>scopus[[#This Row],[Title]]</f>
        <v>FINITE ELEMENT-BASED EVALUATION OF WALKING-INDUCED VIBRATIONS IN TIMBER-CONCRETE COMPOSITE FLOORS</v>
      </c>
      <c r="C148" s="101">
        <v>3</v>
      </c>
      <c r="D148" s="101">
        <v>4</v>
      </c>
      <c r="E148" s="101">
        <v>1</v>
      </c>
      <c r="F148" s="101">
        <v>0</v>
      </c>
      <c r="G148" s="21">
        <f>Table3[[#This Row],[Criteria 1 - Cross-Laminated-Timber]]+Table3[[#This Row],[Criteria 2 - Sustainability]]+Table3[[#This Row],[Criteria 3 - Concrete]]+Table3[[#This Row],[Criteria 4 - Floor]]</f>
        <v>8</v>
      </c>
      <c r="H148" s="20"/>
      <c r="I148" s="21"/>
      <c r="J148" s="21"/>
      <c r="K148" s="101"/>
    </row>
    <row r="149" spans="1:11">
      <c r="A149" s="24">
        <v>148</v>
      </c>
      <c r="B149" s="20" t="str">
        <f>scopus[[#This Row],[Title]]</f>
        <v>Experimental and numerical performance of shear connections in CLT–concrete composite floor</v>
      </c>
      <c r="C149" s="99">
        <v>4</v>
      </c>
      <c r="D149" s="99">
        <v>3</v>
      </c>
      <c r="E149" s="99">
        <v>1</v>
      </c>
      <c r="F149" s="99">
        <v>0</v>
      </c>
      <c r="G149" s="21">
        <f>Table3[[#This Row],[Criteria 1 - Cross-Laminated-Timber]]+Table3[[#This Row],[Criteria 2 - Sustainability]]+Table3[[#This Row],[Criteria 3 - Concrete]]+Table3[[#This Row],[Criteria 4 - Floor]]</f>
        <v>8</v>
      </c>
      <c r="H149" s="20"/>
      <c r="I149" s="21"/>
      <c r="J149" s="21"/>
      <c r="K149" s="99"/>
    </row>
    <row r="150" spans="1:11">
      <c r="A150" s="24">
        <v>149</v>
      </c>
      <c r="B150" s="20" t="str">
        <f>scopus[[#This Row],[Title]]</f>
        <v>Acoustical Properties of Southern Pine Cross-Laminated Timber Panels</v>
      </c>
      <c r="C150" s="101">
        <v>3</v>
      </c>
      <c r="D150" s="101">
        <v>2</v>
      </c>
      <c r="E150" s="101">
        <v>2</v>
      </c>
      <c r="F150" s="101">
        <v>1</v>
      </c>
      <c r="G150" s="21">
        <f>Table3[[#This Row],[Criteria 1 - Cross-Laminated-Timber]]+Table3[[#This Row],[Criteria 2 - Sustainability]]+Table3[[#This Row],[Criteria 3 - Concrete]]+Table3[[#This Row],[Criteria 4 - Floor]]</f>
        <v>8</v>
      </c>
      <c r="H150" s="20"/>
      <c r="I150" s="21"/>
      <c r="J150" s="21"/>
      <c r="K150" s="101"/>
    </row>
    <row r="151" spans="1:11">
      <c r="A151" s="24">
        <v>150</v>
      </c>
      <c r="B151" s="20" t="str">
        <f>scopus[[#This Row],[Title]]</f>
        <v>Multi-objective optimization of cross laminated timber-concrete composite floor using NSGA-II</v>
      </c>
      <c r="C151" s="99">
        <v>4</v>
      </c>
      <c r="D151" s="99">
        <v>3</v>
      </c>
      <c r="E151" s="99">
        <v>1</v>
      </c>
      <c r="F151" s="99">
        <v>0</v>
      </c>
      <c r="G151" s="21">
        <f>Table3[[#This Row],[Criteria 1 - Cross-Laminated-Timber]]+Table3[[#This Row],[Criteria 2 - Sustainability]]+Table3[[#This Row],[Criteria 3 - Concrete]]+Table3[[#This Row],[Criteria 4 - Floor]]</f>
        <v>8</v>
      </c>
      <c r="H151" s="20"/>
      <c r="I151" s="21"/>
      <c r="J151" s="21"/>
      <c r="K151" s="99"/>
    </row>
    <row r="152" spans="1:11">
      <c r="A152" s="24">
        <v>151</v>
      </c>
      <c r="B152" s="20" t="str">
        <f>scopus[[#This Row],[Title]]</f>
        <v>Long-Span CLT-Glulam Composite Flooring System Connected with Bamboo-Based Shear Connectors: Feasibility of Design for Assembly</v>
      </c>
      <c r="C152" s="101">
        <v>3</v>
      </c>
      <c r="D152" s="101">
        <v>4</v>
      </c>
      <c r="E152" s="101">
        <v>1</v>
      </c>
      <c r="F152" s="101">
        <v>0</v>
      </c>
      <c r="G152" s="21">
        <f>Table3[[#This Row],[Criteria 1 - Cross-Laminated-Timber]]+Table3[[#This Row],[Criteria 2 - Sustainability]]+Table3[[#This Row],[Criteria 3 - Concrete]]+Table3[[#This Row],[Criteria 4 - Floor]]</f>
        <v>8</v>
      </c>
      <c r="H152" s="20"/>
      <c r="I152" s="21"/>
      <c r="J152" s="21"/>
      <c r="K152" s="101"/>
    </row>
    <row r="153" spans="1:11">
      <c r="A153" s="24">
        <v>152</v>
      </c>
      <c r="B153" s="20" t="str">
        <f>scopus[[#This Row],[Title]]</f>
        <v>Experimental Study on the Quasi-Static Cyclic and Dynamic Performance of Two-Story Platform Cross-Laminated Timber Mock-Ups</v>
      </c>
      <c r="C153" s="99">
        <v>5</v>
      </c>
      <c r="D153" s="99">
        <v>1</v>
      </c>
      <c r="E153" s="99">
        <v>1</v>
      </c>
      <c r="F153" s="99">
        <v>1</v>
      </c>
      <c r="G153" s="21">
        <f>Table3[[#This Row],[Criteria 1 - Cross-Laminated-Timber]]+Table3[[#This Row],[Criteria 2 - Sustainability]]+Table3[[#This Row],[Criteria 3 - Concrete]]+Table3[[#This Row],[Criteria 4 - Floor]]</f>
        <v>8</v>
      </c>
      <c r="H153" s="20"/>
      <c r="I153" s="21"/>
      <c r="J153" s="21"/>
      <c r="K153" s="99"/>
    </row>
    <row r="154" spans="1:11">
      <c r="A154" s="24">
        <v>153</v>
      </c>
      <c r="B154" s="20" t="str">
        <f>scopus[[#This Row],[Title]]</f>
        <v>Shaking up dance floor design with timber–concrete composites</v>
      </c>
      <c r="C154" s="101">
        <v>4</v>
      </c>
      <c r="D154" s="101">
        <v>3</v>
      </c>
      <c r="E154" s="101">
        <v>1</v>
      </c>
      <c r="F154" s="101">
        <v>0</v>
      </c>
      <c r="G154" s="21">
        <f>Table3[[#This Row],[Criteria 1 - Cross-Laminated-Timber]]+Table3[[#This Row],[Criteria 2 - Sustainability]]+Table3[[#This Row],[Criteria 3 - Concrete]]+Table3[[#This Row],[Criteria 4 - Floor]]</f>
        <v>8</v>
      </c>
      <c r="H154" s="20"/>
      <c r="I154" s="21"/>
      <c r="J154" s="21"/>
      <c r="K154" s="101"/>
    </row>
    <row r="155" spans="1:11">
      <c r="A155" s="24">
        <v>154</v>
      </c>
      <c r="B155" s="20" t="str">
        <f>scopus[[#This Row],[Title]]</f>
        <v>Vibrational behavior of cross-laminated timber-concrete composite beams using notched connectors</v>
      </c>
      <c r="C155" s="99">
        <v>3</v>
      </c>
      <c r="D155" s="99">
        <v>3</v>
      </c>
      <c r="E155" s="99">
        <v>2</v>
      </c>
      <c r="F155" s="99">
        <v>0</v>
      </c>
      <c r="G155" s="21">
        <f>Table3[[#This Row],[Criteria 1 - Cross-Laminated-Timber]]+Table3[[#This Row],[Criteria 2 - Sustainability]]+Table3[[#This Row],[Criteria 3 - Concrete]]+Table3[[#This Row],[Criteria 4 - Floor]]</f>
        <v>8</v>
      </c>
      <c r="H155" s="20"/>
      <c r="I155" s="21"/>
      <c r="J155" s="21"/>
      <c r="K155" s="99"/>
    </row>
    <row r="156" spans="1:11" ht="26">
      <c r="A156" s="24">
        <v>155</v>
      </c>
      <c r="B156" s="20" t="str">
        <f>scopus[[#This Row],[Title]]</f>
        <v>Development of innovative wood-concrete composite floors in prefabricated construction method; [Entwicklung neuartiger Holz-Betonverbunddecken in Fertigteilbauweise]</v>
      </c>
      <c r="C156" s="101">
        <v>1</v>
      </c>
      <c r="D156" s="101">
        <v>3</v>
      </c>
      <c r="E156" s="101">
        <v>3</v>
      </c>
      <c r="F156" s="101">
        <v>1</v>
      </c>
      <c r="G156" s="21">
        <f>Table3[[#This Row],[Criteria 1 - Cross-Laminated-Timber]]+Table3[[#This Row],[Criteria 2 - Sustainability]]+Table3[[#This Row],[Criteria 3 - Concrete]]+Table3[[#This Row],[Criteria 4 - Floor]]</f>
        <v>8</v>
      </c>
      <c r="H156" s="20"/>
      <c r="I156" s="21"/>
      <c r="J156" s="21"/>
      <c r="K156" s="101"/>
    </row>
    <row r="157" spans="1:11" ht="26">
      <c r="A157" s="24">
        <v>156</v>
      </c>
      <c r="B157" s="20" t="str">
        <f>scopus[[#This Row],[Title]]</f>
        <v>Comparative analysis of the reinforcement of a traditional wood floor in collective housing. In depth development with cross laminated timber and concrete</v>
      </c>
      <c r="C157" s="99">
        <v>3</v>
      </c>
      <c r="D157" s="99">
        <v>3</v>
      </c>
      <c r="E157" s="99">
        <v>1</v>
      </c>
      <c r="F157" s="99">
        <v>1</v>
      </c>
      <c r="G157" s="21">
        <f>Table3[[#This Row],[Criteria 1 - Cross-Laminated-Timber]]+Table3[[#This Row],[Criteria 2 - Sustainability]]+Table3[[#This Row],[Criteria 3 - Concrete]]+Table3[[#This Row],[Criteria 4 - Floor]]</f>
        <v>8</v>
      </c>
      <c r="H157" s="20"/>
      <c r="I157" s="21"/>
      <c r="J157" s="21"/>
      <c r="K157" s="99"/>
    </row>
    <row r="158" spans="1:11">
      <c r="A158" s="24">
        <v>157</v>
      </c>
      <c r="B158" s="20" t="str">
        <f>scopus[[#This Row],[Title]]</f>
        <v>Shake-Table Experimental Testing and Performance of Topped and Untopped Cross-Laminated Timber Diaphragms</v>
      </c>
      <c r="C158" s="101">
        <v>4</v>
      </c>
      <c r="D158" s="101">
        <v>3</v>
      </c>
      <c r="E158" s="101">
        <v>1</v>
      </c>
      <c r="F158" s="101">
        <v>0</v>
      </c>
      <c r="G158" s="21">
        <f>Table3[[#This Row],[Criteria 1 - Cross-Laminated-Timber]]+Table3[[#This Row],[Criteria 2 - Sustainability]]+Table3[[#This Row],[Criteria 3 - Concrete]]+Table3[[#This Row],[Criteria 4 - Floor]]</f>
        <v>8</v>
      </c>
      <c r="H158" s="20"/>
      <c r="I158" s="21"/>
      <c r="J158" s="21"/>
      <c r="K158" s="101"/>
    </row>
    <row r="159" spans="1:11">
      <c r="A159" s="24">
        <v>158</v>
      </c>
      <c r="B159" s="20" t="str">
        <f>scopus[[#This Row],[Title]]</f>
        <v>Experimental study on the indication method of heavy-weight floor impact sound insulation performance of CLT floors in Japan</v>
      </c>
      <c r="C159" s="99">
        <v>1</v>
      </c>
      <c r="D159" s="99">
        <v>5</v>
      </c>
      <c r="E159" s="99">
        <v>2</v>
      </c>
      <c r="F159" s="99">
        <v>0</v>
      </c>
      <c r="G159" s="21">
        <f>Table3[[#This Row],[Criteria 1 - Cross-Laminated-Timber]]+Table3[[#This Row],[Criteria 2 - Sustainability]]+Table3[[#This Row],[Criteria 3 - Concrete]]+Table3[[#This Row],[Criteria 4 - Floor]]</f>
        <v>8</v>
      </c>
      <c r="H159" s="20"/>
      <c r="I159" s="21"/>
      <c r="J159" s="21"/>
      <c r="K159" s="99"/>
    </row>
    <row r="160" spans="1:11">
      <c r="A160" s="24">
        <v>159</v>
      </c>
      <c r="B160" s="20" t="str">
        <f>scopus[[#This Row],[Title]]</f>
        <v>PERFORMANCE-BASED SEISMIC DESIGN OF STEEL-TIMBER COMPOSITE STRUCTURES USING ENDURANCE TIME METHOD</v>
      </c>
      <c r="C160" s="101">
        <v>3</v>
      </c>
      <c r="D160" s="101">
        <v>3</v>
      </c>
      <c r="E160" s="101">
        <v>1</v>
      </c>
      <c r="F160" s="101">
        <v>1</v>
      </c>
      <c r="G160" s="21">
        <f>Table3[[#This Row],[Criteria 1 - Cross-Laminated-Timber]]+Table3[[#This Row],[Criteria 2 - Sustainability]]+Table3[[#This Row],[Criteria 3 - Concrete]]+Table3[[#This Row],[Criteria 4 - Floor]]</f>
        <v>8</v>
      </c>
      <c r="H160" s="20"/>
      <c r="I160" s="21"/>
      <c r="J160" s="21"/>
      <c r="K160" s="101"/>
    </row>
    <row r="161" spans="1:11">
      <c r="A161" s="24">
        <v>160</v>
      </c>
      <c r="B161" s="20" t="str">
        <f>scopus[[#This Row],[Title]]</f>
        <v>Vibration of Timber and Hybrid Floors: A Review of Methods of Measurement, Analysis, and Design</v>
      </c>
      <c r="C161" s="99">
        <v>4</v>
      </c>
      <c r="D161" s="99">
        <v>3</v>
      </c>
      <c r="E161" s="99">
        <v>1</v>
      </c>
      <c r="F161" s="99">
        <v>0</v>
      </c>
      <c r="G161" s="21">
        <f>Table3[[#This Row],[Criteria 1 - Cross-Laminated-Timber]]+Table3[[#This Row],[Criteria 2 - Sustainability]]+Table3[[#This Row],[Criteria 3 - Concrete]]+Table3[[#This Row],[Criteria 4 - Floor]]</f>
        <v>8</v>
      </c>
      <c r="H161" s="20"/>
      <c r="I161" s="21"/>
      <c r="J161" s="21"/>
      <c r="K161" s="99"/>
    </row>
    <row r="162" spans="1:11">
      <c r="A162" s="24">
        <v>161</v>
      </c>
      <c r="B162" s="20" t="str">
        <f>scopus[[#This Row],[Title]]</f>
        <v>Experimental study on mechanical performance of shear connections in CLT-concrete composite floor</v>
      </c>
      <c r="C162" s="101">
        <v>4</v>
      </c>
      <c r="D162" s="101">
        <v>3</v>
      </c>
      <c r="E162" s="101">
        <v>1</v>
      </c>
      <c r="F162" s="101">
        <v>0</v>
      </c>
      <c r="G162" s="21">
        <f>Table3[[#This Row],[Criteria 1 - Cross-Laminated-Timber]]+Table3[[#This Row],[Criteria 2 - Sustainability]]+Table3[[#This Row],[Criteria 3 - Concrete]]+Table3[[#This Row],[Criteria 4 - Floor]]</f>
        <v>8</v>
      </c>
      <c r="H162" s="20"/>
      <c r="I162" s="21"/>
      <c r="J162" s="21"/>
      <c r="K162" s="101"/>
    </row>
    <row r="163" spans="1:11">
      <c r="A163" s="24">
        <v>162</v>
      </c>
      <c r="B163" s="20" t="str">
        <f>scopus[[#This Row],[Title]]</f>
        <v>Two-Way Bending Behavior of Cross-Laminated Timber-Concrete Composite Floors with Alternative Shear Connectors</v>
      </c>
      <c r="C163" s="99">
        <v>3</v>
      </c>
      <c r="D163" s="99">
        <v>3</v>
      </c>
      <c r="E163" s="99">
        <v>2</v>
      </c>
      <c r="F163" s="99">
        <v>0</v>
      </c>
      <c r="G163" s="21">
        <f>Table3[[#This Row],[Criteria 1 - Cross-Laminated-Timber]]+Table3[[#This Row],[Criteria 2 - Sustainability]]+Table3[[#This Row],[Criteria 3 - Concrete]]+Table3[[#This Row],[Criteria 4 - Floor]]</f>
        <v>8</v>
      </c>
      <c r="H163" s="20"/>
      <c r="I163" s="21"/>
      <c r="J163" s="21"/>
      <c r="K163" s="99"/>
    </row>
    <row r="164" spans="1:11">
      <c r="A164" s="24">
        <v>163</v>
      </c>
      <c r="B164" s="20" t="str">
        <f>scopus[[#This Row],[Title]]</f>
        <v>Building with wood structures succesfull design process</v>
      </c>
      <c r="C164" s="101">
        <v>4</v>
      </c>
      <c r="D164" s="101">
        <v>1</v>
      </c>
      <c r="E164" s="101">
        <v>1</v>
      </c>
      <c r="F164" s="101">
        <v>2</v>
      </c>
      <c r="G164" s="21">
        <f>Table3[[#This Row],[Criteria 1 - Cross-Laminated-Timber]]+Table3[[#This Row],[Criteria 2 - Sustainability]]+Table3[[#This Row],[Criteria 3 - Concrete]]+Table3[[#This Row],[Criteria 4 - Floor]]</f>
        <v>8</v>
      </c>
      <c r="H164" s="20"/>
      <c r="I164" s="21"/>
      <c r="J164" s="21"/>
      <c r="K164" s="101"/>
    </row>
    <row r="165" spans="1:11" ht="26">
      <c r="A165" s="24">
        <v>164</v>
      </c>
      <c r="B165" s="20" t="str">
        <f>scopus[[#This Row],[Title]]</f>
        <v>Comparative life cycle assessment of a modular cross-laminated timber residential building designed for disassembly and reuse versus traditional wood frame construction</v>
      </c>
      <c r="C165" s="99">
        <v>3</v>
      </c>
      <c r="D165" s="99">
        <v>1</v>
      </c>
      <c r="E165" s="99">
        <v>0</v>
      </c>
      <c r="F165" s="99">
        <v>4</v>
      </c>
      <c r="G165" s="21">
        <f>Table3[[#This Row],[Criteria 1 - Cross-Laminated-Timber]]+Table3[[#This Row],[Criteria 2 - Sustainability]]+Table3[[#This Row],[Criteria 3 - Concrete]]+Table3[[#This Row],[Criteria 4 - Floor]]</f>
        <v>8</v>
      </c>
      <c r="H165" s="20"/>
      <c r="I165" s="21"/>
      <c r="J165" s="21"/>
      <c r="K165" s="99"/>
    </row>
    <row r="166" spans="1:11">
      <c r="A166" s="24">
        <v>165</v>
      </c>
      <c r="B166" s="20" t="str">
        <f>scopus[[#This Row],[Title]]</f>
        <v>A new integrated approach on the seismic strengthening of existing RC buildings with external cross-laminated timber panels</v>
      </c>
      <c r="C166" s="101">
        <v>4</v>
      </c>
      <c r="D166" s="101">
        <v>2</v>
      </c>
      <c r="E166" s="101">
        <v>2</v>
      </c>
      <c r="F166" s="101">
        <v>0</v>
      </c>
      <c r="G166" s="21">
        <f>Table3[[#This Row],[Criteria 1 - Cross-Laminated-Timber]]+Table3[[#This Row],[Criteria 2 - Sustainability]]+Table3[[#This Row],[Criteria 3 - Concrete]]+Table3[[#This Row],[Criteria 4 - Floor]]</f>
        <v>8</v>
      </c>
      <c r="H166" s="20"/>
      <c r="I166" s="21"/>
      <c r="J166" s="21"/>
      <c r="K166" s="101"/>
    </row>
    <row r="167" spans="1:11">
      <c r="A167" s="24">
        <v>166</v>
      </c>
      <c r="B167" s="20" t="str">
        <f>scopus[[#This Row],[Title]]</f>
        <v>Experimental study on progressive collapse resistance of CLT wall-floor systems</v>
      </c>
      <c r="C167" s="99">
        <v>5</v>
      </c>
      <c r="D167" s="99">
        <v>3</v>
      </c>
      <c r="E167" s="99">
        <v>0</v>
      </c>
      <c r="F167" s="99">
        <v>0</v>
      </c>
      <c r="G167" s="21">
        <f>Table3[[#This Row],[Criteria 1 - Cross-Laminated-Timber]]+Table3[[#This Row],[Criteria 2 - Sustainability]]+Table3[[#This Row],[Criteria 3 - Concrete]]+Table3[[#This Row],[Criteria 4 - Floor]]</f>
        <v>8</v>
      </c>
      <c r="H167" s="20"/>
      <c r="I167" s="21"/>
      <c r="J167" s="21"/>
      <c r="K167" s="99"/>
    </row>
    <row r="168" spans="1:11">
      <c r="A168" s="24">
        <v>167</v>
      </c>
      <c r="B168" s="20" t="str">
        <f>scopus[[#This Row],[Title]]</f>
        <v>Sound insulation performance of cross laminated timber building systems</v>
      </c>
      <c r="C168" s="101">
        <v>5</v>
      </c>
      <c r="D168" s="101">
        <v>2</v>
      </c>
      <c r="E168" s="101">
        <v>1</v>
      </c>
      <c r="F168" s="101">
        <v>0</v>
      </c>
      <c r="G168" s="21">
        <f>Table3[[#This Row],[Criteria 1 - Cross-Laminated-Timber]]+Table3[[#This Row],[Criteria 2 - Sustainability]]+Table3[[#This Row],[Criteria 3 - Concrete]]+Table3[[#This Row],[Criteria 4 - Floor]]</f>
        <v>8</v>
      </c>
      <c r="H168" s="20"/>
      <c r="I168" s="21"/>
      <c r="J168" s="21"/>
      <c r="K168" s="101"/>
    </row>
    <row r="169" spans="1:11">
      <c r="A169" s="24">
        <v>168</v>
      </c>
      <c r="B169" s="20" t="str">
        <f>scopus[[#This Row],[Title]]</f>
        <v>Design of a base isolated timber building in the historical center of a high seismic hazard area of Italy</v>
      </c>
      <c r="C169" s="99">
        <v>3</v>
      </c>
      <c r="D169" s="99">
        <v>1</v>
      </c>
      <c r="E169" s="99">
        <v>2</v>
      </c>
      <c r="F169" s="99">
        <v>2</v>
      </c>
      <c r="G169" s="21">
        <f>Table3[[#This Row],[Criteria 1 - Cross-Laminated-Timber]]+Table3[[#This Row],[Criteria 2 - Sustainability]]+Table3[[#This Row],[Criteria 3 - Concrete]]+Table3[[#This Row],[Criteria 4 - Floor]]</f>
        <v>8</v>
      </c>
      <c r="H169" s="20"/>
      <c r="I169" s="21"/>
      <c r="J169" s="21"/>
      <c r="K169" s="99"/>
    </row>
    <row r="170" spans="1:11">
      <c r="A170" s="24">
        <v>169</v>
      </c>
      <c r="B170" s="20" t="str">
        <f>scopus[[#This Row],[Title]]</f>
        <v>Experimental investigations of reinforced cross-laminated timber-concrete composite systems</v>
      </c>
      <c r="C170" s="101">
        <v>5</v>
      </c>
      <c r="D170" s="101">
        <v>1</v>
      </c>
      <c r="E170" s="101">
        <v>2</v>
      </c>
      <c r="F170" s="101">
        <v>0</v>
      </c>
      <c r="G170" s="21">
        <f>Table3[[#This Row],[Criteria 1 - Cross-Laminated-Timber]]+Table3[[#This Row],[Criteria 2 - Sustainability]]+Table3[[#This Row],[Criteria 3 - Concrete]]+Table3[[#This Row],[Criteria 4 - Floor]]</f>
        <v>8</v>
      </c>
      <c r="H170" s="20"/>
      <c r="I170" s="21"/>
      <c r="J170" s="21"/>
      <c r="K170" s="101"/>
    </row>
    <row r="171" spans="1:11">
      <c r="A171" s="24">
        <v>170</v>
      </c>
      <c r="B171" s="20" t="str">
        <f>scopus[[#This Row],[Title]]</f>
        <v>SOLUTIONS FOR EDGE CONNECTIONS TO BUILD TWO-WAY SPANNING CROSS LAMINATED TIMBER SLABS</v>
      </c>
      <c r="C171" s="99">
        <v>4</v>
      </c>
      <c r="D171" s="99">
        <v>3</v>
      </c>
      <c r="E171" s="99">
        <v>1</v>
      </c>
      <c r="F171" s="99">
        <v>0</v>
      </c>
      <c r="G171" s="21">
        <f>Table3[[#This Row],[Criteria 1 - Cross-Laminated-Timber]]+Table3[[#This Row],[Criteria 2 - Sustainability]]+Table3[[#This Row],[Criteria 3 - Concrete]]+Table3[[#This Row],[Criteria 4 - Floor]]</f>
        <v>8</v>
      </c>
      <c r="H171" s="20"/>
      <c r="I171" s="21"/>
      <c r="J171" s="21"/>
      <c r="K171" s="99"/>
    </row>
    <row r="172" spans="1:11">
      <c r="A172" s="24">
        <v>171</v>
      </c>
      <c r="B172" s="20" t="str">
        <f>scopus[[#This Row],[Title]]</f>
        <v>Predicting the impact and airborne sound insulation performance of monolithic wood and concrete structures using laboratory data</v>
      </c>
      <c r="C172" s="101">
        <v>2</v>
      </c>
      <c r="D172" s="101">
        <v>4</v>
      </c>
      <c r="E172" s="101">
        <v>2</v>
      </c>
      <c r="F172" s="101">
        <v>0</v>
      </c>
      <c r="G172" s="21">
        <f>Table3[[#This Row],[Criteria 1 - Cross-Laminated-Timber]]+Table3[[#This Row],[Criteria 2 - Sustainability]]+Table3[[#This Row],[Criteria 3 - Concrete]]+Table3[[#This Row],[Criteria 4 - Floor]]</f>
        <v>8</v>
      </c>
      <c r="H172" s="20"/>
      <c r="I172" s="21"/>
      <c r="J172" s="21"/>
      <c r="K172" s="101"/>
    </row>
    <row r="173" spans="1:11">
      <c r="A173" s="24">
        <v>172</v>
      </c>
      <c r="B173" s="20" t="str">
        <f>scopus[[#This Row],[Title]]</f>
        <v>CYCLIC BEHAVIOUR OF A DOVETAIL-SHAPE NOTCHED CONNECTION FOR CROSS-LAMINATED-TIMBER-CONCRETE COMPOSITE SLABS</v>
      </c>
      <c r="C173" s="99">
        <v>2</v>
      </c>
      <c r="D173" s="99">
        <v>3</v>
      </c>
      <c r="E173" s="99">
        <v>2</v>
      </c>
      <c r="F173" s="99">
        <v>1</v>
      </c>
      <c r="G173" s="21">
        <f>Table3[[#This Row],[Criteria 1 - Cross-Laminated-Timber]]+Table3[[#This Row],[Criteria 2 - Sustainability]]+Table3[[#This Row],[Criteria 3 - Concrete]]+Table3[[#This Row],[Criteria 4 - Floor]]</f>
        <v>8</v>
      </c>
      <c r="H173" s="20"/>
      <c r="I173" s="21"/>
      <c r="J173" s="21"/>
      <c r="K173" s="99"/>
    </row>
    <row r="174" spans="1:11">
      <c r="A174" s="24">
        <v>173</v>
      </c>
      <c r="B174" s="20" t="str">
        <f>scopus[[#This Row],[Title]]</f>
        <v>Direct impact sound insulation of cross laminate timber floors with and without toppings</v>
      </c>
      <c r="C174" s="101">
        <v>4</v>
      </c>
      <c r="D174" s="101">
        <v>2</v>
      </c>
      <c r="E174" s="101">
        <v>2</v>
      </c>
      <c r="F174" s="101">
        <v>0</v>
      </c>
      <c r="G174" s="21">
        <f>Table3[[#This Row],[Criteria 1 - Cross-Laminated-Timber]]+Table3[[#This Row],[Criteria 2 - Sustainability]]+Table3[[#This Row],[Criteria 3 - Concrete]]+Table3[[#This Row],[Criteria 4 - Floor]]</f>
        <v>8</v>
      </c>
      <c r="H174" s="20"/>
      <c r="I174" s="21"/>
      <c r="J174" s="21"/>
      <c r="K174" s="101"/>
    </row>
    <row r="175" spans="1:11">
      <c r="A175" s="24">
        <v>174</v>
      </c>
      <c r="B175" s="20" t="str">
        <f>scopus[[#This Row],[Title]]</f>
        <v>Performance of hybrid cross laminated timber - Concrete composite floor</v>
      </c>
      <c r="C175" s="99">
        <v>4</v>
      </c>
      <c r="D175" s="99">
        <v>3</v>
      </c>
      <c r="E175" s="99">
        <v>1</v>
      </c>
      <c r="F175" s="99">
        <v>0</v>
      </c>
      <c r="G175" s="21">
        <f>Table3[[#This Row],[Criteria 1 - Cross-Laminated-Timber]]+Table3[[#This Row],[Criteria 2 - Sustainability]]+Table3[[#This Row],[Criteria 3 - Concrete]]+Table3[[#This Row],[Criteria 4 - Floor]]</f>
        <v>8</v>
      </c>
      <c r="H175" s="20"/>
      <c r="I175" s="21"/>
      <c r="J175" s="21"/>
      <c r="K175" s="99"/>
    </row>
    <row r="176" spans="1:11">
      <c r="A176" s="24">
        <v>175</v>
      </c>
      <c r="B176" s="20" t="str">
        <f>scopus[[#This Row],[Title]]</f>
        <v>EFFECT OF SEISMIC LOAD INTENSITY ON DESIGN OF CONNECTIONS IN CLT BUILDINGS-PARAMETRIC STUDY</v>
      </c>
      <c r="C176" s="101">
        <v>5</v>
      </c>
      <c r="D176" s="101">
        <v>1</v>
      </c>
      <c r="E176" s="101">
        <v>0</v>
      </c>
      <c r="F176" s="101">
        <v>2</v>
      </c>
      <c r="G176" s="21">
        <f>Table3[[#This Row],[Criteria 1 - Cross-Laminated-Timber]]+Table3[[#This Row],[Criteria 2 - Sustainability]]+Table3[[#This Row],[Criteria 3 - Concrete]]+Table3[[#This Row],[Criteria 4 - Floor]]</f>
        <v>8</v>
      </c>
      <c r="H176" s="20"/>
      <c r="I176" s="21"/>
      <c r="J176" s="21"/>
      <c r="K176" s="101"/>
    </row>
    <row r="177" spans="1:11">
      <c r="A177" s="24">
        <v>176</v>
      </c>
      <c r="B177" s="20" t="str">
        <f>scopus[[#This Row],[Title]]</f>
        <v>The preliminary study on subjective rating of different floors characterised by Ln,w+CI,50-2500</v>
      </c>
      <c r="C177" s="99">
        <v>4</v>
      </c>
      <c r="D177" s="99">
        <v>2</v>
      </c>
      <c r="E177" s="99">
        <v>2</v>
      </c>
      <c r="F177" s="99">
        <v>0</v>
      </c>
      <c r="G177" s="21">
        <f>Table3[[#This Row],[Criteria 1 - Cross-Laminated-Timber]]+Table3[[#This Row],[Criteria 2 - Sustainability]]+Table3[[#This Row],[Criteria 3 - Concrete]]+Table3[[#This Row],[Criteria 4 - Floor]]</f>
        <v>8</v>
      </c>
      <c r="H177" s="20"/>
      <c r="I177" s="21"/>
      <c r="J177" s="21"/>
      <c r="K177" s="99"/>
    </row>
    <row r="178" spans="1:11" ht="26">
      <c r="A178" s="24">
        <v>177</v>
      </c>
      <c r="B178" s="20" t="str">
        <f>scopus[[#This Row],[Title]]</f>
        <v>Experimental study on the quasi-static progressive collapse response of post-and-beam mass timber buildings under an edge column removal scenario</v>
      </c>
      <c r="C178" s="101">
        <v>5</v>
      </c>
      <c r="D178" s="101">
        <v>1</v>
      </c>
      <c r="E178" s="101">
        <v>2</v>
      </c>
      <c r="F178" s="101">
        <v>0</v>
      </c>
      <c r="G178" s="21">
        <f>Table3[[#This Row],[Criteria 1 - Cross-Laminated-Timber]]+Table3[[#This Row],[Criteria 2 - Sustainability]]+Table3[[#This Row],[Criteria 3 - Concrete]]+Table3[[#This Row],[Criteria 4 - Floor]]</f>
        <v>8</v>
      </c>
      <c r="H178" s="20"/>
      <c r="I178" s="21"/>
      <c r="J178" s="21"/>
      <c r="K178" s="101"/>
    </row>
    <row r="179" spans="1:11">
      <c r="A179" s="24">
        <v>178</v>
      </c>
      <c r="B179" s="20" t="str">
        <f>scopus[[#This Row],[Title]]</f>
        <v>STUDY ON THE DEVELOPMENT OF THE WOODEN HYBRID STRUCTURAL SYSTEM WITH LAG-SCREW BOLTS</v>
      </c>
      <c r="C179" s="99">
        <v>3</v>
      </c>
      <c r="D179" s="99">
        <v>2</v>
      </c>
      <c r="E179" s="99">
        <v>2</v>
      </c>
      <c r="F179" s="99">
        <v>1</v>
      </c>
      <c r="G179" s="21">
        <f>Table3[[#This Row],[Criteria 1 - Cross-Laminated-Timber]]+Table3[[#This Row],[Criteria 2 - Sustainability]]+Table3[[#This Row],[Criteria 3 - Concrete]]+Table3[[#This Row],[Criteria 4 - Floor]]</f>
        <v>8</v>
      </c>
      <c r="H179" s="20"/>
      <c r="I179" s="21"/>
      <c r="J179" s="21"/>
      <c r="K179" s="99"/>
    </row>
    <row r="180" spans="1:11">
      <c r="A180" s="24">
        <v>179</v>
      </c>
      <c r="B180" s="20" t="str">
        <f>scopus[[#This Row],[Title]]</f>
        <v>Can FRP Reinforcement Reduce Vibrations of CLT Floors?</v>
      </c>
      <c r="C180" s="101">
        <v>3</v>
      </c>
      <c r="D180" s="101">
        <v>3</v>
      </c>
      <c r="E180" s="101">
        <v>2</v>
      </c>
      <c r="F180" s="101">
        <v>0</v>
      </c>
      <c r="G180" s="21">
        <f>Table3[[#This Row],[Criteria 1 - Cross-Laminated-Timber]]+Table3[[#This Row],[Criteria 2 - Sustainability]]+Table3[[#This Row],[Criteria 3 - Concrete]]+Table3[[#This Row],[Criteria 4 - Floor]]</f>
        <v>8</v>
      </c>
      <c r="H180" s="20"/>
      <c r="I180" s="21"/>
      <c r="J180" s="21"/>
      <c r="K180" s="101"/>
    </row>
    <row r="181" spans="1:11">
      <c r="A181" s="24">
        <v>180</v>
      </c>
      <c r="B181" s="20" t="str">
        <f>scopus[[#This Row],[Title]]</f>
        <v>FLEXURAL BEHAVIOR OF PROPOSED STEEL-TIMBER-CONCRETE COMPOSITE FLOOR SYSTEMS FOR MID-TO-HIGH-RISE BUILDINGS</v>
      </c>
      <c r="C181" s="99">
        <v>2</v>
      </c>
      <c r="D181" s="99">
        <v>5</v>
      </c>
      <c r="E181" s="99">
        <v>1</v>
      </c>
      <c r="F181" s="99">
        <v>0</v>
      </c>
      <c r="G181" s="21">
        <f>Table3[[#This Row],[Criteria 1 - Cross-Laminated-Timber]]+Table3[[#This Row],[Criteria 2 - Sustainability]]+Table3[[#This Row],[Criteria 3 - Concrete]]+Table3[[#This Row],[Criteria 4 - Floor]]</f>
        <v>8</v>
      </c>
      <c r="H181" s="20"/>
      <c r="I181" s="21"/>
      <c r="J181" s="21"/>
      <c r="K181" s="99"/>
    </row>
    <row r="182" spans="1:11">
      <c r="A182" s="24">
        <v>181</v>
      </c>
      <c r="B182" s="20" t="str">
        <f>scopus[[#This Row],[Title]]</f>
        <v>Moisture and mould growth risk of cross-laminated timber basement walls: Laboratory and field investigation</v>
      </c>
      <c r="C182" s="101">
        <v>3</v>
      </c>
      <c r="D182" s="101">
        <v>2</v>
      </c>
      <c r="E182" s="101">
        <v>2</v>
      </c>
      <c r="F182" s="101">
        <v>1</v>
      </c>
      <c r="G182" s="21">
        <f>Table3[[#This Row],[Criteria 1 - Cross-Laminated-Timber]]+Table3[[#This Row],[Criteria 2 - Sustainability]]+Table3[[#This Row],[Criteria 3 - Concrete]]+Table3[[#This Row],[Criteria 4 - Floor]]</f>
        <v>8</v>
      </c>
      <c r="H182" s="20"/>
      <c r="I182" s="21"/>
      <c r="J182" s="21"/>
      <c r="K182" s="101"/>
    </row>
    <row r="183" spans="1:11">
      <c r="A183" s="24">
        <v>182</v>
      </c>
      <c r="B183" s="20" t="str">
        <f>scopus[[#This Row],[Title]]</f>
        <v>Structural design and analysis of high-rise building using ultra lightweight floor system</v>
      </c>
      <c r="C183" s="99">
        <v>3</v>
      </c>
      <c r="D183" s="99">
        <v>3</v>
      </c>
      <c r="E183" s="99">
        <v>2</v>
      </c>
      <c r="F183" s="99">
        <v>0</v>
      </c>
      <c r="G183" s="21">
        <f>Table3[[#This Row],[Criteria 1 - Cross-Laminated-Timber]]+Table3[[#This Row],[Criteria 2 - Sustainability]]+Table3[[#This Row],[Criteria 3 - Concrete]]+Table3[[#This Row],[Criteria 4 - Floor]]</f>
        <v>8</v>
      </c>
      <c r="H183" s="20"/>
      <c r="I183" s="21"/>
      <c r="J183" s="21"/>
      <c r="K183" s="99"/>
    </row>
    <row r="184" spans="1:11" ht="26">
      <c r="A184" s="24">
        <v>183</v>
      </c>
      <c r="B184" s="20" t="str">
        <f>scopus[[#This Row],[Title]]</f>
        <v>EXPERIMENTAL AND NUMERICAL ASSESSMENTS OF A LONG-SPAN MASS TIMBER FLOOR SYSTEMS SUBJECTED TO FOOT-FALL INDUCED VIBRATION</v>
      </c>
      <c r="C184" s="101">
        <v>4</v>
      </c>
      <c r="D184" s="101">
        <v>3</v>
      </c>
      <c r="E184" s="101">
        <v>1</v>
      </c>
      <c r="F184" s="101">
        <v>0</v>
      </c>
      <c r="G184" s="21">
        <f>Table3[[#This Row],[Criteria 1 - Cross-Laminated-Timber]]+Table3[[#This Row],[Criteria 2 - Sustainability]]+Table3[[#This Row],[Criteria 3 - Concrete]]+Table3[[#This Row],[Criteria 4 - Floor]]</f>
        <v>8</v>
      </c>
      <c r="H184" s="20"/>
      <c r="I184" s="21"/>
      <c r="J184" s="21"/>
      <c r="K184" s="101"/>
    </row>
    <row r="185" spans="1:11">
      <c r="A185" s="24">
        <v>184</v>
      </c>
      <c r="B185" s="20" t="str">
        <f>scopus[[#This Row],[Title]]</f>
        <v>Shear Performances of Shallow Notch-Screw Connections for Timber-Concrete Composite (TCC) Floors</v>
      </c>
      <c r="C185" s="99">
        <v>5</v>
      </c>
      <c r="D185" s="99">
        <v>2</v>
      </c>
      <c r="E185" s="99">
        <v>1</v>
      </c>
      <c r="F185" s="99">
        <v>0</v>
      </c>
      <c r="G185" s="21">
        <f>Table3[[#This Row],[Criteria 1 - Cross-Laminated-Timber]]+Table3[[#This Row],[Criteria 2 - Sustainability]]+Table3[[#This Row],[Criteria 3 - Concrete]]+Table3[[#This Row],[Criteria 4 - Floor]]</f>
        <v>8</v>
      </c>
      <c r="H185" s="20"/>
      <c r="I185" s="21"/>
      <c r="J185" s="21"/>
      <c r="K185" s="99"/>
    </row>
    <row r="186" spans="1:11">
      <c r="A186" s="24">
        <v>185</v>
      </c>
      <c r="B186" s="20" t="str">
        <f>scopus[[#This Row],[Title]]</f>
        <v>Vibration Assessment and Numerical Modelling of Mass Timber Composite Floors: Insights From an Experimental-Numerical Campaign</v>
      </c>
      <c r="C186" s="101">
        <v>5</v>
      </c>
      <c r="D186" s="101">
        <v>1</v>
      </c>
      <c r="E186" s="101">
        <v>1</v>
      </c>
      <c r="F186" s="101">
        <v>1</v>
      </c>
      <c r="G186" s="21">
        <f>Table3[[#This Row],[Criteria 1 - Cross-Laminated-Timber]]+Table3[[#This Row],[Criteria 2 - Sustainability]]+Table3[[#This Row],[Criteria 3 - Concrete]]+Table3[[#This Row],[Criteria 4 - Floor]]</f>
        <v>8</v>
      </c>
      <c r="H186" s="20"/>
      <c r="I186" s="21"/>
      <c r="J186" s="21"/>
      <c r="K186" s="101"/>
    </row>
    <row r="187" spans="1:11">
      <c r="A187" s="24">
        <v>186</v>
      </c>
      <c r="B187" s="20" t="str">
        <f>scopus[[#This Row],[Title]]</f>
        <v>Structural design analysis of hybrid multi-rise buildings, with CLT and LGS light weight floor system, at Neom-The Line</v>
      </c>
      <c r="C187" s="99">
        <v>2</v>
      </c>
      <c r="D187" s="99">
        <v>3</v>
      </c>
      <c r="E187" s="99">
        <v>2</v>
      </c>
      <c r="F187" s="99">
        <v>1</v>
      </c>
      <c r="G187" s="21">
        <f>Table3[[#This Row],[Criteria 1 - Cross-Laminated-Timber]]+Table3[[#This Row],[Criteria 2 - Sustainability]]+Table3[[#This Row],[Criteria 3 - Concrete]]+Table3[[#This Row],[Criteria 4 - Floor]]</f>
        <v>8</v>
      </c>
      <c r="H187" s="20"/>
      <c r="I187" s="21"/>
      <c r="J187" s="21"/>
      <c r="K187" s="99"/>
    </row>
    <row r="188" spans="1:11">
      <c r="A188" s="24">
        <v>187</v>
      </c>
      <c r="B188" s="20" t="str">
        <f>scopus[[#This Row],[Title]]</f>
        <v>A numerical modelling framework for vibration assessment of timber composite floors in mass timber buildings</v>
      </c>
      <c r="C188" s="101">
        <v>5</v>
      </c>
      <c r="D188" s="101">
        <v>2</v>
      </c>
      <c r="E188" s="101">
        <v>1</v>
      </c>
      <c r="F188" s="101">
        <v>0</v>
      </c>
      <c r="G188" s="21">
        <f>Table3[[#This Row],[Criteria 1 - Cross-Laminated-Timber]]+Table3[[#This Row],[Criteria 2 - Sustainability]]+Table3[[#This Row],[Criteria 3 - Concrete]]+Table3[[#This Row],[Criteria 4 - Floor]]</f>
        <v>8</v>
      </c>
      <c r="H188" s="20"/>
      <c r="I188" s="21"/>
      <c r="J188" s="21"/>
      <c r="K188" s="101"/>
    </row>
    <row r="189" spans="1:11">
      <c r="A189" s="24">
        <v>188</v>
      </c>
      <c r="B189" s="20" t="str">
        <f>scopus[[#This Row],[Title]]</f>
        <v>Modelling of Multi-Storey Cross-Laminated Timber Buildings for Vibration Serviceability</v>
      </c>
      <c r="C189" s="99">
        <v>4</v>
      </c>
      <c r="D189" s="99">
        <v>2</v>
      </c>
      <c r="E189" s="99">
        <v>2</v>
      </c>
      <c r="F189" s="99">
        <v>0</v>
      </c>
      <c r="G189" s="21">
        <f>Table3[[#This Row],[Criteria 1 - Cross-Laminated-Timber]]+Table3[[#This Row],[Criteria 2 - Sustainability]]+Table3[[#This Row],[Criteria 3 - Concrete]]+Table3[[#This Row],[Criteria 4 - Floor]]</f>
        <v>8</v>
      </c>
      <c r="H189" s="20"/>
      <c r="I189" s="21"/>
      <c r="J189" s="21"/>
      <c r="K189" s="99"/>
    </row>
    <row r="190" spans="1:11">
      <c r="A190" s="24">
        <v>189</v>
      </c>
      <c r="B190" s="20" t="str">
        <f>scopus[[#This Row],[Title]]</f>
        <v>CLT concrete composite floors with steel kerf plate connectors</v>
      </c>
      <c r="C190" s="101">
        <v>5</v>
      </c>
      <c r="D190" s="101">
        <v>2</v>
      </c>
      <c r="E190" s="101">
        <v>1</v>
      </c>
      <c r="F190" s="101">
        <v>0</v>
      </c>
      <c r="G190" s="21">
        <f>Table3[[#This Row],[Criteria 1 - Cross-Laminated-Timber]]+Table3[[#This Row],[Criteria 2 - Sustainability]]+Table3[[#This Row],[Criteria 3 - Concrete]]+Table3[[#This Row],[Criteria 4 - Floor]]</f>
        <v>8</v>
      </c>
      <c r="H190" s="20"/>
      <c r="I190" s="21"/>
      <c r="J190" s="21"/>
      <c r="K190" s="101"/>
    </row>
    <row r="191" spans="1:11">
      <c r="A191" s="24">
        <v>190</v>
      </c>
      <c r="B191" s="20" t="str">
        <f>scopus[[#This Row],[Title]]</f>
        <v>Mechanical performance of CLT-concrete notched connector by shear tests</v>
      </c>
      <c r="C191" s="99">
        <v>1</v>
      </c>
      <c r="D191" s="99">
        <v>4</v>
      </c>
      <c r="E191" s="99">
        <v>2</v>
      </c>
      <c r="F191" s="99">
        <v>0</v>
      </c>
      <c r="G191" s="21">
        <f>Table3[[#This Row],[Criteria 1 - Cross-Laminated-Timber]]+Table3[[#This Row],[Criteria 2 - Sustainability]]+Table3[[#This Row],[Criteria 3 - Concrete]]+Table3[[#This Row],[Criteria 4 - Floor]]</f>
        <v>7</v>
      </c>
      <c r="H191" s="20"/>
      <c r="I191" s="21"/>
      <c r="J191" s="21"/>
      <c r="K191" s="99"/>
    </row>
    <row r="192" spans="1:11">
      <c r="A192" s="24">
        <v>191</v>
      </c>
      <c r="B192" s="20" t="str">
        <f>scopus[[#This Row],[Title]]</f>
        <v>Case study: Haut - A 21-storey tall timber residential building</v>
      </c>
      <c r="C192" s="101">
        <v>5</v>
      </c>
      <c r="D192" s="101">
        <v>1</v>
      </c>
      <c r="E192" s="101">
        <v>1</v>
      </c>
      <c r="F192" s="101">
        <v>0</v>
      </c>
      <c r="G192" s="21">
        <f>Table3[[#This Row],[Criteria 1 - Cross-Laminated-Timber]]+Table3[[#This Row],[Criteria 2 - Sustainability]]+Table3[[#This Row],[Criteria 3 - Concrete]]+Table3[[#This Row],[Criteria 4 - Floor]]</f>
        <v>7</v>
      </c>
      <c r="H192" s="20"/>
      <c r="I192" s="21"/>
      <c r="J192" s="21"/>
      <c r="K192" s="101"/>
    </row>
    <row r="193" spans="1:11">
      <c r="A193" s="24">
        <v>192</v>
      </c>
      <c r="B193" s="20" t="str">
        <f>scopus[[#This Row],[Title]]</f>
        <v>Vibration behaviour of low-frequency CLT floor systems: Influence of intermediate supports and panel-to-panel connections</v>
      </c>
      <c r="C193" s="99">
        <v>4</v>
      </c>
      <c r="D193" s="99">
        <v>3</v>
      </c>
      <c r="E193" s="99">
        <v>0</v>
      </c>
      <c r="F193" s="99">
        <v>0</v>
      </c>
      <c r="G193" s="21">
        <f>Table3[[#This Row],[Criteria 1 - Cross-Laminated-Timber]]+Table3[[#This Row],[Criteria 2 - Sustainability]]+Table3[[#This Row],[Criteria 3 - Concrete]]+Table3[[#This Row],[Criteria 4 - Floor]]</f>
        <v>7</v>
      </c>
      <c r="H193" s="20"/>
      <c r="I193" s="21"/>
      <c r="J193" s="21"/>
      <c r="K193" s="99"/>
    </row>
    <row r="194" spans="1:11">
      <c r="A194" s="24">
        <v>193</v>
      </c>
      <c r="B194" s="20" t="str">
        <f>scopus[[#This Row],[Title]]</f>
        <v>Cross-Laminated Timber for Single-Family Residential Construction: Comparative Cost Study</v>
      </c>
      <c r="C194" s="101">
        <v>5</v>
      </c>
      <c r="D194" s="101">
        <v>1</v>
      </c>
      <c r="E194" s="101">
        <v>1</v>
      </c>
      <c r="F194" s="101">
        <v>0</v>
      </c>
      <c r="G194" s="21">
        <f>Table3[[#This Row],[Criteria 1 - Cross-Laminated-Timber]]+Table3[[#This Row],[Criteria 2 - Sustainability]]+Table3[[#This Row],[Criteria 3 - Concrete]]+Table3[[#This Row],[Criteria 4 - Floor]]</f>
        <v>7</v>
      </c>
      <c r="H194" s="20"/>
      <c r="I194" s="21"/>
      <c r="J194" s="21"/>
      <c r="K194" s="101"/>
    </row>
    <row r="195" spans="1:11">
      <c r="A195" s="24">
        <v>194</v>
      </c>
      <c r="B195" s="20" t="str">
        <f>scopus[[#This Row],[Title]]</f>
        <v>Performance of notched connectors for CLT-concrete composite floors</v>
      </c>
      <c r="C195" s="99">
        <v>2</v>
      </c>
      <c r="D195" s="99">
        <v>3</v>
      </c>
      <c r="E195" s="99">
        <v>1</v>
      </c>
      <c r="F195" s="99">
        <v>1</v>
      </c>
      <c r="G195" s="21">
        <f>Table3[[#This Row],[Criteria 1 - Cross-Laminated-Timber]]+Table3[[#This Row],[Criteria 2 - Sustainability]]+Table3[[#This Row],[Criteria 3 - Concrete]]+Table3[[#This Row],[Criteria 4 - Floor]]</f>
        <v>7</v>
      </c>
      <c r="H195" s="20"/>
      <c r="I195" s="21"/>
      <c r="J195" s="21"/>
      <c r="K195" s="99"/>
    </row>
    <row r="196" spans="1:11">
      <c r="A196" s="24">
        <v>195</v>
      </c>
      <c r="B196" s="20" t="str">
        <f>scopus[[#This Row],[Title]]</f>
        <v>Characterisation of the rigid diaphragm conditions for cross laminated timber floors</v>
      </c>
      <c r="C196" s="101">
        <v>4</v>
      </c>
      <c r="D196" s="101">
        <v>3</v>
      </c>
      <c r="E196" s="101">
        <v>0</v>
      </c>
      <c r="F196" s="101">
        <v>0</v>
      </c>
      <c r="G196" s="21">
        <f>Table3[[#This Row],[Criteria 1 - Cross-Laminated-Timber]]+Table3[[#This Row],[Criteria 2 - Sustainability]]+Table3[[#This Row],[Criteria 3 - Concrete]]+Table3[[#This Row],[Criteria 4 - Floor]]</f>
        <v>7</v>
      </c>
      <c r="H196" s="20"/>
      <c r="I196" s="21"/>
      <c r="J196" s="21"/>
      <c r="K196" s="101"/>
    </row>
    <row r="197" spans="1:11">
      <c r="A197" s="24">
        <v>196</v>
      </c>
      <c r="B197" s="20" t="str">
        <f>scopus[[#This Row],[Title]]</f>
        <v>Performance of CLT-concrete composite slabs made with South African Timber</v>
      </c>
      <c r="C197" s="99">
        <v>3</v>
      </c>
      <c r="D197" s="99">
        <v>3</v>
      </c>
      <c r="E197" s="99">
        <v>1</v>
      </c>
      <c r="F197" s="99">
        <v>0</v>
      </c>
      <c r="G197" s="21">
        <f>Table3[[#This Row],[Criteria 1 - Cross-Laminated-Timber]]+Table3[[#This Row],[Criteria 2 - Sustainability]]+Table3[[#This Row],[Criteria 3 - Concrete]]+Table3[[#This Row],[Criteria 4 - Floor]]</f>
        <v>7</v>
      </c>
      <c r="H197" s="20"/>
      <c r="I197" s="21"/>
      <c r="J197" s="21"/>
      <c r="K197" s="99"/>
    </row>
    <row r="198" spans="1:11">
      <c r="A198" s="24">
        <v>197</v>
      </c>
      <c r="B198" s="20" t="str">
        <f>scopus[[#This Row],[Title]]</f>
        <v>Experimental study on the impact sound insulation of cross laminated timber and timber-concrete composite floors</v>
      </c>
      <c r="C198" s="101">
        <v>4</v>
      </c>
      <c r="D198" s="101">
        <v>2</v>
      </c>
      <c r="E198" s="101">
        <v>1</v>
      </c>
      <c r="F198" s="101">
        <v>0</v>
      </c>
      <c r="G198" s="21">
        <f>Table3[[#This Row],[Criteria 1 - Cross-Laminated-Timber]]+Table3[[#This Row],[Criteria 2 - Sustainability]]+Table3[[#This Row],[Criteria 3 - Concrete]]+Table3[[#This Row],[Criteria 4 - Floor]]</f>
        <v>7</v>
      </c>
      <c r="H198" s="20"/>
      <c r="I198" s="21"/>
      <c r="J198" s="21"/>
      <c r="K198" s="101"/>
    </row>
    <row r="199" spans="1:11">
      <c r="A199" s="24">
        <v>198</v>
      </c>
      <c r="B199" s="20" t="str">
        <f>scopus[[#This Row],[Title]]</f>
        <v>Steel-Timber Composite Beam-to-Column Connections with Shear Tab</v>
      </c>
      <c r="C199" s="99">
        <v>4</v>
      </c>
      <c r="D199" s="99">
        <v>2</v>
      </c>
      <c r="E199" s="99">
        <v>1</v>
      </c>
      <c r="F199" s="99">
        <v>0</v>
      </c>
      <c r="G199" s="21">
        <f>Table3[[#This Row],[Criteria 1 - Cross-Laminated-Timber]]+Table3[[#This Row],[Criteria 2 - Sustainability]]+Table3[[#This Row],[Criteria 3 - Concrete]]+Table3[[#This Row],[Criteria 4 - Floor]]</f>
        <v>7</v>
      </c>
      <c r="H199" s="20"/>
      <c r="I199" s="21"/>
      <c r="J199" s="21"/>
      <c r="K199" s="99"/>
    </row>
    <row r="200" spans="1:11" ht="26">
      <c r="A200" s="24">
        <v>199</v>
      </c>
      <c r="B200" s="20" t="str">
        <f>scopus[[#This Row],[Title]]</f>
        <v>COMPARATIVE APPROACH IN THE DIMENSIONING AND THE THEORETICAL AND NUMERICAL STUDY OF COMPOSITE BEAMS, STEEL-CONCRETE AND STEEL-WOOD (CLT FLOOR)</v>
      </c>
      <c r="C200" s="101">
        <v>2</v>
      </c>
      <c r="D200" s="101">
        <v>2</v>
      </c>
      <c r="E200" s="101">
        <v>3</v>
      </c>
      <c r="F200" s="101">
        <v>0</v>
      </c>
      <c r="G200" s="21">
        <f>Table3[[#This Row],[Criteria 1 - Cross-Laminated-Timber]]+Table3[[#This Row],[Criteria 2 - Sustainability]]+Table3[[#This Row],[Criteria 3 - Concrete]]+Table3[[#This Row],[Criteria 4 - Floor]]</f>
        <v>7</v>
      </c>
      <c r="H200" s="20"/>
      <c r="I200" s="21"/>
      <c r="J200" s="21"/>
      <c r="K200" s="101"/>
    </row>
    <row r="201" spans="1:11">
      <c r="A201" s="24">
        <v>200</v>
      </c>
      <c r="B201" s="20" t="str">
        <f>scopus[[#This Row],[Title]]</f>
        <v>Mechanical properties of southern pine cross-laminated timber</v>
      </c>
      <c r="C201" s="99">
        <v>4</v>
      </c>
      <c r="D201" s="99">
        <v>1</v>
      </c>
      <c r="E201" s="99">
        <v>1</v>
      </c>
      <c r="F201" s="99">
        <v>1</v>
      </c>
      <c r="G201" s="21">
        <f>Table3[[#This Row],[Criteria 1 - Cross-Laminated-Timber]]+Table3[[#This Row],[Criteria 2 - Sustainability]]+Table3[[#This Row],[Criteria 3 - Concrete]]+Table3[[#This Row],[Criteria 4 - Floor]]</f>
        <v>7</v>
      </c>
      <c r="H201" s="20"/>
      <c r="I201" s="21"/>
      <c r="J201" s="21"/>
      <c r="K201" s="99"/>
    </row>
    <row r="202" spans="1:11">
      <c r="A202" s="24">
        <v>201</v>
      </c>
      <c r="B202" s="20" t="str">
        <f>scopus[[#This Row],[Title]]</f>
        <v>Monitoring timber moisture content in timber-concrete hybrid construction: St Lukes Health Insurance mid-rise office building</v>
      </c>
      <c r="C202" s="101">
        <v>4</v>
      </c>
      <c r="D202" s="101">
        <v>2</v>
      </c>
      <c r="E202" s="101">
        <v>1</v>
      </c>
      <c r="F202" s="101">
        <v>0</v>
      </c>
      <c r="G202" s="21">
        <f>Table3[[#This Row],[Criteria 1 - Cross-Laminated-Timber]]+Table3[[#This Row],[Criteria 2 - Sustainability]]+Table3[[#This Row],[Criteria 3 - Concrete]]+Table3[[#This Row],[Criteria 4 - Floor]]</f>
        <v>7</v>
      </c>
      <c r="H202" s="20"/>
      <c r="I202" s="21"/>
      <c r="J202" s="21"/>
      <c r="K202" s="101"/>
    </row>
    <row r="203" spans="1:11" ht="26">
      <c r="A203" s="24">
        <v>202</v>
      </c>
      <c r="B203" s="20" t="str">
        <f>scopus[[#This Row],[Title]]</f>
        <v>Evaluation of floor impact sound and airborne sound insulation performance of cross laminated timber slabs and their toppings; [구조용 직교 집성판 슬래브와 상부 토핑 조건에 따른 바닥충격음 및 공기전달음 평가]</v>
      </c>
      <c r="C203" s="99">
        <v>4</v>
      </c>
      <c r="D203" s="99">
        <v>2</v>
      </c>
      <c r="E203" s="99">
        <v>1</v>
      </c>
      <c r="F203" s="99">
        <v>0</v>
      </c>
      <c r="G203" s="21">
        <f>Table3[[#This Row],[Criteria 1 - Cross-Laminated-Timber]]+Table3[[#This Row],[Criteria 2 - Sustainability]]+Table3[[#This Row],[Criteria 3 - Concrete]]+Table3[[#This Row],[Criteria 4 - Floor]]</f>
        <v>7</v>
      </c>
      <c r="H203" s="20"/>
      <c r="I203" s="21"/>
      <c r="J203" s="21"/>
      <c r="K203" s="99"/>
    </row>
    <row r="204" spans="1:11" ht="26">
      <c r="A204" s="24">
        <v>203</v>
      </c>
      <c r="B204" s="20" t="str">
        <f>scopus[[#This Row],[Title]]</f>
        <v>Study on tensile performance of connections of CLT-concrete composite floor after fire exposure; [正交胶合木-混凝土组合楼板连接节点 受火后受拉性能研究]</v>
      </c>
      <c r="C204" s="101">
        <v>4</v>
      </c>
      <c r="D204" s="101">
        <v>2</v>
      </c>
      <c r="E204" s="101">
        <v>1</v>
      </c>
      <c r="F204" s="101">
        <v>0</v>
      </c>
      <c r="G204" s="21">
        <f>Table3[[#This Row],[Criteria 1 - Cross-Laminated-Timber]]+Table3[[#This Row],[Criteria 2 - Sustainability]]+Table3[[#This Row],[Criteria 3 - Concrete]]+Table3[[#This Row],[Criteria 4 - Floor]]</f>
        <v>7</v>
      </c>
      <c r="H204" s="20"/>
      <c r="I204" s="21"/>
      <c r="J204" s="21"/>
      <c r="K204" s="101"/>
    </row>
    <row r="205" spans="1:11">
      <c r="A205" s="24">
        <v>204</v>
      </c>
      <c r="B205" s="20" t="str">
        <f>scopus[[#This Row],[Title]]</f>
        <v>Evaluating Laboratory Measurements for Sound Insulation of Cross-Laminated Timber (CLT) Floors: Configurations in Lightweight Buildings</v>
      </c>
      <c r="C205" s="99">
        <v>3</v>
      </c>
      <c r="D205" s="99">
        <v>3</v>
      </c>
      <c r="E205" s="99">
        <v>1</v>
      </c>
      <c r="F205" s="99">
        <v>0</v>
      </c>
      <c r="G205" s="21">
        <f>Table3[[#This Row],[Criteria 1 - Cross-Laminated-Timber]]+Table3[[#This Row],[Criteria 2 - Sustainability]]+Table3[[#This Row],[Criteria 3 - Concrete]]+Table3[[#This Row],[Criteria 4 - Floor]]</f>
        <v>7</v>
      </c>
      <c r="H205" s="20"/>
      <c r="I205" s="21"/>
      <c r="J205" s="21"/>
      <c r="K205" s="99"/>
    </row>
    <row r="206" spans="1:11">
      <c r="A206" s="24">
        <v>205</v>
      </c>
      <c r="B206" s="20" t="str">
        <f>scopus[[#This Row],[Title]]</f>
        <v>DYNAMIC PERFORMANCE ASSESSMENT OF FULL-SCALE CLT AND CLT-CONCRETE COMPOSITE FLOORS</v>
      </c>
      <c r="C206" s="101">
        <v>3</v>
      </c>
      <c r="D206" s="101">
        <v>3</v>
      </c>
      <c r="E206" s="101">
        <v>1</v>
      </c>
      <c r="F206" s="101">
        <v>0</v>
      </c>
      <c r="G206" s="21">
        <f>Table3[[#This Row],[Criteria 1 - Cross-Laminated-Timber]]+Table3[[#This Row],[Criteria 2 - Sustainability]]+Table3[[#This Row],[Criteria 3 - Concrete]]+Table3[[#This Row],[Criteria 4 - Floor]]</f>
        <v>7</v>
      </c>
      <c r="H206" s="20"/>
      <c r="I206" s="21"/>
      <c r="J206" s="21"/>
      <c r="K206" s="101"/>
    </row>
    <row r="207" spans="1:11" ht="39">
      <c r="A207" s="24">
        <v>206</v>
      </c>
      <c r="B207" s="20" t="str">
        <f>scopus[[#This Row],[Title]]</f>
        <v>Study of the improvement of impact noise insulation of mixed construction solutions CLT / concrete + end-of-life tyres in small-sized test specimens; [Estudio de la mejora de aislamiento a ruido de impacto de soluciones constructivas mixtas CLT / hormigón + neumático fuera de uso en probetas de tamaño reducido]</v>
      </c>
      <c r="C207" s="99">
        <v>2</v>
      </c>
      <c r="D207" s="99">
        <v>2</v>
      </c>
      <c r="E207" s="99">
        <v>2</v>
      </c>
      <c r="F207" s="99">
        <v>1</v>
      </c>
      <c r="G207" s="21">
        <f>Table3[[#This Row],[Criteria 1 - Cross-Laminated-Timber]]+Table3[[#This Row],[Criteria 2 - Sustainability]]+Table3[[#This Row],[Criteria 3 - Concrete]]+Table3[[#This Row],[Criteria 4 - Floor]]</f>
        <v>7</v>
      </c>
      <c r="H207" s="20"/>
      <c r="I207" s="21"/>
      <c r="J207" s="21"/>
      <c r="K207" s="99"/>
    </row>
    <row r="208" spans="1:11">
      <c r="A208" s="24">
        <v>207</v>
      </c>
      <c r="B208" s="20" t="str">
        <f>scopus[[#This Row],[Title]]</f>
        <v>Experimental Investigations of Full-Scale Cross-Laminated Timber Concrete Composite Floors</v>
      </c>
      <c r="C208" s="101">
        <v>3</v>
      </c>
      <c r="D208" s="101">
        <v>3</v>
      </c>
      <c r="E208" s="101">
        <v>1</v>
      </c>
      <c r="F208" s="101">
        <v>0</v>
      </c>
      <c r="G208" s="21">
        <f>Table3[[#This Row],[Criteria 1 - Cross-Laminated-Timber]]+Table3[[#This Row],[Criteria 2 - Sustainability]]+Table3[[#This Row],[Criteria 3 - Concrete]]+Table3[[#This Row],[Criteria 4 - Floor]]</f>
        <v>7</v>
      </c>
      <c r="H208" s="20"/>
      <c r="I208" s="21"/>
      <c r="J208" s="21"/>
      <c r="K208" s="101"/>
    </row>
    <row r="209" spans="1:11">
      <c r="A209" s="24">
        <v>208</v>
      </c>
      <c r="B209" s="20" t="str">
        <f>scopus[[#This Row],[Title]]</f>
        <v>Timber awakening in America</v>
      </c>
      <c r="C209" s="99">
        <v>3</v>
      </c>
      <c r="D209" s="99">
        <v>1</v>
      </c>
      <c r="E209" s="99">
        <v>2</v>
      </c>
      <c r="F209" s="99">
        <v>1</v>
      </c>
      <c r="G209" s="21">
        <f>Table3[[#This Row],[Criteria 1 - Cross-Laminated-Timber]]+Table3[[#This Row],[Criteria 2 - Sustainability]]+Table3[[#This Row],[Criteria 3 - Concrete]]+Table3[[#This Row],[Criteria 4 - Floor]]</f>
        <v>7</v>
      </c>
      <c r="H209" s="20"/>
      <c r="I209" s="21"/>
      <c r="J209" s="21"/>
      <c r="K209" s="99"/>
    </row>
    <row r="210" spans="1:11">
      <c r="A210" s="24">
        <v>209</v>
      </c>
      <c r="B210" s="20" t="str">
        <f>scopus[[#This Row],[Title]]</f>
        <v>Structure: Timber</v>
      </c>
      <c r="C210" s="101">
        <v>5</v>
      </c>
      <c r="D210" s="101">
        <v>1</v>
      </c>
      <c r="E210" s="101">
        <v>1</v>
      </c>
      <c r="F210" s="101">
        <v>0</v>
      </c>
      <c r="G210" s="21">
        <f>Table3[[#This Row],[Criteria 1 - Cross-Laminated-Timber]]+Table3[[#This Row],[Criteria 2 - Sustainability]]+Table3[[#This Row],[Criteria 3 - Concrete]]+Table3[[#This Row],[Criteria 4 - Floor]]</f>
        <v>7</v>
      </c>
      <c r="H210" s="20"/>
      <c r="I210" s="21"/>
      <c r="J210" s="21"/>
      <c r="K210" s="101"/>
    </row>
    <row r="211" spans="1:11">
      <c r="A211" s="24">
        <v>210</v>
      </c>
      <c r="B211" s="20" t="str">
        <f>scopus[[#This Row],[Title]]</f>
        <v>Structural performance of adhesively bonded and hybrid screw-adhesive CLT panel-to-panel floor joints</v>
      </c>
      <c r="C211" s="99">
        <v>5</v>
      </c>
      <c r="D211" s="99">
        <v>2</v>
      </c>
      <c r="E211" s="99">
        <v>0</v>
      </c>
      <c r="F211" s="99">
        <v>0</v>
      </c>
      <c r="G211" s="21">
        <f>Table3[[#This Row],[Criteria 1 - Cross-Laminated-Timber]]+Table3[[#This Row],[Criteria 2 - Sustainability]]+Table3[[#This Row],[Criteria 3 - Concrete]]+Table3[[#This Row],[Criteria 4 - Floor]]</f>
        <v>7</v>
      </c>
      <c r="H211" s="20"/>
      <c r="I211" s="21"/>
      <c r="J211" s="21"/>
      <c r="K211" s="99"/>
    </row>
    <row r="212" spans="1:11">
      <c r="A212" s="24">
        <v>211</v>
      </c>
      <c r="B212" s="20" t="str">
        <f>scopus[[#This Row],[Title]]</f>
        <v>Vibration reduction in cross-laminated timber panels by using individual concrete lamellae</v>
      </c>
      <c r="C212" s="101">
        <v>5</v>
      </c>
      <c r="D212" s="101">
        <v>1</v>
      </c>
      <c r="E212" s="101">
        <v>1</v>
      </c>
      <c r="F212" s="101">
        <v>0</v>
      </c>
      <c r="G212" s="21">
        <f>Table3[[#This Row],[Criteria 1 - Cross-Laminated-Timber]]+Table3[[#This Row],[Criteria 2 - Sustainability]]+Table3[[#This Row],[Criteria 3 - Concrete]]+Table3[[#This Row],[Criteria 4 - Floor]]</f>
        <v>7</v>
      </c>
      <c r="H212" s="20"/>
      <c r="I212" s="21"/>
      <c r="J212" s="21"/>
      <c r="K212" s="101"/>
    </row>
    <row r="213" spans="1:11">
      <c r="A213" s="24">
        <v>212</v>
      </c>
      <c r="B213" s="20" t="str">
        <f>scopus[[#This Row],[Title]]</f>
        <v>Structural health monitoring data collected during construction of a mass-timber building with a data platform for analysis</v>
      </c>
      <c r="C213" s="99">
        <v>5</v>
      </c>
      <c r="D213" s="99">
        <v>1</v>
      </c>
      <c r="E213" s="99">
        <v>1</v>
      </c>
      <c r="F213" s="99">
        <v>0</v>
      </c>
      <c r="G213" s="21">
        <f>Table3[[#This Row],[Criteria 1 - Cross-Laminated-Timber]]+Table3[[#This Row],[Criteria 2 - Sustainability]]+Table3[[#This Row],[Criteria 3 - Concrete]]+Table3[[#This Row],[Criteria 4 - Floor]]</f>
        <v>7</v>
      </c>
      <c r="H213" s="20"/>
      <c r="I213" s="21"/>
      <c r="J213" s="21"/>
      <c r="K213" s="99"/>
    </row>
    <row r="214" spans="1:11">
      <c r="A214" s="24">
        <v>213</v>
      </c>
      <c r="B214" s="20" t="str">
        <f>scopus[[#This Row],[Title]]</f>
        <v>Axial compressive behavior of FRP-confined laminated timber columns</v>
      </c>
      <c r="C214" s="101">
        <v>3</v>
      </c>
      <c r="D214" s="101">
        <v>2</v>
      </c>
      <c r="E214" s="101">
        <v>1</v>
      </c>
      <c r="F214" s="101">
        <v>1</v>
      </c>
      <c r="G214" s="21">
        <f>Table3[[#This Row],[Criteria 1 - Cross-Laminated-Timber]]+Table3[[#This Row],[Criteria 2 - Sustainability]]+Table3[[#This Row],[Criteria 3 - Concrete]]+Table3[[#This Row],[Criteria 4 - Floor]]</f>
        <v>7</v>
      </c>
      <c r="H214" s="20"/>
      <c r="I214" s="21"/>
      <c r="J214" s="21"/>
      <c r="K214" s="101"/>
    </row>
    <row r="215" spans="1:11">
      <c r="A215" s="24">
        <v>214</v>
      </c>
      <c r="B215" s="20" t="str">
        <f>scopus[[#This Row],[Title]]</f>
        <v>Development of Creep Deformations during Service Life: A Comparison of CLT and TCC Floor Constructions</v>
      </c>
      <c r="C215" s="99">
        <v>2</v>
      </c>
      <c r="D215" s="99">
        <v>3</v>
      </c>
      <c r="E215" s="99">
        <v>2</v>
      </c>
      <c r="F215" s="99">
        <v>0</v>
      </c>
      <c r="G215" s="21">
        <f>Table3[[#This Row],[Criteria 1 - Cross-Laminated-Timber]]+Table3[[#This Row],[Criteria 2 - Sustainability]]+Table3[[#This Row],[Criteria 3 - Concrete]]+Table3[[#This Row],[Criteria 4 - Floor]]</f>
        <v>7</v>
      </c>
      <c r="H215" s="20"/>
      <c r="I215" s="21"/>
      <c r="J215" s="21"/>
      <c r="K215" s="99"/>
    </row>
    <row r="216" spans="1:11">
      <c r="A216" s="24">
        <v>215</v>
      </c>
      <c r="B216" s="20" t="str">
        <f>scopus[[#This Row],[Title]]</f>
        <v>Floor impact sound insulation of the six-story wood-frame model building</v>
      </c>
      <c r="C216" s="101">
        <v>4</v>
      </c>
      <c r="D216" s="101">
        <v>2</v>
      </c>
      <c r="E216" s="101">
        <v>1</v>
      </c>
      <c r="F216" s="101">
        <v>0</v>
      </c>
      <c r="G216" s="21">
        <f>Table3[[#This Row],[Criteria 1 - Cross-Laminated-Timber]]+Table3[[#This Row],[Criteria 2 - Sustainability]]+Table3[[#This Row],[Criteria 3 - Concrete]]+Table3[[#This Row],[Criteria 4 - Floor]]</f>
        <v>7</v>
      </c>
      <c r="H216" s="20"/>
      <c r="I216" s="21"/>
      <c r="J216" s="21"/>
      <c r="K216" s="101"/>
    </row>
    <row r="217" spans="1:11">
      <c r="A217" s="24">
        <v>216</v>
      </c>
      <c r="B217" s="20" t="str">
        <f>scopus[[#This Row],[Title]]</f>
        <v>Load test evaluation of FRP-strengthened structures</v>
      </c>
      <c r="C217" s="99">
        <v>1</v>
      </c>
      <c r="D217" s="99">
        <v>4</v>
      </c>
      <c r="E217" s="99">
        <v>2</v>
      </c>
      <c r="F217" s="99">
        <v>0</v>
      </c>
      <c r="G217" s="21">
        <f>Table3[[#This Row],[Criteria 1 - Cross-Laminated-Timber]]+Table3[[#This Row],[Criteria 2 - Sustainability]]+Table3[[#This Row],[Criteria 3 - Concrete]]+Table3[[#This Row],[Criteria 4 - Floor]]</f>
        <v>7</v>
      </c>
      <c r="H217" s="20"/>
      <c r="I217" s="21"/>
      <c r="J217" s="21"/>
      <c r="K217" s="99"/>
    </row>
    <row r="218" spans="1:11">
      <c r="A218" s="24">
        <v>217</v>
      </c>
      <c r="B218" s="20" t="str">
        <f>scopus[[#This Row],[Title]]</f>
        <v>Finansparken Bjergsted: An innovative timber-framed office building</v>
      </c>
      <c r="C218" s="101">
        <v>4</v>
      </c>
      <c r="D218" s="101">
        <v>1</v>
      </c>
      <c r="E218" s="101">
        <v>2</v>
      </c>
      <c r="F218" s="101">
        <v>0</v>
      </c>
      <c r="G218" s="21">
        <f>Table3[[#This Row],[Criteria 1 - Cross-Laminated-Timber]]+Table3[[#This Row],[Criteria 2 - Sustainability]]+Table3[[#This Row],[Criteria 3 - Concrete]]+Table3[[#This Row],[Criteria 4 - Floor]]</f>
        <v>7</v>
      </c>
      <c r="H218" s="20"/>
      <c r="I218" s="21"/>
      <c r="J218" s="21"/>
      <c r="K218" s="101"/>
    </row>
    <row r="219" spans="1:11">
      <c r="A219" s="24">
        <v>218</v>
      </c>
      <c r="B219" s="20" t="str">
        <f>scopus[[#This Row],[Title]]</f>
        <v>Mechanically jointed CLT panels for wall, floor and timber-concrete composite structures</v>
      </c>
      <c r="C219" s="99">
        <v>4</v>
      </c>
      <c r="D219" s="99">
        <v>2</v>
      </c>
      <c r="E219" s="99">
        <v>1</v>
      </c>
      <c r="F219" s="99">
        <v>0</v>
      </c>
      <c r="G219" s="21">
        <f>Table3[[#This Row],[Criteria 1 - Cross-Laminated-Timber]]+Table3[[#This Row],[Criteria 2 - Sustainability]]+Table3[[#This Row],[Criteria 3 - Concrete]]+Table3[[#This Row],[Criteria 4 - Floor]]</f>
        <v>7</v>
      </c>
      <c r="H219" s="20"/>
      <c r="I219" s="21"/>
      <c r="J219" s="21"/>
      <c r="K219" s="99"/>
    </row>
    <row r="220" spans="1:11">
      <c r="A220" s="24">
        <v>219</v>
      </c>
      <c r="B220" s="20" t="str">
        <f>scopus[[#This Row],[Title]]</f>
        <v>A multi-objective life cycle approach for optimal building design: A case study in Finnish context</v>
      </c>
      <c r="C220" s="101">
        <v>2</v>
      </c>
      <c r="D220" s="101">
        <v>1</v>
      </c>
      <c r="E220" s="101">
        <v>2</v>
      </c>
      <c r="F220" s="101">
        <v>2</v>
      </c>
      <c r="G220" s="21">
        <f>Table3[[#This Row],[Criteria 1 - Cross-Laminated-Timber]]+Table3[[#This Row],[Criteria 2 - Sustainability]]+Table3[[#This Row],[Criteria 3 - Concrete]]+Table3[[#This Row],[Criteria 4 - Floor]]</f>
        <v>7</v>
      </c>
      <c r="H220" s="20"/>
      <c r="I220" s="21"/>
      <c r="J220" s="21"/>
      <c r="K220" s="101"/>
    </row>
    <row r="221" spans="1:11">
      <c r="A221" s="24">
        <v>220</v>
      </c>
      <c r="B221" s="20" t="str">
        <f>scopus[[#This Row],[Title]]</f>
        <v>Field study on the sound insulation performance of a CLT residential building in a subtropical climate</v>
      </c>
      <c r="C221" s="99">
        <v>3</v>
      </c>
      <c r="D221" s="99">
        <v>2</v>
      </c>
      <c r="E221" s="99">
        <v>2</v>
      </c>
      <c r="F221" s="99">
        <v>0</v>
      </c>
      <c r="G221" s="21">
        <f>Table3[[#This Row],[Criteria 1 - Cross-Laminated-Timber]]+Table3[[#This Row],[Criteria 2 - Sustainability]]+Table3[[#This Row],[Criteria 3 - Concrete]]+Table3[[#This Row],[Criteria 4 - Floor]]</f>
        <v>7</v>
      </c>
      <c r="H221" s="20"/>
      <c r="I221" s="21"/>
      <c r="J221" s="21"/>
      <c r="K221" s="99"/>
    </row>
    <row r="222" spans="1:11">
      <c r="A222" s="24">
        <v>221</v>
      </c>
      <c r="B222" s="20" t="str">
        <f>scopus[[#This Row],[Title]]</f>
        <v>Shear slip behavior of composite cross laminated timber concrete panels with self-tapping screw anchors</v>
      </c>
      <c r="C222" s="101">
        <v>3</v>
      </c>
      <c r="D222" s="101">
        <v>2</v>
      </c>
      <c r="E222" s="101">
        <v>2</v>
      </c>
      <c r="F222" s="101">
        <v>0</v>
      </c>
      <c r="G222" s="21">
        <f>Table3[[#This Row],[Criteria 1 - Cross-Laminated-Timber]]+Table3[[#This Row],[Criteria 2 - Sustainability]]+Table3[[#This Row],[Criteria 3 - Concrete]]+Table3[[#This Row],[Criteria 4 - Floor]]</f>
        <v>7</v>
      </c>
      <c r="H222" s="20"/>
      <c r="I222" s="21"/>
      <c r="J222" s="21"/>
      <c r="K222" s="101"/>
    </row>
    <row r="223" spans="1:11">
      <c r="A223" s="24">
        <v>222</v>
      </c>
      <c r="B223" s="20" t="str">
        <f>scopus[[#This Row],[Title]]</f>
        <v>Earthquake resistant timber panelised structures with resilient connections</v>
      </c>
      <c r="C223" s="99">
        <v>5</v>
      </c>
      <c r="D223" s="99">
        <v>2</v>
      </c>
      <c r="E223" s="99">
        <v>0</v>
      </c>
      <c r="F223" s="99">
        <v>0</v>
      </c>
      <c r="G223" s="21">
        <f>Table3[[#This Row],[Criteria 1 - Cross-Laminated-Timber]]+Table3[[#This Row],[Criteria 2 - Sustainability]]+Table3[[#This Row],[Criteria 3 - Concrete]]+Table3[[#This Row],[Criteria 4 - Floor]]</f>
        <v>7</v>
      </c>
      <c r="H223" s="20"/>
      <c r="I223" s="21"/>
      <c r="J223" s="21"/>
      <c r="K223" s="99"/>
    </row>
    <row r="224" spans="1:11">
      <c r="A224" s="24">
        <v>223</v>
      </c>
      <c r="B224" s="20" t="str">
        <f>scopus[[#This Row],[Title]]</f>
        <v>Design of a novel seismic retrofitting system for RC structures based on asymmetric friction connections and CLT panels</v>
      </c>
      <c r="C224" s="101">
        <v>3</v>
      </c>
      <c r="D224" s="101">
        <v>1</v>
      </c>
      <c r="E224" s="101">
        <v>3</v>
      </c>
      <c r="F224" s="101">
        <v>0</v>
      </c>
      <c r="G224" s="21">
        <f>Table3[[#This Row],[Criteria 1 - Cross-Laminated-Timber]]+Table3[[#This Row],[Criteria 2 - Sustainability]]+Table3[[#This Row],[Criteria 3 - Concrete]]+Table3[[#This Row],[Criteria 4 - Floor]]</f>
        <v>7</v>
      </c>
      <c r="H224" s="20"/>
      <c r="I224" s="21"/>
      <c r="J224" s="21"/>
      <c r="K224" s="101"/>
    </row>
    <row r="225" spans="1:11">
      <c r="A225" s="24">
        <v>224</v>
      </c>
      <c r="B225" s="20" t="str">
        <f>scopus[[#This Row],[Title]]</f>
        <v>Carbon Credits for Mass Timber Construction</v>
      </c>
      <c r="C225" s="99">
        <v>4</v>
      </c>
      <c r="D225" s="99">
        <v>1</v>
      </c>
      <c r="E225" s="99">
        <v>1</v>
      </c>
      <c r="F225" s="99">
        <v>1</v>
      </c>
      <c r="G225" s="21">
        <f>Table3[[#This Row],[Criteria 1 - Cross-Laminated-Timber]]+Table3[[#This Row],[Criteria 2 - Sustainability]]+Table3[[#This Row],[Criteria 3 - Concrete]]+Table3[[#This Row],[Criteria 4 - Floor]]</f>
        <v>7</v>
      </c>
      <c r="H225" s="20"/>
      <c r="I225" s="21"/>
      <c r="J225" s="21"/>
      <c r="K225" s="99"/>
    </row>
    <row r="226" spans="1:11">
      <c r="A226" s="24">
        <v>225</v>
      </c>
      <c r="B226" s="20" t="str">
        <f>scopus[[#This Row],[Title]]</f>
        <v>A NOVEL INTER-STORY ISOLATION SYSTEM FOR CROSS-LAMINATED TIMBER (CLT) PLATFORM CONSTRUCTION</v>
      </c>
      <c r="C226" s="101">
        <v>5</v>
      </c>
      <c r="D226" s="101">
        <v>2</v>
      </c>
      <c r="E226" s="101">
        <v>0</v>
      </c>
      <c r="F226" s="101">
        <v>0</v>
      </c>
      <c r="G226" s="21">
        <f>Table3[[#This Row],[Criteria 1 - Cross-Laminated-Timber]]+Table3[[#This Row],[Criteria 2 - Sustainability]]+Table3[[#This Row],[Criteria 3 - Concrete]]+Table3[[#This Row],[Criteria 4 - Floor]]</f>
        <v>7</v>
      </c>
      <c r="H226" s="20"/>
      <c r="I226" s="21"/>
      <c r="J226" s="21"/>
      <c r="K226" s="101"/>
    </row>
    <row r="227" spans="1:11">
      <c r="A227" s="24">
        <v>226</v>
      </c>
      <c r="B227" s="20" t="str">
        <f>scopus[[#This Row],[Title]]</f>
        <v>Flexural Performance Evaluation of Cross Laminated Timber (CLT) and Timber-Concrete Composite (TCC) Floors</v>
      </c>
      <c r="C227" s="99">
        <v>4</v>
      </c>
      <c r="D227" s="99">
        <v>2</v>
      </c>
      <c r="E227" s="99">
        <v>1</v>
      </c>
      <c r="F227" s="99">
        <v>0</v>
      </c>
      <c r="G227" s="21">
        <f>Table3[[#This Row],[Criteria 1 - Cross-Laminated-Timber]]+Table3[[#This Row],[Criteria 2 - Sustainability]]+Table3[[#This Row],[Criteria 3 - Concrete]]+Table3[[#This Row],[Criteria 4 - Floor]]</f>
        <v>7</v>
      </c>
      <c r="H227" s="20"/>
      <c r="I227" s="21"/>
      <c r="J227" s="21"/>
      <c r="K227" s="99"/>
    </row>
    <row r="228" spans="1:11">
      <c r="A228" s="24">
        <v>227</v>
      </c>
      <c r="B228" s="20" t="str">
        <f>scopus[[#This Row],[Title]]</f>
        <v>Insulation saving effect for Korean apartment house using cross-laminated timber (CLT)</v>
      </c>
      <c r="C228" s="101">
        <v>3</v>
      </c>
      <c r="D228" s="101">
        <v>2</v>
      </c>
      <c r="E228" s="101">
        <v>2</v>
      </c>
      <c r="F228" s="101">
        <v>0</v>
      </c>
      <c r="G228" s="21">
        <f>Table3[[#This Row],[Criteria 1 - Cross-Laminated-Timber]]+Table3[[#This Row],[Criteria 2 - Sustainability]]+Table3[[#This Row],[Criteria 3 - Concrete]]+Table3[[#This Row],[Criteria 4 - Floor]]</f>
        <v>7</v>
      </c>
      <c r="H228" s="20"/>
      <c r="I228" s="21"/>
      <c r="J228" s="21"/>
      <c r="K228" s="101"/>
    </row>
    <row r="229" spans="1:11">
      <c r="A229" s="24">
        <v>228</v>
      </c>
      <c r="B229" s="20" t="str">
        <f>scopus[[#This Row],[Title]]</f>
        <v>COMBINATION OF STEEL PLATE SHEAR WALLS AND TIMBER MOMENT FRAMES FOR IMPROVED SEISMIC PERFORMANCE</v>
      </c>
      <c r="C229" s="99">
        <v>5</v>
      </c>
      <c r="D229" s="99">
        <v>1</v>
      </c>
      <c r="E229" s="99">
        <v>0</v>
      </c>
      <c r="F229" s="99">
        <v>1</v>
      </c>
      <c r="G229" s="21">
        <f>Table3[[#This Row],[Criteria 1 - Cross-Laminated-Timber]]+Table3[[#This Row],[Criteria 2 - Sustainability]]+Table3[[#This Row],[Criteria 3 - Concrete]]+Table3[[#This Row],[Criteria 4 - Floor]]</f>
        <v>7</v>
      </c>
      <c r="H229" s="20"/>
      <c r="I229" s="21"/>
      <c r="J229" s="21"/>
      <c r="K229" s="99"/>
    </row>
    <row r="230" spans="1:11">
      <c r="A230" s="24">
        <v>229</v>
      </c>
      <c r="B230" s="20" t="str">
        <f>scopus[[#This Row],[Title]]</f>
        <v>Prediction of shear properties in cross laminated timber–concrete composites with notch connections</v>
      </c>
      <c r="C230" s="101">
        <v>4</v>
      </c>
      <c r="D230" s="101">
        <v>2</v>
      </c>
      <c r="E230" s="101">
        <v>1</v>
      </c>
      <c r="F230" s="101">
        <v>0</v>
      </c>
      <c r="G230" s="21">
        <f>Table3[[#This Row],[Criteria 1 - Cross-Laminated-Timber]]+Table3[[#This Row],[Criteria 2 - Sustainability]]+Table3[[#This Row],[Criteria 3 - Concrete]]+Table3[[#This Row],[Criteria 4 - Floor]]</f>
        <v>7</v>
      </c>
      <c r="H230" s="20"/>
      <c r="I230" s="21"/>
      <c r="J230" s="21"/>
      <c r="K230" s="101"/>
    </row>
    <row r="231" spans="1:11">
      <c r="A231" s="24">
        <v>230</v>
      </c>
      <c r="B231" s="20" t="str">
        <f>scopus[[#This Row],[Title]]</f>
        <v>TYPOLOGICAL OPTIMIZATION FOR REAL ESTATE DEVELOPMENTS: 8-9 STORY MASS-TIMBER BUILDINGS FOR SEISMIC ZONES</v>
      </c>
      <c r="C231" s="99">
        <v>3</v>
      </c>
      <c r="D231" s="99">
        <v>2</v>
      </c>
      <c r="E231" s="99">
        <v>2</v>
      </c>
      <c r="F231" s="99">
        <v>0</v>
      </c>
      <c r="G231" s="21">
        <f>Table3[[#This Row],[Criteria 1 - Cross-Laminated-Timber]]+Table3[[#This Row],[Criteria 2 - Sustainability]]+Table3[[#This Row],[Criteria 3 - Concrete]]+Table3[[#This Row],[Criteria 4 - Floor]]</f>
        <v>7</v>
      </c>
      <c r="H231" s="20"/>
      <c r="I231" s="21"/>
      <c r="J231" s="21"/>
      <c r="K231" s="99"/>
    </row>
    <row r="232" spans="1:11">
      <c r="A232" s="24">
        <v>231</v>
      </c>
      <c r="B232" s="20" t="str">
        <f>scopus[[#This Row],[Title]]</f>
        <v>Shear Stiffness and Capacity of PolyUrethane Flexible Joint in Timber-Concrete Composites</v>
      </c>
      <c r="C232" s="101">
        <v>1</v>
      </c>
      <c r="D232" s="101">
        <v>4</v>
      </c>
      <c r="E232" s="101">
        <v>2</v>
      </c>
      <c r="F232" s="101">
        <v>0</v>
      </c>
      <c r="G232" s="21">
        <f>Table3[[#This Row],[Criteria 1 - Cross-Laminated-Timber]]+Table3[[#This Row],[Criteria 2 - Sustainability]]+Table3[[#This Row],[Criteria 3 - Concrete]]+Table3[[#This Row],[Criteria 4 - Floor]]</f>
        <v>7</v>
      </c>
      <c r="H232" s="20"/>
      <c r="I232" s="21"/>
      <c r="J232" s="21"/>
      <c r="K232" s="101"/>
    </row>
    <row r="233" spans="1:11">
      <c r="A233" s="24">
        <v>232</v>
      </c>
      <c r="B233" s="20" t="str">
        <f>scopus[[#This Row],[Title]]</f>
        <v>Effect of different types of ceilings on floor impact sound insulation performance in CLT model building</v>
      </c>
      <c r="C233" s="99">
        <v>3</v>
      </c>
      <c r="D233" s="99">
        <v>3</v>
      </c>
      <c r="E233" s="99">
        <v>1</v>
      </c>
      <c r="F233" s="99">
        <v>0</v>
      </c>
      <c r="G233" s="21">
        <f>Table3[[#This Row],[Criteria 1 - Cross-Laminated-Timber]]+Table3[[#This Row],[Criteria 2 - Sustainability]]+Table3[[#This Row],[Criteria 3 - Concrete]]+Table3[[#This Row],[Criteria 4 - Floor]]</f>
        <v>7</v>
      </c>
      <c r="H233" s="20"/>
      <c r="I233" s="21"/>
      <c r="J233" s="21"/>
      <c r="K233" s="99"/>
    </row>
    <row r="234" spans="1:11">
      <c r="A234" s="24">
        <v>233</v>
      </c>
      <c r="B234" s="20" t="str">
        <f>scopus[[#This Row],[Title]]</f>
        <v>Development of frequency curves for cross-laminated timber (CLT) floors using dynamic stiffness method</v>
      </c>
      <c r="C234" s="101">
        <v>2</v>
      </c>
      <c r="D234" s="101">
        <v>2</v>
      </c>
      <c r="E234" s="101">
        <v>1</v>
      </c>
      <c r="F234" s="101">
        <v>2</v>
      </c>
      <c r="G234" s="21">
        <f>Table3[[#This Row],[Criteria 1 - Cross-Laminated-Timber]]+Table3[[#This Row],[Criteria 2 - Sustainability]]+Table3[[#This Row],[Criteria 3 - Concrete]]+Table3[[#This Row],[Criteria 4 - Floor]]</f>
        <v>7</v>
      </c>
      <c r="H234" s="20"/>
      <c r="I234" s="21"/>
      <c r="J234" s="21"/>
      <c r="K234" s="101"/>
    </row>
    <row r="235" spans="1:11">
      <c r="A235" s="24">
        <v>234</v>
      </c>
      <c r="B235" s="20" t="str">
        <f>scopus[[#This Row],[Title]]</f>
        <v>Shifting from demolition to disassembly: A hybrid timber-steel multistory residential building for circular design</v>
      </c>
      <c r="C235" s="99">
        <v>2</v>
      </c>
      <c r="D235" s="99">
        <v>1</v>
      </c>
      <c r="E235" s="99">
        <v>0</v>
      </c>
      <c r="F235" s="99">
        <v>4</v>
      </c>
      <c r="G235" s="21">
        <f>Table3[[#This Row],[Criteria 1 - Cross-Laminated-Timber]]+Table3[[#This Row],[Criteria 2 - Sustainability]]+Table3[[#This Row],[Criteria 3 - Concrete]]+Table3[[#This Row],[Criteria 4 - Floor]]</f>
        <v>7</v>
      </c>
      <c r="H235" s="20"/>
      <c r="I235" s="21"/>
      <c r="J235" s="21"/>
      <c r="K235" s="99"/>
    </row>
    <row r="236" spans="1:11">
      <c r="A236" s="24">
        <v>235</v>
      </c>
      <c r="B236" s="20" t="str">
        <f>scopus[[#This Row],[Title]]</f>
        <v>NUMERICAL MODELLING OF ROCKING CLT SHEARWALL CONSIDERING THE WALL-TO-FLOOR INTERACTIONS</v>
      </c>
      <c r="C236" s="101">
        <v>4</v>
      </c>
      <c r="D236" s="101">
        <v>3</v>
      </c>
      <c r="E236" s="101">
        <v>0</v>
      </c>
      <c r="F236" s="101">
        <v>0</v>
      </c>
      <c r="G236" s="21">
        <f>Table3[[#This Row],[Criteria 1 - Cross-Laminated-Timber]]+Table3[[#This Row],[Criteria 2 - Sustainability]]+Table3[[#This Row],[Criteria 3 - Concrete]]+Table3[[#This Row],[Criteria 4 - Floor]]</f>
        <v>7</v>
      </c>
      <c r="H236" s="20"/>
      <c r="I236" s="21"/>
      <c r="J236" s="21"/>
      <c r="K236" s="101"/>
    </row>
    <row r="237" spans="1:11" ht="26">
      <c r="A237" s="24">
        <v>236</v>
      </c>
      <c r="B237" s="20" t="str">
        <f>scopus[[#This Row],[Title]]</f>
        <v>Seismic strengthening of existing RC buildings with external cross-laminated timber (CLT) walls hosting an integrated energetic and architectural renovation</v>
      </c>
      <c r="C237" s="99">
        <v>3</v>
      </c>
      <c r="D237" s="99">
        <v>2</v>
      </c>
      <c r="E237" s="99">
        <v>2</v>
      </c>
      <c r="F237" s="99">
        <v>0</v>
      </c>
      <c r="G237" s="21">
        <f>Table3[[#This Row],[Criteria 1 - Cross-Laminated-Timber]]+Table3[[#This Row],[Criteria 2 - Sustainability]]+Table3[[#This Row],[Criteria 3 - Concrete]]+Table3[[#This Row],[Criteria 4 - Floor]]</f>
        <v>7</v>
      </c>
      <c r="H237" s="20"/>
      <c r="I237" s="21"/>
      <c r="J237" s="21"/>
      <c r="K237" s="99"/>
    </row>
    <row r="238" spans="1:11">
      <c r="A238" s="24">
        <v>237</v>
      </c>
      <c r="B238" s="20" t="str">
        <f>scopus[[#This Row],[Title]]</f>
        <v>An innovative connection system for platform-type mass timber buildings</v>
      </c>
      <c r="C238" s="101">
        <v>5</v>
      </c>
      <c r="D238" s="101">
        <v>2</v>
      </c>
      <c r="E238" s="101">
        <v>0</v>
      </c>
      <c r="F238" s="101">
        <v>0</v>
      </c>
      <c r="G238" s="21">
        <f>Table3[[#This Row],[Criteria 1 - Cross-Laminated-Timber]]+Table3[[#This Row],[Criteria 2 - Sustainability]]+Table3[[#This Row],[Criteria 3 - Concrete]]+Table3[[#This Row],[Criteria 4 - Floor]]</f>
        <v>7</v>
      </c>
      <c r="H238" s="20"/>
      <c r="I238" s="21"/>
      <c r="J238" s="21"/>
      <c r="K238" s="101"/>
    </row>
    <row r="239" spans="1:11" ht="26">
      <c r="A239" s="24">
        <v>238</v>
      </c>
      <c r="B239" s="20" t="str">
        <f>scopus[[#This Row],[Title]]</f>
        <v>Experimental and numerical studies on seismic performance of multi-story glulam frame-CLT core wall structure with buckling-restrained braces</v>
      </c>
      <c r="C239" s="99">
        <v>5</v>
      </c>
      <c r="D239" s="99">
        <v>2</v>
      </c>
      <c r="E239" s="99">
        <v>0</v>
      </c>
      <c r="F239" s="99">
        <v>0</v>
      </c>
      <c r="G239" s="21">
        <f>Table3[[#This Row],[Criteria 1 - Cross-Laminated-Timber]]+Table3[[#This Row],[Criteria 2 - Sustainability]]+Table3[[#This Row],[Criteria 3 - Concrete]]+Table3[[#This Row],[Criteria 4 - Floor]]</f>
        <v>7</v>
      </c>
      <c r="H239" s="20"/>
      <c r="I239" s="21"/>
      <c r="J239" s="21"/>
      <c r="K239" s="99"/>
    </row>
    <row r="240" spans="1:11">
      <c r="A240" s="24">
        <v>239</v>
      </c>
      <c r="B240" s="20" t="str">
        <f>scopus[[#This Row],[Title]]</f>
        <v>Blast Testing of Loaded Cross-Laminated Timber Structures</v>
      </c>
      <c r="C240" s="101">
        <v>4</v>
      </c>
      <c r="D240" s="101">
        <v>1</v>
      </c>
      <c r="E240" s="101">
        <v>2</v>
      </c>
      <c r="F240" s="101">
        <v>0</v>
      </c>
      <c r="G240" s="21">
        <f>Table3[[#This Row],[Criteria 1 - Cross-Laminated-Timber]]+Table3[[#This Row],[Criteria 2 - Sustainability]]+Table3[[#This Row],[Criteria 3 - Concrete]]+Table3[[#This Row],[Criteria 4 - Floor]]</f>
        <v>7</v>
      </c>
      <c r="H240" s="20"/>
      <c r="I240" s="21"/>
      <c r="J240" s="21"/>
      <c r="K240" s="101"/>
    </row>
    <row r="241" spans="1:11">
      <c r="A241" s="24">
        <v>240</v>
      </c>
      <c r="B241" s="20" t="str">
        <f>scopus[[#This Row],[Title]]</f>
        <v>INFLUENCE OF FLOOR EFFECTS ON THE SEISMIC PERFORMANCE OF CROSS-LAMINATED TIMBER STRUCTURES</v>
      </c>
      <c r="C241" s="99">
        <v>4</v>
      </c>
      <c r="D241" s="99">
        <v>2</v>
      </c>
      <c r="E241" s="99">
        <v>1</v>
      </c>
      <c r="F241" s="99">
        <v>0</v>
      </c>
      <c r="G241" s="21">
        <f>Table3[[#This Row],[Criteria 1 - Cross-Laminated-Timber]]+Table3[[#This Row],[Criteria 2 - Sustainability]]+Table3[[#This Row],[Criteria 3 - Concrete]]+Table3[[#This Row],[Criteria 4 - Floor]]</f>
        <v>7</v>
      </c>
      <c r="H241" s="20"/>
      <c r="I241" s="21"/>
      <c r="J241" s="21"/>
      <c r="K241" s="99"/>
    </row>
    <row r="242" spans="1:11">
      <c r="A242" s="24">
        <v>241</v>
      </c>
      <c r="B242" s="20" t="str">
        <f>scopus[[#This Row],[Title]]</f>
        <v>Effectiveness of distributed mass damper systems for lightweight superstructures</v>
      </c>
      <c r="C242" s="101">
        <v>2</v>
      </c>
      <c r="D242" s="101">
        <v>3</v>
      </c>
      <c r="E242" s="101">
        <v>2</v>
      </c>
      <c r="F242" s="101">
        <v>0</v>
      </c>
      <c r="G242" s="21">
        <f>Table3[[#This Row],[Criteria 1 - Cross-Laminated-Timber]]+Table3[[#This Row],[Criteria 2 - Sustainability]]+Table3[[#This Row],[Criteria 3 - Concrete]]+Table3[[#This Row],[Criteria 4 - Floor]]</f>
        <v>7</v>
      </c>
      <c r="H242" s="20"/>
      <c r="I242" s="21"/>
      <c r="J242" s="21"/>
      <c r="K242" s="101"/>
    </row>
    <row r="243" spans="1:11">
      <c r="A243" s="24">
        <v>242</v>
      </c>
      <c r="B243" s="20" t="str">
        <f>scopus[[#This Row],[Title]]</f>
        <v>Selection of the most effective pavement surfacing strategy for the Glenwood cross laminated timber parking garage</v>
      </c>
      <c r="C243" s="99">
        <v>3</v>
      </c>
      <c r="D243" s="99">
        <v>2</v>
      </c>
      <c r="E243" s="99">
        <v>1</v>
      </c>
      <c r="F243" s="99">
        <v>1</v>
      </c>
      <c r="G243" s="21">
        <f>Table3[[#This Row],[Criteria 1 - Cross-Laminated-Timber]]+Table3[[#This Row],[Criteria 2 - Sustainability]]+Table3[[#This Row],[Criteria 3 - Concrete]]+Table3[[#This Row],[Criteria 4 - Floor]]</f>
        <v>7</v>
      </c>
      <c r="H243" s="20"/>
      <c r="I243" s="21"/>
      <c r="J243" s="21"/>
      <c r="K243" s="99"/>
    </row>
    <row r="244" spans="1:11">
      <c r="A244" s="24">
        <v>243</v>
      </c>
      <c r="B244" s="20" t="str">
        <f>scopus[[#This Row],[Title]]</f>
        <v>Vibratory Evaluation of Material Damping Performance of Cross-Laminated Timber Panels</v>
      </c>
      <c r="C244" s="101">
        <v>4</v>
      </c>
      <c r="D244" s="101">
        <v>2</v>
      </c>
      <c r="E244" s="101">
        <v>1</v>
      </c>
      <c r="F244" s="101">
        <v>0</v>
      </c>
      <c r="G244" s="21">
        <f>Table3[[#This Row],[Criteria 1 - Cross-Laminated-Timber]]+Table3[[#This Row],[Criteria 2 - Sustainability]]+Table3[[#This Row],[Criteria 3 - Concrete]]+Table3[[#This Row],[Criteria 4 - Floor]]</f>
        <v>7</v>
      </c>
      <c r="H244" s="20"/>
      <c r="I244" s="21"/>
      <c r="J244" s="21"/>
      <c r="K244" s="101"/>
    </row>
    <row r="245" spans="1:11">
      <c r="A245" s="24">
        <v>244</v>
      </c>
      <c r="B245" s="20" t="str">
        <f>scopus[[#This Row],[Title]]</f>
        <v>Vibration serviceability performance of prefabricated cross-laminated timber steel rib composite floors</v>
      </c>
      <c r="C245" s="99">
        <v>3</v>
      </c>
      <c r="D245" s="99">
        <v>2</v>
      </c>
      <c r="E245" s="99">
        <v>1</v>
      </c>
      <c r="F245" s="99">
        <v>1</v>
      </c>
      <c r="G245" s="21">
        <f>Table3[[#This Row],[Criteria 1 - Cross-Laminated-Timber]]+Table3[[#This Row],[Criteria 2 - Sustainability]]+Table3[[#This Row],[Criteria 3 - Concrete]]+Table3[[#This Row],[Criteria 4 - Floor]]</f>
        <v>7</v>
      </c>
      <c r="H245" s="20"/>
      <c r="I245" s="21"/>
      <c r="J245" s="21"/>
      <c r="K245" s="99"/>
    </row>
    <row r="246" spans="1:11">
      <c r="A246" s="24">
        <v>245</v>
      </c>
      <c r="B246" s="20" t="str">
        <f>scopus[[#This Row],[Title]]</f>
        <v>Experimental and Numerical Assessment of the Structural Performance of a Prefabricated Hybrid CLT-steel Floor Module</v>
      </c>
      <c r="C246" s="101">
        <v>2</v>
      </c>
      <c r="D246" s="101">
        <v>3</v>
      </c>
      <c r="E246" s="101">
        <v>1</v>
      </c>
      <c r="F246" s="101">
        <v>1</v>
      </c>
      <c r="G246" s="21">
        <f>Table3[[#This Row],[Criteria 1 - Cross-Laminated-Timber]]+Table3[[#This Row],[Criteria 2 - Sustainability]]+Table3[[#This Row],[Criteria 3 - Concrete]]+Table3[[#This Row],[Criteria 4 - Floor]]</f>
        <v>7</v>
      </c>
      <c r="H246" s="20"/>
      <c r="I246" s="21"/>
      <c r="J246" s="21"/>
      <c r="K246" s="101"/>
    </row>
    <row r="247" spans="1:11">
      <c r="A247" s="24">
        <v>246</v>
      </c>
      <c r="B247" s="20" t="str">
        <f>scopus[[#This Row],[Title]]</f>
        <v>Sound insulation of access floors on CLT</v>
      </c>
      <c r="C247" s="99">
        <v>1</v>
      </c>
      <c r="D247" s="99">
        <v>5</v>
      </c>
      <c r="E247" s="99">
        <v>1</v>
      </c>
      <c r="F247" s="99">
        <v>0</v>
      </c>
      <c r="G247" s="21">
        <f>Table3[[#This Row],[Criteria 1 - Cross-Laminated-Timber]]+Table3[[#This Row],[Criteria 2 - Sustainability]]+Table3[[#This Row],[Criteria 3 - Concrete]]+Table3[[#This Row],[Criteria 4 - Floor]]</f>
        <v>7</v>
      </c>
      <c r="H247" s="20"/>
      <c r="I247" s="21"/>
      <c r="J247" s="21"/>
      <c r="K247" s="99"/>
    </row>
    <row r="248" spans="1:11">
      <c r="A248" s="24">
        <v>247</v>
      </c>
      <c r="B248" s="20" t="str">
        <f>scopus[[#This Row],[Title]]</f>
        <v>Influence of floor finish structure on floor impact sound insulation in CLT model building</v>
      </c>
      <c r="C248" s="101">
        <v>3</v>
      </c>
      <c r="D248" s="101">
        <v>3</v>
      </c>
      <c r="E248" s="101">
        <v>1</v>
      </c>
      <c r="F248" s="101">
        <v>0</v>
      </c>
      <c r="G248" s="21">
        <f>Table3[[#This Row],[Criteria 1 - Cross-Laminated-Timber]]+Table3[[#This Row],[Criteria 2 - Sustainability]]+Table3[[#This Row],[Criteria 3 - Concrete]]+Table3[[#This Row],[Criteria 4 - Floor]]</f>
        <v>7</v>
      </c>
      <c r="H248" s="20"/>
      <c r="I248" s="21"/>
      <c r="J248" s="21"/>
      <c r="K248" s="101"/>
    </row>
    <row r="249" spans="1:11">
      <c r="A249" s="24">
        <v>248</v>
      </c>
      <c r="B249" s="20" t="str">
        <f>scopus[[#This Row],[Title]]</f>
        <v>Laboratory data examining impact and airborne sound attenuation in cross- laminated timber panel construction - Part 2</v>
      </c>
      <c r="C249" s="99">
        <v>4</v>
      </c>
      <c r="D249" s="99">
        <v>2</v>
      </c>
      <c r="E249" s="99">
        <v>1</v>
      </c>
      <c r="F249" s="99">
        <v>0</v>
      </c>
      <c r="G249" s="21">
        <f>Table3[[#This Row],[Criteria 1 - Cross-Laminated-Timber]]+Table3[[#This Row],[Criteria 2 - Sustainability]]+Table3[[#This Row],[Criteria 3 - Concrete]]+Table3[[#This Row],[Criteria 4 - Floor]]</f>
        <v>7</v>
      </c>
      <c r="H249" s="20"/>
      <c r="I249" s="21"/>
      <c r="J249" s="21"/>
      <c r="K249" s="99"/>
    </row>
    <row r="250" spans="1:11">
      <c r="A250" s="24">
        <v>249</v>
      </c>
      <c r="B250" s="20" t="str">
        <f>scopus[[#This Row],[Title]]</f>
        <v>Collected data on bending, vibration, and push-out tests of shallow steel-timber composite beams—Nordic system</v>
      </c>
      <c r="C250" s="101">
        <v>3</v>
      </c>
      <c r="D250" s="101">
        <v>3</v>
      </c>
      <c r="E250" s="101">
        <v>1</v>
      </c>
      <c r="F250" s="101">
        <v>0</v>
      </c>
      <c r="G250" s="21">
        <f>Table3[[#This Row],[Criteria 1 - Cross-Laminated-Timber]]+Table3[[#This Row],[Criteria 2 - Sustainability]]+Table3[[#This Row],[Criteria 3 - Concrete]]+Table3[[#This Row],[Criteria 4 - Floor]]</f>
        <v>7</v>
      </c>
      <c r="H250" s="20"/>
      <c r="I250" s="21"/>
      <c r="J250" s="21"/>
      <c r="K250" s="101"/>
    </row>
    <row r="251" spans="1:11">
      <c r="A251" s="24">
        <v>250</v>
      </c>
      <c r="B251" s="20" t="str">
        <f>scopus[[#This Row],[Title]]</f>
        <v>Experimental evaluation on the shear performance of grouted bolt connections in steel-CLT and steel-CLBT composite structures</v>
      </c>
      <c r="C251" s="99">
        <v>3</v>
      </c>
      <c r="D251" s="99">
        <v>1</v>
      </c>
      <c r="E251" s="99">
        <v>1</v>
      </c>
      <c r="F251" s="99">
        <v>1</v>
      </c>
      <c r="G251" s="21">
        <f>Table3[[#This Row],[Criteria 1 - Cross-Laminated-Timber]]+Table3[[#This Row],[Criteria 2 - Sustainability]]+Table3[[#This Row],[Criteria 3 - Concrete]]+Table3[[#This Row],[Criteria 4 - Floor]]</f>
        <v>6</v>
      </c>
      <c r="H251" s="20"/>
      <c r="I251" s="21"/>
      <c r="J251" s="21"/>
      <c r="K251" s="99"/>
    </row>
    <row r="252" spans="1:11">
      <c r="A252" s="24">
        <v>251</v>
      </c>
      <c r="B252" s="20"/>
      <c r="C252" s="101"/>
      <c r="D252" s="101"/>
      <c r="E252" s="101"/>
      <c r="F252" s="101"/>
      <c r="G252" s="21"/>
      <c r="H252" s="20"/>
      <c r="I252" s="21"/>
      <c r="J252" s="21"/>
      <c r="K252" s="101"/>
    </row>
    <row r="253" spans="1:11">
      <c r="A253" s="24">
        <v>252</v>
      </c>
      <c r="B253" s="20"/>
      <c r="C253" s="99"/>
      <c r="D253" s="99"/>
      <c r="E253" s="99"/>
      <c r="F253" s="99"/>
      <c r="G253" s="21"/>
      <c r="H253" s="20"/>
      <c r="I253" s="21"/>
      <c r="J253" s="21"/>
      <c r="K253" s="99"/>
    </row>
    <row r="254" spans="1:11">
      <c r="A254" s="24">
        <v>253</v>
      </c>
      <c r="B254" s="20"/>
      <c r="C254" s="101"/>
      <c r="D254" s="101"/>
      <c r="E254" s="101"/>
      <c r="F254" s="101"/>
      <c r="G254" s="21"/>
      <c r="H254" s="20"/>
      <c r="I254" s="21"/>
      <c r="J254" s="21"/>
      <c r="K254" s="101"/>
    </row>
    <row r="255" spans="1:11">
      <c r="A255" s="24">
        <v>254</v>
      </c>
      <c r="B255" s="20"/>
      <c r="C255" s="99"/>
      <c r="D255" s="99"/>
      <c r="E255" s="99"/>
      <c r="F255" s="99"/>
      <c r="G255" s="21"/>
      <c r="H255" s="20"/>
      <c r="I255" s="21"/>
      <c r="J255" s="21"/>
      <c r="K255" s="99"/>
    </row>
    <row r="256" spans="1:11">
      <c r="A256" s="24">
        <v>255</v>
      </c>
      <c r="B256" s="20"/>
      <c r="C256" s="101"/>
      <c r="D256" s="101"/>
      <c r="E256" s="101"/>
      <c r="F256" s="101"/>
      <c r="G256" s="21"/>
      <c r="H256" s="20"/>
      <c r="I256" s="21"/>
      <c r="J256" s="21"/>
      <c r="K256" s="101"/>
    </row>
    <row r="257" spans="1:11">
      <c r="A257" s="24">
        <v>256</v>
      </c>
      <c r="B257" s="20"/>
      <c r="C257" s="99"/>
      <c r="D257" s="99"/>
      <c r="E257" s="99"/>
      <c r="F257" s="99"/>
      <c r="G257" s="21"/>
      <c r="H257" s="20"/>
      <c r="I257" s="21"/>
      <c r="J257" s="21"/>
      <c r="K257" s="99"/>
    </row>
    <row r="258" spans="1:11">
      <c r="A258" s="24">
        <v>257</v>
      </c>
      <c r="B258" s="20"/>
      <c r="C258" s="101"/>
      <c r="D258" s="101"/>
      <c r="E258" s="101"/>
      <c r="F258" s="101"/>
      <c r="G258" s="21"/>
      <c r="H258" s="20"/>
      <c r="I258" s="21"/>
      <c r="J258" s="21"/>
      <c r="K258" s="101"/>
    </row>
    <row r="259" spans="1:11">
      <c r="A259" s="24">
        <v>258</v>
      </c>
      <c r="B259" s="20"/>
      <c r="C259" s="99"/>
      <c r="D259" s="99"/>
      <c r="E259" s="99"/>
      <c r="F259" s="99"/>
      <c r="G259" s="21"/>
      <c r="H259" s="20"/>
      <c r="I259" s="21"/>
      <c r="J259" s="21"/>
      <c r="K259" s="99"/>
    </row>
    <row r="260" spans="1:11">
      <c r="A260" s="24">
        <v>259</v>
      </c>
      <c r="B260" s="20"/>
      <c r="C260" s="101"/>
      <c r="D260" s="101"/>
      <c r="E260" s="101"/>
      <c r="F260" s="101"/>
      <c r="G260" s="21"/>
      <c r="H260" s="20"/>
      <c r="I260" s="21"/>
      <c r="J260" s="21"/>
      <c r="K260" s="101"/>
    </row>
    <row r="261" spans="1:11">
      <c r="A261" s="24">
        <v>260</v>
      </c>
      <c r="B261" s="20"/>
      <c r="C261" s="99"/>
      <c r="D261" s="99"/>
      <c r="E261" s="99"/>
      <c r="F261" s="99"/>
      <c r="G261" s="21"/>
      <c r="H261" s="20"/>
      <c r="I261" s="21"/>
      <c r="J261" s="21"/>
      <c r="K261" s="99"/>
    </row>
    <row r="262" spans="1:11">
      <c r="A262" s="24">
        <v>261</v>
      </c>
      <c r="B262" s="20"/>
      <c r="C262" s="101"/>
      <c r="D262" s="101"/>
      <c r="E262" s="101"/>
      <c r="F262" s="101"/>
      <c r="G262" s="21"/>
      <c r="H262" s="20"/>
      <c r="I262" s="21"/>
      <c r="J262" s="21"/>
      <c r="K262" s="101"/>
    </row>
    <row r="263" spans="1:11">
      <c r="A263" s="24">
        <v>262</v>
      </c>
      <c r="B263" s="20"/>
      <c r="C263" s="99"/>
      <c r="D263" s="99"/>
      <c r="E263" s="99"/>
      <c r="F263" s="99"/>
      <c r="G263" s="21"/>
      <c r="H263" s="20"/>
      <c r="I263" s="21"/>
      <c r="J263" s="21"/>
      <c r="K263" s="99"/>
    </row>
    <row r="264" spans="1:11">
      <c r="A264" s="24">
        <v>263</v>
      </c>
      <c r="B264" s="20"/>
      <c r="C264" s="101"/>
      <c r="D264" s="101"/>
      <c r="E264" s="101"/>
      <c r="F264" s="101"/>
      <c r="G264" s="21"/>
      <c r="H264" s="20"/>
      <c r="I264" s="21"/>
      <c r="J264" s="21"/>
      <c r="K264" s="101"/>
    </row>
    <row r="265" spans="1:11">
      <c r="A265" s="24">
        <v>264</v>
      </c>
      <c r="B265" s="20"/>
      <c r="C265" s="99"/>
      <c r="D265" s="99"/>
      <c r="E265" s="99"/>
      <c r="F265" s="99"/>
      <c r="G265" s="21"/>
      <c r="H265" s="20"/>
      <c r="I265" s="21"/>
      <c r="J265" s="21"/>
      <c r="K265" s="99"/>
    </row>
    <row r="266" spans="1:11">
      <c r="A266" s="24">
        <v>265</v>
      </c>
      <c r="B266" s="20"/>
      <c r="C266" s="101"/>
      <c r="D266" s="101"/>
      <c r="E266" s="101"/>
      <c r="F266" s="101"/>
      <c r="G266" s="21"/>
      <c r="H266" s="20"/>
      <c r="I266" s="21"/>
      <c r="J266" s="21"/>
      <c r="K266" s="101"/>
    </row>
    <row r="267" spans="1:11">
      <c r="A267" s="24">
        <v>266</v>
      </c>
      <c r="B267" s="20"/>
      <c r="C267" s="99"/>
      <c r="D267" s="99"/>
      <c r="E267" s="99"/>
      <c r="F267" s="99"/>
      <c r="G267" s="21"/>
      <c r="H267" s="20"/>
      <c r="I267" s="21"/>
      <c r="J267" s="21"/>
      <c r="K267" s="99"/>
    </row>
    <row r="268" spans="1:11">
      <c r="A268" s="24">
        <v>267</v>
      </c>
      <c r="B268" s="20"/>
      <c r="C268" s="101"/>
      <c r="D268" s="101"/>
      <c r="E268" s="101"/>
      <c r="F268" s="101"/>
      <c r="G268" s="21"/>
      <c r="H268" s="20"/>
      <c r="I268" s="21"/>
      <c r="J268" s="21"/>
      <c r="K268" s="101"/>
    </row>
    <row r="269" spans="1:11">
      <c r="A269" s="24">
        <v>268</v>
      </c>
      <c r="B269" s="20"/>
      <c r="C269" s="99"/>
      <c r="D269" s="99"/>
      <c r="E269" s="99"/>
      <c r="F269" s="99"/>
      <c r="G269" s="21"/>
      <c r="H269" s="20"/>
      <c r="I269" s="21"/>
      <c r="J269" s="21"/>
      <c r="K269" s="99"/>
    </row>
    <row r="270" spans="1:11">
      <c r="A270" s="24">
        <v>269</v>
      </c>
      <c r="B270" s="20"/>
      <c r="C270" s="101"/>
      <c r="D270" s="101"/>
      <c r="E270" s="101"/>
      <c r="F270" s="101"/>
      <c r="G270" s="21"/>
      <c r="H270" s="20"/>
      <c r="I270" s="21"/>
      <c r="J270" s="21"/>
      <c r="K270" s="101"/>
    </row>
    <row r="271" spans="1:11">
      <c r="A271" s="24">
        <v>270</v>
      </c>
      <c r="B271" s="20"/>
      <c r="C271" s="99"/>
      <c r="D271" s="99"/>
      <c r="E271" s="99"/>
      <c r="F271" s="99"/>
      <c r="G271" s="21"/>
      <c r="H271" s="20"/>
      <c r="I271" s="21"/>
      <c r="J271" s="21"/>
      <c r="K271" s="99"/>
    </row>
    <row r="272" spans="1:11">
      <c r="A272" s="24">
        <v>271</v>
      </c>
      <c r="B272" s="20"/>
      <c r="C272" s="101"/>
      <c r="D272" s="101"/>
      <c r="E272" s="101"/>
      <c r="F272" s="101"/>
      <c r="G272" s="21"/>
      <c r="H272" s="20"/>
      <c r="I272" s="21"/>
      <c r="J272" s="21"/>
      <c r="K272" s="101"/>
    </row>
    <row r="273" spans="1:11">
      <c r="A273" s="24">
        <v>272</v>
      </c>
      <c r="B273" s="20"/>
      <c r="C273" s="99"/>
      <c r="D273" s="99"/>
      <c r="E273" s="99"/>
      <c r="F273" s="99"/>
      <c r="G273" s="21"/>
      <c r="H273" s="20"/>
      <c r="I273" s="21"/>
      <c r="J273" s="21"/>
      <c r="K273" s="99"/>
    </row>
    <row r="274" spans="1:11">
      <c r="A274" s="24">
        <v>273</v>
      </c>
      <c r="B274" s="20"/>
      <c r="C274" s="101"/>
      <c r="D274" s="101"/>
      <c r="E274" s="101"/>
      <c r="F274" s="101"/>
      <c r="G274" s="21"/>
      <c r="H274" s="20"/>
      <c r="I274" s="21"/>
      <c r="J274" s="21"/>
      <c r="K274" s="101"/>
    </row>
    <row r="275" spans="1:11">
      <c r="A275" s="24">
        <v>274</v>
      </c>
      <c r="B275" s="20"/>
      <c r="C275" s="99"/>
      <c r="D275" s="99"/>
      <c r="E275" s="99"/>
      <c r="F275" s="99"/>
      <c r="G275" s="21"/>
      <c r="H275" s="20"/>
      <c r="I275" s="21"/>
      <c r="J275" s="21"/>
      <c r="K275" s="99"/>
    </row>
    <row r="276" spans="1:11">
      <c r="A276" s="24">
        <v>275</v>
      </c>
      <c r="B276" s="20"/>
      <c r="C276" s="101"/>
      <c r="D276" s="101"/>
      <c r="E276" s="101"/>
      <c r="F276" s="101"/>
      <c r="G276" s="21"/>
      <c r="H276" s="20"/>
      <c r="I276" s="21"/>
      <c r="J276" s="21"/>
      <c r="K276" s="101"/>
    </row>
    <row r="277" spans="1:11">
      <c r="A277" s="24">
        <v>276</v>
      </c>
      <c r="B277" s="20"/>
      <c r="C277" s="99"/>
      <c r="D277" s="99"/>
      <c r="E277" s="99"/>
      <c r="F277" s="99"/>
      <c r="G277" s="21"/>
      <c r="H277" s="20"/>
      <c r="I277" s="21"/>
      <c r="J277" s="21"/>
      <c r="K277" s="99"/>
    </row>
    <row r="278" spans="1:11">
      <c r="A278" s="24">
        <v>277</v>
      </c>
      <c r="B278" s="20"/>
      <c r="C278" s="101"/>
      <c r="D278" s="101"/>
      <c r="E278" s="101"/>
      <c r="F278" s="101"/>
      <c r="G278" s="21"/>
      <c r="H278" s="20"/>
      <c r="I278" s="21"/>
      <c r="J278" s="21"/>
      <c r="K278" s="101"/>
    </row>
    <row r="279" spans="1:11">
      <c r="A279" s="24">
        <v>278</v>
      </c>
      <c r="B279" s="20"/>
      <c r="C279" s="99"/>
      <c r="D279" s="99"/>
      <c r="E279" s="99"/>
      <c r="F279" s="99"/>
      <c r="G279" s="21"/>
      <c r="H279" s="20"/>
      <c r="I279" s="21"/>
      <c r="J279" s="21"/>
      <c r="K279" s="99"/>
    </row>
    <row r="280" spans="1:11">
      <c r="A280" s="24">
        <v>279</v>
      </c>
      <c r="B280" s="20"/>
      <c r="C280" s="101"/>
      <c r="D280" s="101"/>
      <c r="E280" s="101"/>
      <c r="F280" s="101"/>
      <c r="G280" s="21"/>
      <c r="H280" s="20"/>
      <c r="I280" s="21"/>
      <c r="J280" s="21"/>
      <c r="K280" s="101"/>
    </row>
    <row r="281" spans="1:11">
      <c r="A281" s="24">
        <v>280</v>
      </c>
      <c r="B281" s="20"/>
      <c r="C281" s="99"/>
      <c r="D281" s="99"/>
      <c r="E281" s="99"/>
      <c r="F281" s="99"/>
      <c r="G281" s="21"/>
      <c r="H281" s="20"/>
      <c r="I281" s="21"/>
      <c r="J281" s="21"/>
      <c r="K281" s="99"/>
    </row>
    <row r="282" spans="1:11">
      <c r="A282" s="24">
        <v>281</v>
      </c>
      <c r="B282" s="20"/>
      <c r="C282" s="20"/>
      <c r="D282" s="20"/>
      <c r="E282" s="20"/>
      <c r="F282" s="20"/>
      <c r="G282" s="21"/>
      <c r="H282" s="20"/>
      <c r="I282" s="21"/>
      <c r="J282" s="21"/>
    </row>
    <row r="283" spans="1:11">
      <c r="A283" s="24">
        <v>282</v>
      </c>
      <c r="B283" s="20"/>
      <c r="C283" s="20"/>
      <c r="D283" s="20"/>
      <c r="E283" s="20"/>
      <c r="F283" s="20"/>
      <c r="G283" s="21"/>
      <c r="H283" s="20"/>
      <c r="I283" s="21"/>
      <c r="J283" s="21"/>
    </row>
    <row r="284" spans="1:11">
      <c r="A284" s="24">
        <v>283</v>
      </c>
      <c r="B284" s="20"/>
      <c r="C284" s="20"/>
      <c r="D284" s="20"/>
      <c r="E284" s="20"/>
      <c r="F284" s="20"/>
      <c r="G284" s="21"/>
      <c r="H284" s="20"/>
      <c r="I284" s="21"/>
      <c r="J284" s="21"/>
    </row>
    <row r="285" spans="1:11">
      <c r="A285" s="24">
        <v>284</v>
      </c>
      <c r="B285" s="20"/>
      <c r="C285" s="20"/>
      <c r="D285" s="20"/>
      <c r="E285" s="20"/>
      <c r="F285" s="20"/>
      <c r="G285" s="21"/>
      <c r="H285" s="20"/>
      <c r="I285" s="21"/>
      <c r="J285" s="21"/>
    </row>
    <row r="286" spans="1:11">
      <c r="A286" s="24">
        <v>285</v>
      </c>
      <c r="B286" s="20"/>
      <c r="C286" s="20"/>
      <c r="D286" s="20"/>
      <c r="E286" s="20"/>
      <c r="F286" s="20"/>
      <c r="G286" s="21"/>
      <c r="H286" s="20"/>
      <c r="I286" s="21"/>
      <c r="J286" s="21"/>
    </row>
    <row r="287" spans="1:11">
      <c r="A287" s="24">
        <v>286</v>
      </c>
      <c r="B287" s="20"/>
      <c r="C287" s="20"/>
      <c r="D287" s="20"/>
      <c r="E287" s="20"/>
      <c r="F287" s="20"/>
      <c r="G287" s="21"/>
      <c r="H287" s="20"/>
      <c r="I287" s="21"/>
      <c r="J287" s="21"/>
    </row>
    <row r="288" spans="1:11">
      <c r="A288" s="24">
        <v>287</v>
      </c>
      <c r="B288" s="20"/>
      <c r="C288" s="20"/>
      <c r="D288" s="20"/>
      <c r="E288" s="20"/>
      <c r="F288" s="20"/>
      <c r="G288" s="21"/>
      <c r="H288" s="20"/>
      <c r="I288" s="21"/>
      <c r="J288" s="21"/>
    </row>
    <row r="289" spans="1:10">
      <c r="A289" s="24">
        <v>288</v>
      </c>
      <c r="B289" s="20"/>
      <c r="C289" s="20"/>
      <c r="D289" s="20"/>
      <c r="E289" s="20"/>
      <c r="F289" s="20"/>
      <c r="G289" s="21"/>
      <c r="H289" s="20"/>
      <c r="I289" s="21"/>
      <c r="J289" s="21"/>
    </row>
    <row r="290" spans="1:10">
      <c r="A290" s="24">
        <v>289</v>
      </c>
      <c r="B290" s="20"/>
      <c r="C290" s="20"/>
      <c r="D290" s="20"/>
      <c r="E290" s="20"/>
      <c r="F290" s="20"/>
      <c r="G290" s="21"/>
      <c r="H290" s="20"/>
      <c r="I290" s="21"/>
      <c r="J290" s="21"/>
    </row>
    <row r="291" spans="1:10">
      <c r="A291" s="24">
        <v>290</v>
      </c>
      <c r="B291" s="20"/>
      <c r="C291" s="20"/>
      <c r="D291" s="20"/>
      <c r="E291" s="20"/>
      <c r="F291" s="20"/>
      <c r="G291" s="21"/>
      <c r="H291" s="20"/>
      <c r="I291" s="21"/>
      <c r="J291" s="21"/>
    </row>
    <row r="292" spans="1:10">
      <c r="A292" s="24">
        <v>291</v>
      </c>
      <c r="B292" s="20"/>
      <c r="C292" s="20"/>
      <c r="D292" s="20"/>
      <c r="E292" s="20"/>
      <c r="F292" s="20"/>
      <c r="G292" s="21"/>
      <c r="H292" s="20"/>
      <c r="I292" s="21"/>
      <c r="J292" s="21"/>
    </row>
    <row r="293" spans="1:10">
      <c r="A293" s="24">
        <v>292</v>
      </c>
      <c r="B293" s="20"/>
      <c r="C293" s="20"/>
      <c r="D293" s="20"/>
      <c r="E293" s="20"/>
      <c r="F293" s="20"/>
      <c r="G293" s="21"/>
      <c r="H293" s="20"/>
      <c r="I293" s="21"/>
      <c r="J293" s="21"/>
    </row>
    <row r="294" spans="1:10">
      <c r="A294" s="24">
        <v>293</v>
      </c>
      <c r="B294" s="20"/>
      <c r="C294" s="20"/>
      <c r="D294" s="20"/>
      <c r="E294" s="20"/>
      <c r="F294" s="20"/>
      <c r="G294" s="21"/>
      <c r="H294" s="20"/>
      <c r="I294" s="21"/>
      <c r="J294" s="21"/>
    </row>
    <row r="295" spans="1:10">
      <c r="A295" s="24">
        <v>294</v>
      </c>
      <c r="B295" s="20"/>
      <c r="C295" s="20"/>
      <c r="D295" s="20"/>
      <c r="E295" s="20"/>
      <c r="F295" s="20"/>
      <c r="G295" s="21"/>
      <c r="H295" s="20"/>
      <c r="I295" s="21"/>
      <c r="J295" s="21"/>
    </row>
    <row r="296" spans="1:10">
      <c r="A296" s="24">
        <v>295</v>
      </c>
      <c r="B296" s="20"/>
      <c r="C296" s="20"/>
      <c r="D296" s="20"/>
      <c r="E296" s="20"/>
      <c r="F296" s="20"/>
      <c r="G296" s="21"/>
      <c r="H296" s="20"/>
      <c r="I296" s="21"/>
      <c r="J296" s="21"/>
    </row>
    <row r="297" spans="1:10">
      <c r="A297" s="24">
        <v>296</v>
      </c>
      <c r="B297" s="20"/>
      <c r="C297" s="20"/>
      <c r="D297" s="20"/>
      <c r="E297" s="20"/>
      <c r="F297" s="20"/>
      <c r="G297" s="21"/>
      <c r="H297" s="20"/>
      <c r="I297" s="21"/>
      <c r="J297" s="21"/>
    </row>
    <row r="298" spans="1:10">
      <c r="A298" s="24">
        <v>297</v>
      </c>
      <c r="B298" s="20"/>
      <c r="C298" s="20"/>
      <c r="D298" s="20"/>
      <c r="E298" s="20"/>
      <c r="F298" s="20"/>
      <c r="G298" s="21"/>
      <c r="H298" s="20"/>
      <c r="I298" s="21"/>
      <c r="J298" s="21"/>
    </row>
    <row r="299" spans="1:10">
      <c r="A299" s="24">
        <v>298</v>
      </c>
      <c r="B299" s="20"/>
      <c r="C299" s="20"/>
      <c r="D299" s="20"/>
      <c r="E299" s="20"/>
      <c r="F299" s="20"/>
      <c r="G299" s="21"/>
      <c r="H299" s="20"/>
      <c r="I299" s="21"/>
      <c r="J299" s="21"/>
    </row>
    <row r="300" spans="1:10">
      <c r="A300" s="24">
        <v>299</v>
      </c>
      <c r="B300" s="20"/>
      <c r="C300" s="20"/>
      <c r="D300" s="20"/>
      <c r="E300" s="20"/>
      <c r="F300" s="20"/>
      <c r="G300" s="21"/>
      <c r="H300" s="20"/>
      <c r="I300" s="21"/>
      <c r="J300" s="21"/>
    </row>
    <row r="301" spans="1:10">
      <c r="A301" s="24">
        <v>300</v>
      </c>
      <c r="B301" s="20"/>
      <c r="C301" s="20"/>
      <c r="D301" s="20"/>
      <c r="E301" s="20"/>
      <c r="F301" s="20"/>
      <c r="G301" s="21"/>
      <c r="H301" s="20"/>
      <c r="I301" s="21"/>
      <c r="J301" s="21"/>
    </row>
    <row r="308" spans="6:6">
      <c r="F308" s="16" t="s">
        <v>3175</v>
      </c>
    </row>
  </sheetData>
  <phoneticPr fontId="7" type="noConversion"/>
  <conditionalFormatting sqref="C1:F1 C282:E1048576 F282:F301">
    <cfRule type="colorScale" priority="2">
      <colorScale>
        <cfvo type="min"/>
        <cfvo type="percentile" val="50"/>
        <cfvo type="max"/>
        <color rgb="FFF8696B"/>
        <color rgb="FFFFEB84"/>
        <color rgb="FF63BE7B"/>
      </colorScale>
    </cfRule>
  </conditionalFormatting>
  <conditionalFormatting sqref="C282:G301 G4:G281 G2">
    <cfRule type="colorScale" priority="10">
      <colorScale>
        <cfvo type="min"/>
        <cfvo type="max"/>
        <color rgb="FFFCFCFF"/>
        <color rgb="FF63BE7B"/>
      </colorScale>
    </cfRule>
  </conditionalFormatting>
  <conditionalFormatting sqref="F302:F1048576 G4:G301 G1:G2">
    <cfRule type="colorScale" priority="3">
      <colorScale>
        <cfvo type="min"/>
        <cfvo type="percentile" val="50"/>
        <cfvo type="max"/>
        <color rgb="FFF8696B"/>
        <color rgb="FFFFEB84"/>
        <color rgb="FF63BE7B"/>
      </colorScale>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CB8F4-92CE-44C7-94BB-3F7A3AFF81D3}">
  <sheetPr>
    <tabColor theme="4" tint="0.59999389629810485"/>
  </sheetPr>
  <dimension ref="A1:AM253"/>
  <sheetViews>
    <sheetView zoomScaleNormal="100" workbookViewId="0">
      <pane xSplit="1" ySplit="1" topLeftCell="B19" activePane="bottomRight" state="frozen"/>
      <selection pane="topRight" activeCell="B329" sqref="B329"/>
      <selection pane="bottomLeft" activeCell="B329" sqref="B329"/>
      <selection pane="bottomRight" activeCell="B20" sqref="B20"/>
    </sheetView>
  </sheetViews>
  <sheetFormatPr defaultColWidth="8.6328125" defaultRowHeight="14.5"/>
  <cols>
    <col min="1" max="1" width="5.6328125" style="17" customWidth="1"/>
    <col min="2" max="2" width="25.6328125" style="6" customWidth="1"/>
    <col min="3" max="3" width="87.453125" style="6" customWidth="1"/>
    <col min="4" max="4" width="13.08984375" style="6" customWidth="1"/>
    <col min="5" max="5" width="10.6328125" style="6" customWidth="1"/>
    <col min="6" max="6" width="13.54296875" style="6" customWidth="1"/>
    <col min="7" max="7" width="13.36328125" style="16" customWidth="1"/>
    <col min="8" max="8" width="18.08984375" style="6" customWidth="1"/>
    <col min="9" max="9" width="16.08984375" style="16" customWidth="1"/>
    <col min="10" max="10" width="10.453125" style="16" customWidth="1"/>
    <col min="11" max="11" width="13.54296875" style="16" customWidth="1"/>
    <col min="12" max="12" width="20.54296875" style="16" customWidth="1"/>
    <col min="13" max="13" width="17.453125" style="16" customWidth="1"/>
    <col min="14" max="16384" width="8.6328125" style="16"/>
  </cols>
  <sheetData>
    <row r="1" spans="1:39" s="15" customFormat="1" ht="72.5">
      <c r="A1" s="19" t="s">
        <v>3164</v>
      </c>
      <c r="B1" s="18" t="s">
        <v>2</v>
      </c>
      <c r="C1" s="13" t="s">
        <v>16</v>
      </c>
      <c r="D1" s="11" t="s">
        <v>3176</v>
      </c>
      <c r="E1" s="11" t="s">
        <v>3177</v>
      </c>
      <c r="F1" s="11" t="s">
        <v>3178</v>
      </c>
      <c r="G1" s="11" t="s">
        <v>3179</v>
      </c>
      <c r="H1" s="11" t="s">
        <v>3180</v>
      </c>
      <c r="I1" s="11" t="s">
        <v>3181</v>
      </c>
      <c r="J1" s="11" t="s">
        <v>3182</v>
      </c>
      <c r="K1" s="11" t="s">
        <v>3183</v>
      </c>
      <c r="L1" s="12" t="s">
        <v>3171</v>
      </c>
      <c r="M1" s="12" t="s">
        <v>3172</v>
      </c>
      <c r="N1" s="12" t="s">
        <v>3184</v>
      </c>
      <c r="O1" s="14"/>
      <c r="P1" s="14"/>
      <c r="Q1" s="14"/>
      <c r="R1" s="14"/>
      <c r="S1" s="14"/>
      <c r="T1" s="14"/>
      <c r="U1" s="14"/>
      <c r="V1" s="14"/>
      <c r="W1" s="14"/>
      <c r="X1" s="14"/>
      <c r="Y1" s="14"/>
      <c r="Z1" s="14"/>
      <c r="AA1" s="14"/>
      <c r="AB1" s="14"/>
      <c r="AC1" s="14"/>
      <c r="AD1" s="14"/>
      <c r="AE1" s="14"/>
      <c r="AF1" s="14"/>
      <c r="AG1" s="14"/>
      <c r="AH1" s="14"/>
      <c r="AI1" s="14"/>
      <c r="AJ1" s="14"/>
      <c r="AK1" s="14"/>
      <c r="AL1" s="14"/>
      <c r="AM1" s="14"/>
    </row>
    <row r="2" spans="1:39" ht="273">
      <c r="A2" s="24"/>
      <c r="B2" s="20" t="str">
        <f>scopus[[#This Row],[Title]]</f>
        <v>Life Cycle Impacts of Timber and Reinforced Concrete Floor Slabs: A Comparative Assessment</v>
      </c>
      <c r="C2" s="102" t="str">
        <f>scopus[[#This Row],[Abstract]]</f>
        <v>Due to their sustainability, lightweight qualities, and simplicity of installation, wood slab systems have gained increasing attention in the building industry. Cross-laminated timber (CLT), an engineered wood product (EWP), improves structural strength and stability, offering a good alternative to conventional reinforced concrete (RC) slab systems. Conventional CLT, however, contains adhesives that pose environmental and end-of-life (EOL) disposal challenges. Adhesive-free CLT (AFCLT) panels have recently been introduced as a sustainable option, but their environmental performance has not yet been thoroughly investigated. In this study, the environmental impacts of five slab systems are evaluated and compared using the life cycle assessment (LCA) methodology. The investigated slab systems include a standard CLT slab (SCLT), three different AFCLT slabs (AFCLT1, AFCLT2, and AFCLT3), and an RC slab. The assessment considered abiotic depletion potential (ADP), global warming potential (GWP), ozone layer depletion potential (ODP), human toxicity potential (HTP), freshwater aquatic ecotoxicity potential (FAETP), marine aquatic ecotoxicity potential (MAETP), terrestrial ecotoxicity potential (TETP), photochemical oxidation potential (POCP), acidification potential (AP), and eutrophication potential (EP), covering the entire life cycle from production to disposal, excluding part of the use stage (B2-B7). The results highlight the advantages and drawbacks of each slab system, providing insights into selecting sustainable slab solutions. AFCLT2 exhibited the lowest environmental impacts across the assessed categories. On the contrary, the RC slab showed the highest environmental impact among the studied products. For example, the RC slab had the highest GWP of 67.422 kg CO2 eq, which was 1784.3% higher than that of AFCLT2 (3.779 kg CO2 eq). Additionally, the simulation displayed that the analysis results vary depending on the electricity source, which is influenced by geographical location. Using the Norwegian electricity mix resulted in the most sustainable outcomes compared with Sweden, Finland, and Saudi Arabia. This study contributes to the advancement of low-carbon construction techniques and the development of building materials with reduced environmental impacts in the construction sector. © 2025 by the authors.</v>
      </c>
      <c r="D2" s="21">
        <v>5</v>
      </c>
      <c r="E2" s="21">
        <v>5</v>
      </c>
      <c r="F2" s="21">
        <v>5</v>
      </c>
      <c r="G2" s="21">
        <v>5</v>
      </c>
      <c r="H2" s="21" t="s">
        <v>3185</v>
      </c>
      <c r="I2" s="21" t="s">
        <v>3186</v>
      </c>
      <c r="J2" s="21">
        <v>1</v>
      </c>
      <c r="K2" s="20"/>
      <c r="L2" s="21"/>
      <c r="M2" s="21"/>
      <c r="N2" s="21">
        <f t="shared" ref="N2:N65" si="0">SUM(D2:G2)*J2</f>
        <v>20</v>
      </c>
    </row>
    <row r="3" spans="1:39" ht="182">
      <c r="A3" s="24"/>
      <c r="B3" s="20" t="str">
        <f>scopus[[#This Row],[Title]]</f>
        <v>Structural design of hybrid steel-timber buildings for lower production stage embodied carbon emissions</v>
      </c>
      <c r="C3" s="102" t="str">
        <f>scopus[[#This Row],[Abstract]]</f>
        <v>Using cross laminated timber (CLT) floor panels in combination with steel framing has been identified as a promising new structural configuration that can reduce the embodied greenhouse gas emissions of buildings. This project evaluated efficient structural design of hybrid steel-timber floor sections for a wide range of design parameters to determine the reductions in global warming potential possible relative to a conventional steel-concrete cross section. Each of the structural designs was checked for strength limit states, deflection, and minimum fire rating of either unrated, 1-h, or 2-h for a range of deck spans between 2.3 m and 4.6 m and beam spans between 5.5 m and 13.5 m. For an unrated floor assembly there is little global warming potential benefit to use steel-timber floors if a topping slab is included on top of the CLT slab. Whereas, using steel-timber configurations without a topping slab result in the largest global warming potential reductions. For the 1-h and 2-h ratings, even steel-timber configurations with a 64 mm thick topping slab had up to 20% reduction in global warming potential compared to the steel-concrete alternative. Additionally, several considerations that can drastically affect the global warming potential results were discussed. The results from this project demonstrate the best practices for structural design of hybrid steel-timber buildings to reduce global warming potential of the superstructure frame by between 5% and 35% relative to conventional steel and concrete construction. © 2023 Elsevier Ltd</v>
      </c>
      <c r="D3" s="21">
        <v>5</v>
      </c>
      <c r="E3" s="21">
        <v>5</v>
      </c>
      <c r="F3" s="21">
        <v>5</v>
      </c>
      <c r="G3" s="21">
        <v>5</v>
      </c>
      <c r="H3" s="21" t="s">
        <v>3185</v>
      </c>
      <c r="I3" s="21" t="s">
        <v>3186</v>
      </c>
      <c r="J3" s="21">
        <v>1</v>
      </c>
      <c r="K3" s="20"/>
      <c r="L3" s="21"/>
      <c r="M3" s="21"/>
      <c r="N3" s="21">
        <f t="shared" si="0"/>
        <v>20</v>
      </c>
    </row>
    <row r="4" spans="1:39" ht="182">
      <c r="A4" s="24"/>
      <c r="B4" s="20" t="str">
        <f>scopus[[#This Row],[Title]]</f>
        <v>Technical note: A preliminary study to quantify the environmental impacts of concrete and cork flooring</v>
      </c>
      <c r="C4" s="102" t="str">
        <f>scopus[[#This Row],[Abstract]]</f>
        <v>Cross-laminated timber (CLT) is currently sought as a sustainable and green building material. It does not meet the International Building Code sound insulating requirements, and either a concrete slab or hardwood flooring is needed to meet the acoustic and vibrational performance benchmark. Cork, the bark of the cork oak, is well known for its sound insulating properties and often used for flooring applications in Europe. The cork-based flooring system is a potential solution to the acoustic problem faced by the CLT building industry. The goal of this preliminary study was to quantify the environmental impacts of a concrete and a cork-based flooring system that includes CLT. A life-cycle analysis (LCA) is conducted to focus on a cradle-to-gate comparison of a cork flooring system with a locally sourced concrete flooring system for use in a proposed CLT structure in Portland, OR. The LCA reveals that the global warming potential (GWP) of concrete is 25% higher for the concrete flooring system. For cork flooring, the GWP is mainly driven by inorganic compounds in the flooring assembly. The main source for cork is Portugal, which increases the GWP of the cork flooring system, in contrast to that of concrete flooring, which typically has a regional production and supply system. As environmental abatement costs increase, the profitability of cork flooring can increase to justify the creation of an appropriate system to close the loop. © 2018 by the Society of Wood Science and Technology.</v>
      </c>
      <c r="D4" s="21">
        <v>5</v>
      </c>
      <c r="E4" s="21">
        <v>5</v>
      </c>
      <c r="F4" s="21">
        <v>5</v>
      </c>
      <c r="G4" s="21">
        <v>5</v>
      </c>
      <c r="H4" s="21" t="s">
        <v>3185</v>
      </c>
      <c r="I4" s="21" t="s">
        <v>3186</v>
      </c>
      <c r="J4" s="21">
        <v>1</v>
      </c>
      <c r="K4" s="20"/>
      <c r="L4" s="21"/>
      <c r="M4" s="21"/>
      <c r="N4" s="21">
        <f t="shared" si="0"/>
        <v>20</v>
      </c>
    </row>
    <row r="5" spans="1:39" ht="143">
      <c r="A5" s="24"/>
      <c r="B5" s="20" t="str">
        <f>scopus[[#This Row],[Title]]</f>
        <v>INFLUENCE OF DIFFERENT END-OF-LIFE CYCLE SCENARIOS ON THE ENVIRONMENTAL IMPACTS OF TIMBER-CONCRETE COMPOSITE FLOOR SYSTEMS</v>
      </c>
      <c r="C5" s="102" t="str">
        <f>scopus[[#This Row],[Abstract]]</f>
        <v>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v>
      </c>
      <c r="D5" s="21">
        <v>5</v>
      </c>
      <c r="E5" s="21">
        <v>5</v>
      </c>
      <c r="F5" s="21">
        <v>5</v>
      </c>
      <c r="G5" s="21">
        <v>5</v>
      </c>
      <c r="H5" s="21" t="s">
        <v>3185</v>
      </c>
      <c r="I5" s="21" t="s">
        <v>3186</v>
      </c>
      <c r="J5" s="21">
        <v>1</v>
      </c>
      <c r="K5" s="20"/>
      <c r="L5" s="21"/>
      <c r="M5" s="21"/>
      <c r="N5" s="21">
        <f t="shared" si="0"/>
        <v>20</v>
      </c>
    </row>
    <row r="6" spans="1:39" ht="169">
      <c r="A6" s="24"/>
      <c r="B6" s="20" t="str">
        <f>scopus[[#This Row],[Title]]</f>
        <v>Cross-laminated timber flooring and concrete slab flooring: A comparative study of structural design, economic and environmental consequences</v>
      </c>
      <c r="C6" s="102" t="str">
        <f>scopus[[#This Row],[Abstract]]</f>
        <v>This paper compares cross-laminated timber (CLT) flooring and concrete slab flooring with respect to structural design, cost analysis, and greenhouse gas emissions. The effect of floor span on design values, costs, and carbon dioxide emissions is analysed in terms of structural design, economy, and environmental impact. Different cross-sections are chosen for this purpose. The study shows that CLT flooring has significantly lower emissions of climate-impact greenhouse gases, and its ability to store carbon is significantly greater than the capacity of concrete storage. From an economic point of view, the CLT material is more expensive than concrete. However, the estimated “ready-to-assemble” cost of both floor types is quite similar. The study shows that CLT flooring can compete with a concrete slab floor when it comes to a span as wide as 7 m without violating the structural requirements. However, with an increase in span, it is more difficult to meet the requirements for vibration for a CLT floor than for a concrete slab. At shorter spans, the moment capacity is often a decisive factor for concrete slabs while deformation is the decisive factor for a CLT floor. For larger spans, resonance frequency and deformation are crucial for the CLT floor, while the long-term deformation of the concrete is the decisive factor in structural design. © 2019 Elsevier Ltd</v>
      </c>
      <c r="D6" s="21">
        <v>5</v>
      </c>
      <c r="E6" s="21">
        <v>5</v>
      </c>
      <c r="F6" s="21">
        <v>5</v>
      </c>
      <c r="G6" s="21">
        <v>5</v>
      </c>
      <c r="H6" s="21" t="s">
        <v>3185</v>
      </c>
      <c r="I6" s="21" t="s">
        <v>3186</v>
      </c>
      <c r="J6" s="21">
        <v>1</v>
      </c>
      <c r="K6" s="20"/>
      <c r="L6" s="21"/>
      <c r="M6" s="21"/>
      <c r="N6" s="21">
        <f t="shared" si="0"/>
        <v>20</v>
      </c>
    </row>
    <row r="7" spans="1:39" ht="195">
      <c r="A7" s="24"/>
      <c r="B7" s="20" t="str">
        <f>scopus[[#This Row],[Title]]</f>
        <v>Reducing Embodied Energy of Floor Assembly: A Case for Using CLT in Mid-Rise Residential Buildings</v>
      </c>
      <c r="C7" s="102" t="str">
        <f>scopus[[#This Row],[Abstract]]</f>
        <v>Buildings’ energy consumption is estimated between 30 and 40% of its global use, resulting in various environmental impacts. There is a need to reduce the energy consumption by buildings in the construction phase, along with the operation phase, which is well-studied. Concrete is a construction material that is being used widely in the construction industry but has high embodied energy. In the move towards using low-energy materials, new materials and construction technologies are being developed and studied. In this regard, Cross lamented timber (CLT) can be a sustainable alternative due to its excellent load-carrying capabilities, and therefore has become an emerging choice in buildings as a low embodied energy material alternative. This paper aims to explore the potential initial embodied energy reduction benefits by comparing the initial embodied energy consumption of concrete floor systems and CLT floor systems for mid-rise residential buildings. An eight-story apartment building was used for this analysis. This study shows that replacing the reinforced concrete floor with a CLT floor results in more than four times reduction in embodied energy associated with floor construction. This demonstrates the need for careful selection of materials in buildings at the design stage to reduce their embodied energy and consider the use of CLT instead of reinforced concrete in this context. Results from this initial study also indicate the need for more studies to address the challenges associated with the adoption of this low embodied energy material. © The Author(s), under exclusive license to Springer Nature Singapore Pte Ltd. 2024.</v>
      </c>
      <c r="D7" s="21">
        <v>5</v>
      </c>
      <c r="E7" s="21">
        <v>5</v>
      </c>
      <c r="F7" s="21">
        <v>5</v>
      </c>
      <c r="G7" s="21">
        <v>5</v>
      </c>
      <c r="H7" s="21" t="s">
        <v>3185</v>
      </c>
      <c r="I7" s="21" t="s">
        <v>3186</v>
      </c>
      <c r="J7" s="21">
        <v>1</v>
      </c>
      <c r="K7" s="20"/>
      <c r="L7" s="21"/>
      <c r="M7" s="21"/>
      <c r="N7" s="21">
        <f t="shared" si="0"/>
        <v>20</v>
      </c>
    </row>
    <row r="8" spans="1:39" ht="221">
      <c r="A8" s="24"/>
      <c r="B8" s="20" t="str">
        <f>scopus[[#This Row],[Title]]</f>
        <v>Dynamic response of steel-timber composite (STC) beams</v>
      </c>
      <c r="C8" s="102" t="str">
        <f>scopus[[#This Row],[Abstract]]</f>
        <v>Due to their recyclability and considerably lower embodied carbon, timber floors are advocated extensively as a more sustainable alternative to concrete slabs. Cross-Laminated Timber (CLT) is an engineered wood product with low variability in mechanical properties and therefore of high reliability and quality, presenting a very attractive alternative to concrete slabs. Replacing the reinforced concrete slabs in conventional steel-concrete composite with an engineered timber product (such as CLT) leads to a significant reduction in the overall weight of the floors, and consequently the weight of supporting structural elements including columns and beams. The combination of light CLT panels and steel may allow an increase in the load-carrying span of the floor systems which is highly desirable from an architectural viewpoint. However, one major drawback negatively affecting the serviceability and thus widespread adoption of such systems in practice is the high susceptibility of undesirable vibration in steel-timber composite (STC) floors under service load conditions due to low mass and damping ratio of timber slabs. This paper presents the results of a series of experimental impact hammer tests conducted to investigate the vibrational characteristics of different STC beams. Three STC beams with different shear connector types are experimentally tested to extract their natural frequencies. Numerical models are generated and validated using the results of previously performed short-term failure tests. The validated numerical models are then used to extract the linear flexural stiffness of STC beams to determine the deflection of the beams under self-weight. The experimental results are compared against results from analytical models calculating the fundamental natural frequencies of the beams. Further, the obtained dynamic indices of STC beams are evaluated based on available standard regulations.</v>
      </c>
      <c r="D8" s="21">
        <v>5</v>
      </c>
      <c r="E8" s="21">
        <v>5</v>
      </c>
      <c r="F8" s="21">
        <v>5</v>
      </c>
      <c r="G8" s="21">
        <v>5</v>
      </c>
      <c r="H8" s="21" t="s">
        <v>3185</v>
      </c>
      <c r="I8" s="21" t="s">
        <v>3186</v>
      </c>
      <c r="J8" s="21">
        <v>1</v>
      </c>
      <c r="K8" s="20"/>
      <c r="L8" s="21"/>
      <c r="M8" s="21"/>
      <c r="N8" s="21">
        <f t="shared" si="0"/>
        <v>20</v>
      </c>
    </row>
    <row r="9" spans="1:39" ht="195">
      <c r="A9" s="24"/>
      <c r="B9" s="20" t="str">
        <f>scopus[[#This Row],[Title]]</f>
        <v>Sustainability Design Considerations for Timber-Concrete Composite Floor Systems</v>
      </c>
      <c r="C9" s="102" t="str">
        <f>scopus[[#This Row],[Abstract]]</f>
        <v>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  © 2021 Md Abdul Hamid Mirdad et al.</v>
      </c>
      <c r="D9" s="21">
        <v>5</v>
      </c>
      <c r="E9" s="21">
        <v>5</v>
      </c>
      <c r="F9" s="21">
        <v>5</v>
      </c>
      <c r="G9" s="21">
        <v>5</v>
      </c>
      <c r="H9" s="21" t="s">
        <v>3185</v>
      </c>
      <c r="I9" s="21" t="s">
        <v>3186</v>
      </c>
      <c r="J9" s="21">
        <v>1</v>
      </c>
      <c r="K9" s="20"/>
      <c r="L9" s="21"/>
      <c r="M9" s="21"/>
      <c r="N9" s="21">
        <f t="shared" si="0"/>
        <v>20</v>
      </c>
    </row>
    <row r="10" spans="1:39" ht="221">
      <c r="A10" s="24"/>
      <c r="B10" s="20" t="str">
        <f>scopus[[#This Row],[Title]]</f>
        <v>Environmental benefits of using an all-wood floor system in midrise office construction: an LCA based comparative case study in the Southeastern United States</v>
      </c>
      <c r="C10" s="102" t="str">
        <f>scopus[[#This Row],[Abstract]]</f>
        <v>This study presents a cradle-to-grave whole-building life cycle assessment (WBLCA) of two functionally equivalent mid-rise commercial office buildings in Atlanta, Georgia: one constructed using mass timber with an all-wood composite floor system (CLT and GLT), and the other using conventional steel and reinforced concrete. Using Tally®, a Revit-integrated LCA tool, environmental impacts were evaluated across eight categories: global warming, acidification, eutrophication, smog formation, ozone depletion, total primary energy, renewable and non-renewable energy use, and normalized to 1 m2 of floor area over a 50-year service life. Results showed that the mass timber building required 25% less material mass and achieved a 4.5% reduction in global warming potential (GWP) (2801.12 kg CO2-eq/m2 versus 2975.85 kg CO2-eq/m2 for the steel–concrete system) and 27.9% more renewable energy use. However, timber’s carbon advantage was diminished by conservative end-of-life modeling, assuming 63.5% wood landfilling and 98% steel recycling, which significantly influenced net GWP through Module D credits. Additionally, the mass timber building stored 857,551 tCO2-eq in wood components (long-term biogenic carbon storage). The timber structure also exhibited higher eutrophication and acidification impacts, primarily due to emissions from adhesives and chemical treatments. Contribution analysis showed that finishes and non-structural components contributed disproportionately to overall impacts in both systems, illustrating the limitations of focusing solely on structural materials in building LCA. The findings emphasize the need for integrated material strategies, circular end-of-life planning, and regionally grounded modeling to fully realize the environmental potential of wood-based construction. © 2025 The Author(s). Published by IOP Publishing Ltd.</v>
      </c>
      <c r="D10" s="21">
        <v>5</v>
      </c>
      <c r="E10" s="21">
        <v>5</v>
      </c>
      <c r="F10" s="21">
        <v>5</v>
      </c>
      <c r="G10" s="21">
        <v>5</v>
      </c>
      <c r="H10" s="21" t="s">
        <v>3185</v>
      </c>
      <c r="I10" s="21" t="s">
        <v>3187</v>
      </c>
      <c r="J10" s="21">
        <v>1</v>
      </c>
      <c r="K10" s="20"/>
      <c r="L10" s="21"/>
      <c r="M10" s="21"/>
      <c r="N10" s="21">
        <f t="shared" si="0"/>
        <v>20</v>
      </c>
    </row>
    <row r="11" spans="1:39" ht="169">
      <c r="A11" s="24"/>
      <c r="B11" s="20" t="str">
        <f>scopus[[#This Row],[Title]]</f>
        <v>BALANCING FASTENER SPACING, ACOUSTICS, AND SPAN LENGTH IN EXPOSED CLT FLOOR-CEILING ASSEMBLIES</v>
      </c>
      <c r="C11" s="102" t="str">
        <f>scopus[[#This Row],[Abstract]]</f>
        <v>Aside from sustainability, one of the most unique benefits of mass timber as a construction material is its extremely high strength-to-weight ratio. As a result, the weight of a floor slab in a mass timber building is much lighter than in a building constructed with conventional material. This unique benefit of engineered timber also comes with unique challenges. Albeit ironic, the low mass in mass timber assemblies is to blame for two of the most prominent pain points in engineered timber construction: floor vibration and sound transmission. Limits on floor vibration often result in short span lengths and tight structural grid spacing. Timber-concrete composite (TCC) floor systems are one method that can be used to alleviate this restriction. However, connecting a concrete topping to the timber panel underneath with mechanical fasteners harms the acoustic performance of the floor assembly. In this paper, the relationship between fastener spacing, composite slab behaviour, and sound transmission is investigated. Physical testing is carried out to determine the degree of composite action achieved with a timber-concrete composite system in the presence of a resilient acoustic interlayer. The data obtained is used to analyse the resulting span and acoustic performance with various spacing of fasteners. © (2025) WORLD CONFERENCE ON TIMBER ENGINEERING 2025 (WCTE 2025) All rights reserved.</v>
      </c>
      <c r="D11" s="21">
        <v>5</v>
      </c>
      <c r="E11" s="21">
        <v>5</v>
      </c>
      <c r="F11" s="21">
        <v>5</v>
      </c>
      <c r="G11" s="21">
        <v>5</v>
      </c>
      <c r="H11" s="21" t="s">
        <v>3185</v>
      </c>
      <c r="I11" s="21" t="s">
        <v>3186</v>
      </c>
      <c r="J11" s="21">
        <v>1</v>
      </c>
      <c r="K11" s="20"/>
      <c r="L11" s="21"/>
      <c r="M11" s="21"/>
      <c r="N11" s="21">
        <f t="shared" si="0"/>
        <v>20</v>
      </c>
    </row>
    <row r="12" spans="1:39" ht="221">
      <c r="A12" s="24"/>
      <c r="B12" s="20" t="str">
        <f>scopus[[#This Row],[Title]]</f>
        <v>Integrating thermal bridge analysis with life-cycle assessment: energy and environmental performance of Ply-Lam CLT envelopes in ZEB-Level apartments</v>
      </c>
      <c r="C12" s="102" t="str">
        <f>scopus[[#This Row],[Abstract]]</f>
        <v>Building envelopes play a decisive role in both the operational energy use and life-cycle carbon emissions, particularly when junction thermal bridges are considered. In Korean apartment housing, reinforced concrete (RC) construction with interior insulation remains dominant; however, it is structurally vulnerable to heat losses at wall–slab connections. To address this drawback, ply-lam cross-laminated timber (CLT) was evaluated as an alternative envelope system using a coupled framework integrating ISO 10,211-based thermal bridge modeling, whole-building simulations in DesignBuilder, and life-cycle assessment (LCA), following EN 15,804+A2. Substituting RC walls with ply-lam CLT reduced annual primary energy consumption by 5%–9%. Junction thermal bridges in RC resulted in additional losses of 125.1 W/K, whereas the CLT alternative achieved only 13.0 W/K, representing an 89.6% reduction. Roof and corner junctions in CLT satisfied the stringent Ψ ≤ 0.05 W/m·K benchmark, whereas floor junctions approached this target. From a carbon perspective, CLT envelopes achieved an approximately 10% reduction in 30-year operational global warming potential (GWP) and further reductions in embodied GWP through lower manufacturing emissions and biogenic carbon storage, leading to a net decrease of approximately 59 kgCO₂eq/m² relative to RC. The results highlight the structural vulnerability of RC systems and the resilience of CLT alternatives when configured with continuous insulation and optimized details. By integrating junction-scale thermal bridge modeling with whole-building energy and life-cycle carbon analyses, this study provides comprehensive evidence for CLT as a competitive pathway to support low-carbon housing and national carbon neutrality goals. © 2025</v>
      </c>
      <c r="D12" s="21">
        <v>5</v>
      </c>
      <c r="E12" s="21">
        <v>5</v>
      </c>
      <c r="F12" s="21">
        <v>5</v>
      </c>
      <c r="G12" s="21">
        <v>5</v>
      </c>
      <c r="H12" s="21" t="s">
        <v>3185</v>
      </c>
      <c r="I12" s="21" t="s">
        <v>3186</v>
      </c>
      <c r="J12" s="21">
        <v>1</v>
      </c>
      <c r="K12" s="20"/>
      <c r="L12" s="21"/>
      <c r="M12" s="21"/>
      <c r="N12" s="21">
        <f t="shared" si="0"/>
        <v>20</v>
      </c>
    </row>
    <row r="13" spans="1:39" ht="312">
      <c r="A13" s="24"/>
      <c r="B13" s="20" t="str">
        <f>scopus[[#This Row],[Title]]</f>
        <v>A COMPARATIVE DESIGN AND LCA STUDY ON THE FEASIBILITY OF EARTHQUAKE-RESISTANT MASS-TIMBER BUILDINGS</v>
      </c>
      <c r="C13" s="102" t="str">
        <f>scopus[[#This Row],[Abstract]]</f>
        <v>The building and construction industry drives the largest portion of global energy use and emissions. With climate change mitigation being a forefront topic of concern, the building and construction industry has a responsibility to alleviate its environmental impact, particularly in developing countries with a need for sustainable structural systems that explicitly consider environmental impact. Mass timber has recently emerged as a viable alternative to conventional construction materials and gained significant popularity in many developed nations. Recent design code advancements on mass timber elements and systems have paved the way for their use as multi-story building systems in seismic-prone regions. The devastating earthquakes that took place on February 3, 2023, in Turkiye have showcased the poor performance of the reinforced concrete building inventory. As the earthquakes affected a populated province where a vast majority of buildings sustained significant damage, hundreds of thousands of new buildings are expected to be constructed in the near term. Considering 93% of Turkiye’s population resides in considerably high earthquake-hazard regions, this rebuilding process gives a rare opportunity for constructing buildings with low-carbon structural solutions that utilize sustainable materials as well as modularity and prefabrication practices, therefore enabling the speedy constructability needed for the region. To evaluate the feasibility and potential benefits of seismic-resistant multi-story mass timber structures in Turkiye, this study conducts a comparative study between functionally equivalent reinforced concrete and mass timber buildings. The buildings use generic floor plans obtained from governmental agencies in Turkiye that mainly utilize shear wall systems for both gravity and lateral load resistance. The objective of the study was to investigate the design, lateral load performance, and economic aspects of the systems with a particular emphasis on sustainability through conducting a comparative life cycle assessment of mass timber relative to conventional reinforced concrete systems using realistic building layouts. The designed timber structure showcased adequate performance under seismic loads and was found to be considerably more environmentally advantageous compared to the companion reinforced concrete building. The mass-timber building resulted being more expensive based on material cost, but the difference is expected to shrink with more widespread CLT manufacturing in future. © 2024, International Association for Earthquake Engineering. All rights reserved.</v>
      </c>
      <c r="D13" s="21">
        <v>5</v>
      </c>
      <c r="E13" s="21">
        <v>5</v>
      </c>
      <c r="F13" s="21">
        <v>5</v>
      </c>
      <c r="G13" s="21">
        <v>4</v>
      </c>
      <c r="H13" s="21" t="s">
        <v>3185</v>
      </c>
      <c r="I13" s="21" t="s">
        <v>3186</v>
      </c>
      <c r="J13" s="21">
        <v>1</v>
      </c>
      <c r="K13" s="20"/>
      <c r="L13" s="21" t="s">
        <v>3188</v>
      </c>
      <c r="M13" s="21" t="s">
        <v>3188</v>
      </c>
      <c r="N13" s="21">
        <f t="shared" si="0"/>
        <v>19</v>
      </c>
    </row>
    <row r="14" spans="1:39" ht="156">
      <c r="A14" s="24"/>
      <c r="B14" s="20" t="str">
        <f>scopus[[#This Row],[Title]]</f>
        <v>An assessment of greenhouse gas emissions from CLT and glulam in two residential nearly zero energy buildings</v>
      </c>
      <c r="C14" s="102" t="str">
        <f>scopus[[#This Row],[Abstract]]</f>
        <v>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m2. The apartment building in Växjö, House A, consists of 8 floors composed of glued laminated timber (glulam) beams with a wood-cassette floor, and concrete slabs with a total heated floor area of 3483 m2.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 © 2019, © 2019 Informa UK Limited, trading as Taylor &amp; Francis Group.</v>
      </c>
      <c r="D14" s="21">
        <v>5</v>
      </c>
      <c r="E14" s="21">
        <v>4</v>
      </c>
      <c r="F14" s="21">
        <v>5</v>
      </c>
      <c r="G14" s="21">
        <v>5</v>
      </c>
      <c r="H14" s="21" t="s">
        <v>3185</v>
      </c>
      <c r="I14" s="21" t="s">
        <v>3186</v>
      </c>
      <c r="J14" s="21">
        <v>1</v>
      </c>
      <c r="K14" s="20"/>
      <c r="L14" s="21"/>
      <c r="M14" s="21"/>
      <c r="N14" s="21">
        <f t="shared" si="0"/>
        <v>19</v>
      </c>
    </row>
    <row r="15" spans="1:39" ht="169">
      <c r="A15" s="24"/>
      <c r="B15" s="20" t="str">
        <f>scopus[[#This Row],[Title]]</f>
        <v>Load-slip performance of Mass Timber Panel-Concrete (MTPC) composite connection with Self-tapping screws and insulation layer</v>
      </c>
      <c r="C15" s="102" t="str">
        <f>scopus[[#This Row],[Abstract]]</f>
        <v>The Mass Timber Panel-Concrete (MTPC) composite floor systems are often encountered in mass timber buildings. Such a floor system consists of a Mass Timber Panel (MTP) connected to a reinforced concrete slab with Self-Tapping Screw (STS) connector and a sound insulation layer in between. In this study three types of MTPs with normal weight concrete, three insulation thicknesses, two screw embedment lengths and two screw angles were tested to characterize connection stiffness and strength. The main goal of this connection test program was to provide preliminary test data to assist in the development of an analytical model to predict connection lateral stiffness and strength considering the insulation layer in the MTPC system. Test results showed that connections with screws at an insertion angle of 30° had a larger stiffness and strength than connections with screws inserted at a 45° angle. Stiffness appears to be more sensitive to the presence of an insulation layer compared to strength. Overall, 35–50% and 55–65% reduction of serviceability stiffness, and 5–15% and 22–34% reduction of strength were noticed for an insulation thickness of 5 mm and 15 mm, respectively. Screws in Cross Laminated Timber (CLT) showed higher strength while screws in Glue Laminated Timber (GLT) showed higher stiffness, but the difference is insignificant in all three MTP products with different failure modes. © 2019 Elsevier Ltd</v>
      </c>
      <c r="D15" s="21">
        <v>5</v>
      </c>
      <c r="E15" s="21">
        <v>4</v>
      </c>
      <c r="F15" s="21">
        <v>5</v>
      </c>
      <c r="G15" s="21">
        <v>5</v>
      </c>
      <c r="H15" s="21" t="s">
        <v>3185</v>
      </c>
      <c r="I15" s="21" t="s">
        <v>3186</v>
      </c>
      <c r="J15" s="21">
        <v>1</v>
      </c>
      <c r="K15" s="20"/>
      <c r="L15" s="21"/>
      <c r="M15" s="21"/>
      <c r="N15" s="21">
        <f t="shared" si="0"/>
        <v>19</v>
      </c>
    </row>
    <row r="16" spans="1:39" ht="221">
      <c r="A16" s="24"/>
      <c r="B16" s="20" t="str">
        <f>scopus[[#This Row],[Title]]</f>
        <v>Assessing the Environmental Performance of Hybrid Timber-Concrete Systems in High-Rise Building</v>
      </c>
      <c r="C16" s="102" t="str">
        <f>scopus[[#This Row],[Abstract]]</f>
        <v>The construction industry has traditionally relied on reinforced concrete as the primary structural material in high-rise buildings, valued for its strength, durability, and fire resistance. However, its high environmental impact-mainly due to cement production, which contributes approximately 8% of global CO2 emissions-has raised concerns about its sustainability. As global efforts to reduce carbon emissions intensify, alternative construction approaches are gaining traction. Among them, hybrid timber-concrete systems offer a promising solution by combining the carbon-storing benefits of timber with the structural advantages of concrete. This study evaluates the environmental performance of hybrid timber-concrete systems in a 40-storey, 120-meter high-rise tower by comparing five structural typologies that vary in the number of Cross-Laminated Timber (CLT) floor slabs. The reference typology consists of a fully concrete frame with a cast-in-place concrete core, BubbleDeck slabs, and brick walls. The four alternative designs retain the concrete core while progressively replacing concrete slabs with CLT and using CLT for the walls. Structural modelling is conducted using Karamba 3D, while embodied greenhouse gas emissions (EGHGE) are quantified based on Global Warming Potential (GWP) indicators from the ÖKOBAUDAT database and EN 15804+A2 standards. Acoustic and fire performance are also evaluated, ensuring compliance with Belgian fire regulations and NBN EN ISO 16283 standards. The results show that total emissions decrease from 11.3 million to 7.45 million kgCO2e as CLT use increases-a reduction of over 34%. The study confirms the potential of hybrid systems to reduce embodied carbon while maintaining performance and regulatory compliance. © 2025, The Architectural Science Association and The University of Melbourne, Australia.</v>
      </c>
      <c r="D16" s="21">
        <v>5</v>
      </c>
      <c r="E16" s="21">
        <v>4</v>
      </c>
      <c r="F16" s="21">
        <v>5</v>
      </c>
      <c r="G16" s="21">
        <v>5</v>
      </c>
      <c r="H16" s="21" t="s">
        <v>3185</v>
      </c>
      <c r="I16" s="21" t="s">
        <v>3186</v>
      </c>
      <c r="J16" s="21">
        <v>1</v>
      </c>
      <c r="K16" s="20"/>
      <c r="L16" s="21"/>
      <c r="M16" s="21"/>
      <c r="N16" s="21">
        <f t="shared" si="0"/>
        <v>19</v>
      </c>
    </row>
    <row r="17" spans="1:14" ht="273">
      <c r="A17" s="24"/>
      <c r="B17" s="20" t="str">
        <f>scopus[[#This Row],[Title]]</f>
        <v>Building Sustainable Futures: Evaluating Embodied Carbon Emissions and Biogenic Carbon Storage in a Cross-Laminated Timber Wall and Floor (Honeycomb) Mass Timber Building</v>
      </c>
      <c r="C17" s="102" t="str">
        <f>scopus[[#This Row],[Abstract]]</f>
        <v>The building sector significantly contributes to global energy consumption and carbon emissions, primarily due to the extensive use of carbon-intensive materials such as concrete and steel. Mass timber construction, particularly using cross-laminated timber (CLT), offers a promising low-carbon alternative. This study aims to calculate the embodied carbon emissions and biogenic carbon storage of a CLT-based affordable housing project, 340+ Dixwell in New Haven, Connecticut. This project was designed using a honeycomb structural system, where mass timber floors and roofs are supported by mass timber-bearing walls. The authors are not aware of a prior study that has evaluated the life cycle impacts of honeycomb mass timber construction while considering Timber Use Intensity (TUI). Unlike traditional post-and-beam systems, the honeycomb design uses nearly twice the amount of timber, resulting in higher carbon sequestration. This makes the study significant from a sustainability perspective. This study follows International Standard Organization (ISO) standards 14044, 21930, and 21931 and reports the results for both lifecycle stages A1–A3 and A1–A5. The analysis covers key building components, including the substructure, superstructure, and enclosure, with timber, concrete, metals, glass, and insulation as the materials assessed. Material quantities were extracted using Autodesk Revit®, and the life cycle assessment (LCA) was evaluated using One Click LCA (2015)®. The A1 to A3 stage results of this honeycomb building revealed that, compared to conventional mass timber housing structures such as Adohi Hall and Heartwood, it demonstrates the lowest embodiedf carbon emissions and the highest biogenic carbon storage per square foot. This outcome is largely influenced by its higher Timber Use Intensity (TUI). Similarly, the A1-A5 findings indicate that the embodied carbon emissions of this honeycomb construction are 40% lower than the median value for other multi-family residential buildings, as assessed using the Carbon Leadership Forum (CLF) Embodied Carbon Emissions Benchmark Study of various buildings. Moreover, the biogenic carbon storage per square foot of this building is 60% higher than the average biogenic carbon storage of reference mass timber construction types. © 2025 by the authors.</v>
      </c>
      <c r="D17" s="21">
        <v>5</v>
      </c>
      <c r="E17" s="21">
        <v>4</v>
      </c>
      <c r="F17" s="21">
        <v>5</v>
      </c>
      <c r="G17" s="21">
        <v>5</v>
      </c>
      <c r="H17" s="21" t="s">
        <v>3185</v>
      </c>
      <c r="I17" s="21" t="s">
        <v>3186</v>
      </c>
      <c r="J17" s="21">
        <v>1</v>
      </c>
      <c r="K17" s="20"/>
      <c r="L17" s="21"/>
      <c r="M17" s="21"/>
      <c r="N17" s="21">
        <f t="shared" si="0"/>
        <v>19</v>
      </c>
    </row>
    <row r="18" spans="1:14" ht="130">
      <c r="A18" s="24"/>
      <c r="B18" s="20" t="str">
        <f>scopus[[#This Row],[Title]]</f>
        <v>Development of an Environmentally Friendly Steel Structural Framework: Evaluation of Bending Stiffness and Yield Bending Moment of Cross-Laminated Timber Slab–H-Shaped Steel Composite Beams for Component Reuse</v>
      </c>
      <c r="C18" s="102" t="str">
        <f>scopus[[#This Row],[Abstract]]</f>
        <v>The building and construction sector accounts for nearly 40% of global greenhouse gas emissions, with steel-framed buildings being a significant contributor due to high CO2 emissions during production. To mitigate this issue, integrating Cross-Laminated Timber (CLT) into structural systems has emerged as a sustainable alternative. CLT, known for its carbon sequestration properties, offers an environmentally friendly replacement for reinforced-concrete slabs, particularly when paired with steel structures to enhance material reuse and reduce lifecycle impacts. This study focuses on hybrid systems combining H-shaped steel beams and CLT floor panels connected using high-strength friction bolts. A four-point bending test, simulating a secondary beam, was conducted, demonstrating that the composite effect significantly enhances flexural stiffness and strength. Additionally, a simplified method for evaluating the flexural stiffness and yielding strength of these composite beams, based on material and joint properties, was shown to successfully evaluate the test results. © 2025 by the authors.</v>
      </c>
      <c r="D18" s="21">
        <v>5</v>
      </c>
      <c r="E18" s="21">
        <v>5</v>
      </c>
      <c r="F18" s="21">
        <v>4</v>
      </c>
      <c r="G18" s="21">
        <v>5</v>
      </c>
      <c r="H18" s="21" t="s">
        <v>3189</v>
      </c>
      <c r="I18" s="21" t="s">
        <v>3186</v>
      </c>
      <c r="J18" s="21">
        <v>1</v>
      </c>
      <c r="K18" s="20"/>
      <c r="L18" s="21"/>
      <c r="M18" s="21"/>
      <c r="N18" s="21">
        <f t="shared" si="0"/>
        <v>19</v>
      </c>
    </row>
    <row r="19" spans="1:14" ht="182">
      <c r="A19" s="24"/>
      <c r="B19" s="20" t="str">
        <f>scopus[[#This Row],[Title]]</f>
        <v>Experimental Assessment of Alternative Shear Connections in Cross-Laminated Timber-Concrete Floor Systems</v>
      </c>
      <c r="C19" s="102" t="str">
        <f>scopus[[#This Row],[Abstract]]</f>
        <v>New building code changes enable mass timber panels (MTP), including cross-laminated timber (CLT), to be used in moderate and tall buildings as a floor system, usually with a concrete topping. A floor system of CLT composite with a reinforced concrete topping slab can provide increased stiffness and strength, making the system more advantageous. Present connection methods used to produce composite action within timber-concrete composites (TCC) have limitations when considering constructability or performance. This study presents experimental results from four (4) shear connectors for CLT-concrete composite floor systems, including three developed for this study. The connectors included self-tapping screws (STS) at 45-degrees, a modified lag screw with an integral plate washer that bears on the CLT surface at installation, a steel angle anchored only at the end of the span, and an inverted-T steel section with stem perforations. Different tests were performed on the different connectors including individual fastener tests, push-off group tests, and full-scale one-way bending tests. The push-off group tests showed that the proposed washer-screw exhibited higher stiffness and strength than a conventional STS. The full-scale one-way bending testing showed that the STS specimen exhibited the lowest strength of the alternatives. The inverted-T section exhibited the highest stiffness, while the other three connections had similar stiffness to the STS.  © 2023 American Society of Civil Engineers.</v>
      </c>
      <c r="D19" s="21">
        <v>5</v>
      </c>
      <c r="E19" s="21">
        <v>4</v>
      </c>
      <c r="F19" s="21">
        <v>5</v>
      </c>
      <c r="G19" s="21">
        <v>5</v>
      </c>
      <c r="H19" s="21" t="s">
        <v>3185</v>
      </c>
      <c r="I19" s="21" t="s">
        <v>3186</v>
      </c>
      <c r="J19" s="21">
        <v>1</v>
      </c>
      <c r="K19" s="20"/>
      <c r="L19" s="21"/>
      <c r="M19" s="21"/>
      <c r="N19" s="21">
        <f t="shared" si="0"/>
        <v>19</v>
      </c>
    </row>
    <row r="20" spans="1:14" ht="221">
      <c r="A20" s="24"/>
      <c r="B20" s="20" t="str">
        <f>scopus[[#This Row],[Title]]</f>
        <v>A comparative life cycle assessment of tall buildings with alternative structural systems: Wood vs. Concrete</v>
      </c>
      <c r="C20" s="102" t="str">
        <f>scopus[[#This Row],[Abstract]]</f>
        <v>Life cycle assessment (LCA) has been a useful decision-making tool in sustainable building design, construction and building material selection. LCA can be a valuable tool in early design stages of a project to allow designers to quantify and compare environmental impacts of different building materials as well as after the building is constructed to assess new building material technologies that can inform future projects. Arising from a study of the construction of the world's tallest mass-timber building in Vancouver, this paper makes a comparison between two different construction technologies, wood and concrete, to understand the environmental benefits and drawbacks of each technology in terms of 9 LCA impact categories. Two 18-storey residential buildings in Vancouver, Canada, were considered for this study, a traditional cast-in-place concrete frame building and a mass-timber hybrid design using glulam and CLT. The scope of this study was limited to the assessment of foundations, structures, floors, columns, beams, and roofs. Floor plans, elevation views and material quantities were obtained from construction drawings and were entered into LCA software (Athena's Impact Estimator) to obtain the two buildings' LCA results. These indicated that in 8 of the 9 impact categories, the wood building had lower environmental impacts and in 1 impact category (total primary energy) the concrete building had lower environmental impact. The variation of the results of this study with other LCA studies is considered to be due to different building types, location, system boundary, scope of the study, variation in wood construction techniques, and different LCA methodology. This study was conducted as part of a course project and acts as a placeholder study for a more detailed LCA in the future. © 2017 by Canadian Society for Civil Engineering. All rights reserved.</v>
      </c>
      <c r="D20" s="21">
        <v>5</v>
      </c>
      <c r="E20" s="21">
        <v>3</v>
      </c>
      <c r="F20" s="21">
        <v>5</v>
      </c>
      <c r="G20" s="21">
        <v>5</v>
      </c>
      <c r="H20" s="21" t="s">
        <v>3185</v>
      </c>
      <c r="I20" s="21" t="s">
        <v>3186</v>
      </c>
      <c r="J20" s="21">
        <v>1</v>
      </c>
      <c r="K20" s="20"/>
      <c r="L20" s="21"/>
      <c r="M20" s="21"/>
      <c r="N20" s="21">
        <f t="shared" si="0"/>
        <v>18</v>
      </c>
    </row>
    <row r="21" spans="1:14" ht="273">
      <c r="A21" s="24"/>
      <c r="B21" s="20" t="str">
        <f>scopus[[#This Row],[Title]]</f>
        <v>Steel-timber versus Steel-Concrete Composite floors: A numerical study</v>
      </c>
      <c r="C21" s="102" t="str">
        <f>scopus[[#This Row],[Abstract]]</f>
        <v>Concrete is the most widely used construction material in the world. This material causes formation and release of CO2 and high energy consumption during manufacturing. One way to decrease concrete consumption negative consequences is to replace it with lower needed primary energy materials, like timber. The engineered wood products such as laminated veneer lumber (LVL) and cross laminated timber (CLT/X-lam) with improved structural characteristics, durability and fire resistance have made it possible for structural engineers to design and construct large multi-storey multi-bay buildings. Use of timber in structures is beneficial from both structural and environmental points of view. To name a few advantages, it has low carbon foot print, less energy consumption to be manufactured, less demand of work force, deconstruction capability, fast installation and low self-weight that ultimately lead to smaller size for structural component (e.g. beams and columns and foundation dimensions). In this paper, at first behaviour of Steel-Timber Composite (STC) simple 2bay beam with prefabricated cross banded LVL slabs with coach screws (self-tapping screws are assumed to be utilised for transferring the interface shear between the steel girder and the prefabricated timber slab and providing a composite connection) is captured by a nonlinear finite element model and the results are compared with similar Steel-Concrete Composite (SCC) system. Concrete hybrid structures have slightly higher strength and stiffness in compare to timber hybrid structures; On the other hand, timber structures are lighter, less pollutant and green to the environment, have simpler and faster and cheaper fabrication process and can be dismantled to recycling its structural components. Moreover, in a 1bay simple beam, effect of different parameters such as screw size, screw spacing, length of beam, timber slab and beam size on the load carrying capacity and composite efficiency of the STC system with LVL slab are evaluated. Results show that, screw spacing effect is more than screw size effect. In other words, in order to reach high strength and stiffness and appropriate composite action between slab and beam, also to avoid brittle failure, it is highly recommended to use many smaller diameters screws instead of few large diameters ones.</v>
      </c>
      <c r="D21" s="21">
        <v>5</v>
      </c>
      <c r="E21" s="21">
        <v>3</v>
      </c>
      <c r="F21" s="21">
        <v>5</v>
      </c>
      <c r="G21" s="21">
        <v>5</v>
      </c>
      <c r="H21" s="21" t="s">
        <v>3185</v>
      </c>
      <c r="I21" s="21" t="s">
        <v>3186</v>
      </c>
      <c r="J21" s="21">
        <v>1</v>
      </c>
      <c r="K21" s="20"/>
      <c r="L21" s="21"/>
      <c r="M21" s="21"/>
      <c r="N21" s="21">
        <f t="shared" si="0"/>
        <v>18</v>
      </c>
    </row>
    <row r="22" spans="1:14" ht="247">
      <c r="A22" s="24"/>
      <c r="B22" s="20" t="str">
        <f>scopus[[#This Row],[Title]]</f>
        <v>LABORATORY MEASUREMENTS OF LIGHTWEIGHT FLOATING FLOOR SYSTEMS ON CROSS-LAMINATED TIMBER (CLT) SLABS</v>
      </c>
      <c r="C22" s="102" t="str">
        <f>scopus[[#This Row],[Abstract]]</f>
        <v>Mass timber solutions, including cross-laminated timber (CLT), are an excellent substitute to the more traditional fossil fuel-intensive construction materials. The use of these mass timber products allows for the reduction of the carbon footprint of the built environment. Nevertheless, the use of mass timber poses some rather unique challenges in terms of acoustics. Moreover, one of the most desired aspects of mass timber construction is the ability to leave a building's structure exposed as finish, which creates the need for asymmetric assemblies. Consequently, when talking about floor/ceiling applications, it is preferable that any acoustic component be installed on top of the assembly. One of the main advantages of mass timber is the strength-to-weight ratio, which allows for lighter setups than would be possible with other slab-type building materials. This reduces the overall mass of the building, which in turn offers many other benefits, such as reduced seismic forces and smaller building foundation requirements. To maintain these benefits and reduce the carbon footprint of the building, adding the mass of a concrete slab to improve the acoustic performance is not the best solution, leaving only the option of adding decouplers. To measure airborne sound reduction and impact noise isolation of lightweight floating floor systems and confirm that CLT-assemblies can provide satisfactory sound insulation, CDM Stravitec conducted a test campaign at the Belgian Building Research Institute. During this campaign, different types of decouplers were tested, including discrete bearings with various thicknesses and/or different void depths (filled entirely or partially with insulation material) and resilient mats and strips placed between the CLT slab and the different timber, cement and gypsum-based boards and this with and without the use of the well-known constrained layer damping technique. This paper presents the findings of that test campaign. © 2023 Proceedings of the International Congress on Sound and Vibration. All rights reserved.</v>
      </c>
      <c r="D22" s="21">
        <v>5</v>
      </c>
      <c r="E22" s="21">
        <v>4</v>
      </c>
      <c r="F22" s="21">
        <v>5</v>
      </c>
      <c r="G22" s="21">
        <v>4</v>
      </c>
      <c r="H22" s="21" t="s">
        <v>3185</v>
      </c>
      <c r="I22" s="21" t="s">
        <v>3186</v>
      </c>
      <c r="J22" s="21">
        <v>1</v>
      </c>
      <c r="K22" s="20"/>
      <c r="L22" s="21"/>
      <c r="M22" s="21"/>
      <c r="N22" s="21">
        <f t="shared" si="0"/>
        <v>18</v>
      </c>
    </row>
    <row r="23" spans="1:14" ht="143">
      <c r="A23" s="24"/>
      <c r="B23" s="20" t="str">
        <f>scopus[[#This Row],[Title]]</f>
        <v>INVESTIGATE THE CARBON FOOTPRINTS OF THREE INTERMEDIATE FLOORING SYSTEMS: CROSS-LAMINATED TIMBER, SOLID CONCRETE, AND HOLLOW-CORE PRECAST CONCRETE</v>
      </c>
      <c r="C23" s="102" t="str">
        <f>scopus[[#This Row],[Abstract]]</f>
        <v>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v>
      </c>
      <c r="D23" s="21">
        <v>5</v>
      </c>
      <c r="E23" s="21">
        <v>5</v>
      </c>
      <c r="F23" s="21">
        <v>5</v>
      </c>
      <c r="G23" s="21">
        <v>3</v>
      </c>
      <c r="H23" s="21" t="s">
        <v>3185</v>
      </c>
      <c r="I23" s="21" t="s">
        <v>3186</v>
      </c>
      <c r="J23" s="21">
        <v>1</v>
      </c>
      <c r="K23" s="20"/>
      <c r="L23" s="21"/>
      <c r="M23" s="21"/>
      <c r="N23" s="21">
        <f t="shared" si="0"/>
        <v>18</v>
      </c>
    </row>
    <row r="24" spans="1:14" ht="169">
      <c r="A24" s="24"/>
      <c r="B24" s="20" t="str">
        <f>scopus[[#This Row],[Title]]</f>
        <v>Scenario analysis of embodied energy and CO2 emissions for multistory apartments in Indonesia</v>
      </c>
      <c r="C24" s="102" t="str">
        <f>scopus[[#This Row],[Abstract]]</f>
        <v>Contribution in the building sector to the global warming can be tackled by diminishing greenhouse gas (GHG) emissions (mainly CO2) not only from operational energy but also from the embodied energy (EE) of construction materials. Harvested Wood Products (HWP) such as Cross Laminated Timber (CLT), Glued Laminated (Glulam) timber, among others, make multistorey wooden buildings possible. These wooden buildings could help to reduce EE and CO2emissions significantly. A material flow analysis (MFA) using an I-O (Input-Output) table was used to compare three scenarios for an 8-story apartment building in Indonesia (total floor area: 9140 m2): First, the building had a reinforced concrete structure. Second, the building had a "hybrid"structure with reinforced concrete cores and first-floor elements, consisting of CLT floor panels, and Glulam columns and beams. Third, the building used only CLT panels besides reinforced concrete cores. The results showed that the last scenario achieved the largest CO2emissions and embodied energy reductions (58 t-CO2and 905 GJ), compared with the first scenario (81 t-CO2and 1110 GJ). Furthermore, we compare two methods to apply displacement factors (DF) to assess the CO2emissions savings for each CO2 ton in wood products substituted in place of non-wooden products between the three building scenarios.  © The Authors, published by EDP Sciences, 2023.</v>
      </c>
      <c r="D24" s="21">
        <v>5</v>
      </c>
      <c r="E24" s="21">
        <v>5</v>
      </c>
      <c r="F24" s="21">
        <v>5</v>
      </c>
      <c r="G24" s="21">
        <v>3</v>
      </c>
      <c r="H24" s="21" t="s">
        <v>3185</v>
      </c>
      <c r="I24" s="21" t="s">
        <v>3186</v>
      </c>
      <c r="J24" s="21">
        <v>1</v>
      </c>
      <c r="K24" s="20"/>
      <c r="L24" s="21"/>
      <c r="M24" s="21"/>
      <c r="N24" s="21">
        <f t="shared" si="0"/>
        <v>18</v>
      </c>
    </row>
    <row r="25" spans="1:14" ht="182">
      <c r="A25" s="24"/>
      <c r="B25" s="20" t="str">
        <f>scopus[[#This Row],[Title]]</f>
        <v>Impact of Prescriptive Fire Design Provisions on Embodied Carbon for Mass Timber and Hybrid Mass Timber Floors</v>
      </c>
      <c r="C25" s="102" t="str">
        <f>scopus[[#This Row],[Abstract]]</f>
        <v>Structural mass timber has been used more often in buildings over the last 5 years, given its potential to be a sustainable alternative. However, concerns still exist around the fire safety of mass timber structures, and current mass timber building designers must consider a variety of fire protection strategies, including but not limited to noncombustible protection and design for sacrificial char thickness. This research focuses on better understanding how prescriptive code fire protection strategies affect the sustainability goals that have partially driven mass timber use. This paper studies how decisions during early design can reduce embodied carbon (EC), the initial energy use of a structure's construction. Five structural floor system types were modeled parametrically for various levels of fire protection. System types included timber-concrete composites, cross-laminated timber (CLT)-steel hybrids, and all-timber systems. The resulting EC data analysis reveals that all-timber systems perform the best for EC when the fully protected option is used at shorter spans, when the combined approach option is used at midrange spans, and when the fully exposed timber option is used at longer spans. Across all studied systems, the shallowest possible depth occurred for the 10-ft (3.05-m) spanning CLT-steel hybrid systems at 11.5 in. (292 mm) deep for the fully protected system, and the lowest possible EC was 10.5 lb CO2 eq/ft2 (51.3 kg CO2 eq/m2) for the fully protected 10-ft (3.05 m) all-timber system. © 2024 American Society of Civil Engineers.</v>
      </c>
      <c r="D25" s="21">
        <v>5</v>
      </c>
      <c r="E25" s="21">
        <v>4</v>
      </c>
      <c r="F25" s="21">
        <v>5</v>
      </c>
      <c r="G25" s="21">
        <v>4</v>
      </c>
      <c r="H25" s="21" t="s">
        <v>3185</v>
      </c>
      <c r="I25" s="21" t="s">
        <v>3186</v>
      </c>
      <c r="J25" s="21">
        <v>1</v>
      </c>
      <c r="K25" s="20"/>
      <c r="L25" s="21"/>
      <c r="M25" s="21"/>
      <c r="N25" s="21">
        <f t="shared" si="0"/>
        <v>18</v>
      </c>
    </row>
    <row r="26" spans="1:14" ht="182">
      <c r="A26" s="24"/>
      <c r="B26" s="20" t="str">
        <f>scopus[[#This Row],[Title]]</f>
        <v>Design and performance of high-rise structure using ultra-lightweight cross laminated timber floor system</v>
      </c>
      <c r="C26" s="102" t="str">
        <f>scopus[[#This Row],[Abstract]]</f>
        <v>The main objective of this paper is to study the structural performance of a high-rise structure when alternative lightweight material known as cross-laminated timber was used as a slab in floor system in lieu of conventional reinforced concrete slab. A numerical case study was conducted using a highly irregular RC frame building with its two 60-story towers joined at the top. Three major analyses were considered. First, modeling and analyzing the building with an RC slab was conducted to determine the design reference. Second, substituting the RC slab with the CLT slab was performed using the same building skeleton. Third, redesigning and optimizing the building skeleton with that CLT to observe skeleton material saving obtained using the same structural performance criteria. Major lateral loads applicable in the Eastern Province of Saudi Arabia were inputted. Strengths and serviceability requirements for floor diaphragm and lateral load resisting system were checked first before performing a comparative analysis between traditional RC and CLT slabs as floor diaphragm. The structural performance criteria to be used for comparative study between RC and CLT slabs included total drift, inter-story drift due to lateral loads, and base reactions. Structural periods and acceleration responses for each floor were investigated and contrasted with the existing building code. The foundation demand was also investigated based on the structural weight and reactions generated from the RC and CLT floor systems. © 2020 ISEC Press.</v>
      </c>
      <c r="D26" s="21">
        <v>4</v>
      </c>
      <c r="E26" s="21">
        <v>5</v>
      </c>
      <c r="F26" s="21">
        <v>4</v>
      </c>
      <c r="G26" s="21">
        <v>5</v>
      </c>
      <c r="H26" s="21" t="s">
        <v>3185</v>
      </c>
      <c r="I26" s="21" t="s">
        <v>3186</v>
      </c>
      <c r="J26" s="21">
        <v>1</v>
      </c>
      <c r="K26" s="20"/>
      <c r="L26" s="21"/>
      <c r="M26" s="21"/>
      <c r="N26" s="21">
        <f t="shared" si="0"/>
        <v>18</v>
      </c>
    </row>
    <row r="27" spans="1:14" ht="221">
      <c r="A27" s="24"/>
      <c r="B27" s="20" t="str">
        <f>scopus[[#This Row],[Title]]</f>
        <v>A comparative cradle-to-gate life cycle assessment of mid-rise office building construction alternatives: Laminated timber or reinforced concrete</v>
      </c>
      <c r="C27" s="102" t="str">
        <f>scopus[[#This Row],[Abstract]]</f>
        <v>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v>
      </c>
      <c r="D27" s="21">
        <v>5</v>
      </c>
      <c r="E27" s="21">
        <v>3</v>
      </c>
      <c r="F27" s="21">
        <v>5</v>
      </c>
      <c r="G27" s="21">
        <v>5</v>
      </c>
      <c r="H27" s="21" t="s">
        <v>3185</v>
      </c>
      <c r="I27" s="21" t="s">
        <v>3186</v>
      </c>
      <c r="J27" s="21">
        <v>1</v>
      </c>
      <c r="K27" s="20"/>
      <c r="L27" s="21"/>
      <c r="M27" s="21"/>
      <c r="N27" s="21">
        <f t="shared" si="0"/>
        <v>18</v>
      </c>
    </row>
    <row r="28" spans="1:14" ht="234">
      <c r="A28" s="24"/>
      <c r="B28" s="20" t="str">
        <f>scopus[[#This Row],[Title]]</f>
        <v>Assessment of In-Plane Timber Floor Stiffness as Structural Diaphragms: A Numerical Approach to Lateral Load Response</v>
      </c>
      <c r="C28" s="102" t="str">
        <f>scopus[[#This Row],[Abstract]]</f>
        <v>The behaviour of horizontal floor diaphragms plays a crucial role in ensuring the overall response of a building during earthquakes, as the stiffness of these diaphragms determines whether the structure will act as an integrated system. If the diaphragms do not exhibit sufficient stiffness, differences in the redistribution of forces on wall elements arise, increasing the risk of significant deformations and even local damage, which is commonly observed in earthquake-affected areas. Additionally, flexible diaphragms heighten the risk of torsional effects. Due to these factors, more attention should be given to the response of buildings with flexible diaphragms. Eurocode standard specifies general requirements under which diaphragms should be considered rigid within their plane, depending on the maximum diaphragm moment. However, specific guidelines regarding the geometric and material properties of elements that significantly impact seismic behaviour are not included in the existing European standards. This served as a basis for conducting a numerical study analysing the in-plane behaviour of floor elements made from different materials. This study, limited to a simple box-shaped structure with masonry walls, symmetrical in both orthogonal directions, evaluated and thoroughly analysed the deformations for different types of diaphragms, including prefabricated wooden frame-panel floors, CLT panels, and reinforced concrete slabs. Special emphasis was placed on wooden structural elements due to the increased demand for timber construction, as the behaviour of these elements needs to be properly studied, especially in seismic regions. The study results were obtained through FEM analysis using the SCIA Engineer software, version 22. The modelling of elements was carried out considering the orthotropy of brick wall and wooden ceiling elements, as well as simulating the appropriate shear stiffness of the connecting means. © 2024 by the authors.</v>
      </c>
      <c r="D28" s="21">
        <v>5</v>
      </c>
      <c r="E28" s="21">
        <v>5</v>
      </c>
      <c r="F28" s="21">
        <v>4</v>
      </c>
      <c r="G28" s="21">
        <v>4</v>
      </c>
      <c r="H28" s="21" t="s">
        <v>3185</v>
      </c>
      <c r="I28" s="21" t="s">
        <v>3186</v>
      </c>
      <c r="J28" s="21">
        <v>1</v>
      </c>
      <c r="K28" s="20"/>
      <c r="L28" s="21"/>
      <c r="M28" s="21"/>
      <c r="N28" s="21">
        <f t="shared" si="0"/>
        <v>18</v>
      </c>
    </row>
    <row r="29" spans="1:14" ht="156">
      <c r="A29" s="24"/>
      <c r="B29" s="20" t="str">
        <f>scopus[[#This Row],[Title]]</f>
        <v>Environmental and economic evaluation of small-scale bridge repair using cross-laminated timber floor slabs</v>
      </c>
      <c r="C29" s="102" t="str">
        <f>scopus[[#This Row],[Abstract]]</f>
        <v>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v>
      </c>
      <c r="D29" s="21">
        <v>5</v>
      </c>
      <c r="E29" s="21">
        <v>5</v>
      </c>
      <c r="F29" s="21">
        <v>5</v>
      </c>
      <c r="G29" s="21">
        <v>2</v>
      </c>
      <c r="H29" s="21" t="s">
        <v>3185</v>
      </c>
      <c r="I29" s="21" t="s">
        <v>3186</v>
      </c>
      <c r="J29" s="21">
        <v>1</v>
      </c>
      <c r="K29" s="20"/>
      <c r="L29" s="21"/>
      <c r="M29" s="21"/>
      <c r="N29" s="21">
        <f t="shared" si="0"/>
        <v>17</v>
      </c>
    </row>
    <row r="30" spans="1:14" ht="234">
      <c r="A30" s="24"/>
      <c r="B30" s="20" t="str">
        <f>scopus[[#This Row],[Title]]</f>
        <v>Experimental and numerical investigations on vibration performance of mass timber slab floors with floating concrete toppings</v>
      </c>
      <c r="C30" s="102" t="str">
        <f>scopus[[#This Row],[Abstract]]</f>
        <v>Mass timber floor systems face serviceability challenges such as deflection, sound insulation, and vibration due to their relatively light weight and low bending stiffness. Floating concrete topping is often applied to improve acoustic performance and fire resistance, though its impact on vibration performance is less understood. The current Canadian design standard CSA O86-24 suggests ignoring the effect of concrete topping when applying the vibration-controlled span equation if its area density is less than twice of the bare cross laminated timber (CLT) floor area density. Floating concrete toppings typically don't necessitate mechanical fasteners, although limited tests have shown partial composite behavior. This study experimentally investigated the vibration performance and dynamic properties of mass timber slab floors with floating concrete toppings, examining two dowel laminated timber (DLT) floors with varying thicknesses, spans, concrete topping thicknesses, floor assemblies, and boundary conditions. Effective bending stiffness was derived from experimental data as inputs for fundamental natural frequency calculation. Additionally, two finite element models were developed for modal analysis of mass timber floors with floating concrete toppings. Results demonstrated that the floating concrete topping could significantly enhance the floor system's vibration performance, improving an unacceptable bare timber floor to acceptable levels. However, its impact on the fundamental natural frequency depends in the thickness of the concrete topping and details of floating floor assemblies. Composite action between the concrete topping and timber slab existed even without mechanical fasteners, though the degree of this action varied across different assemblies. Accurate modeling of such floor systems can be achieved with careful consideration of input of material properties and partial composite action factors. © 2025 The Authors</v>
      </c>
      <c r="D30" s="21">
        <v>5</v>
      </c>
      <c r="E30" s="21">
        <v>3</v>
      </c>
      <c r="F30" s="21">
        <v>5</v>
      </c>
      <c r="G30" s="21">
        <v>4</v>
      </c>
      <c r="H30" s="21" t="s">
        <v>3185</v>
      </c>
      <c r="I30" s="21" t="s">
        <v>3186</v>
      </c>
      <c r="J30" s="21">
        <v>1</v>
      </c>
      <c r="K30" s="20"/>
      <c r="L30" s="21"/>
      <c r="M30" s="21"/>
      <c r="N30" s="21">
        <f t="shared" si="0"/>
        <v>17</v>
      </c>
    </row>
    <row r="31" spans="1:14" ht="104">
      <c r="A31" s="24"/>
      <c r="B31" s="20" t="str">
        <f>scopus[[#This Row],[Title]]</f>
        <v>Tall hybrid RC framed buildings with massive timber floor plates</v>
      </c>
      <c r="C31" s="102" t="str">
        <f>scopus[[#This Row],[Abstract]]</f>
        <v>This paper discusses feasibility of using massive but lightweight Cross Laminated Timber (CLT) plates as floor and roof components of tall buildings constructed with reinforced concrete (RC) as the main skeleton. A case study using a 24-storey building designed with CLT floors is presented here along with a matched design of a building having traditional RC floors. Result indicate that structural benefits from substituting lightweight timber slabs for the traditional relatively heavy slabs are significant yielding potentially large savings in both the main structural skeleton and foundation systems. For example, lateral drift during a design level earthquake is predicted to be reduced by about 15 to 20 percent using mechanically equivalent CLT floor slabs in lieu of RC slabs typical of 'normal' construction. © 2010 Taylor &amp; Francis Group, London.</v>
      </c>
      <c r="D31" s="21">
        <v>5</v>
      </c>
      <c r="E31" s="21">
        <v>3</v>
      </c>
      <c r="F31" s="21">
        <v>4</v>
      </c>
      <c r="G31" s="21">
        <v>5</v>
      </c>
      <c r="H31" s="21" t="s">
        <v>3185</v>
      </c>
      <c r="I31" s="21" t="s">
        <v>3186</v>
      </c>
      <c r="J31" s="21">
        <v>1</v>
      </c>
      <c r="K31" s="20"/>
      <c r="L31" s="21"/>
      <c r="M31" s="21"/>
      <c r="N31" s="21">
        <f t="shared" si="0"/>
        <v>17</v>
      </c>
    </row>
    <row r="32" spans="1:14" ht="221">
      <c r="A32" s="24"/>
      <c r="B32" s="20" t="str">
        <f>scopus[[#This Row],[Title]]</f>
        <v>1st International Conference on Civil and Environmental Engineering for Resilient, Smart and Sustainable Solutions, 2024</v>
      </c>
      <c r="C32" s="102" t="str">
        <f>scopus[[#This Row],[Abstract]]</f>
        <v>The proceedings contain 133 papers. The special focus in this conference is on Civil and Environmental Engineering for Resilient, Smart and Sustainable Solutions. The topics include: Evaluation of concrete slab exposed to weather conditions resulting from global warming; Shear capacity prediction of squat flanged walls using machine learning approach with CatBoost and CTGAN; Comprehensive analysis of structural beams: Theoretical calculations and simulation analysis using ANSYS; a modified design for improving pressure relief valve stability; site amplification using 1D seismic site response analysis in Islamabad: An application of building code of Pakistan 2021; critical building components analysis: An empirical study; Experimental study of BFRP-RC beams exposed to elevated temperatures; An optimization approach process of a 4-story RC building structural plan through generative design; Structural design analysis of hybrid multi-rise buildings, with CLT and LGS light weight floor system, at Neom-The Line; Sustainability and cost of a multi-story edifice, with CLT and LGS light weight floor system, at Neom-The Line; Seismic assessment of reinforced concrete building strengthened with CFRP sheets using non-linear static approach; cyclic performance of partially grouted reinforced masonry shear walls with boundary elements; a study case: Seismic evaluation of existing six-story office building with flat plate structural system; experimental evaluation of the masonry infilled reinforced concrete frame under reverse cyclic loading; comparative analysis of structural performance and cost efficiency of reinforced concrete and steel for a three-story warehouse in high-risk seismic zones; fire behaviour of mass timber beam-to-column hybrid connections-A state-of-the-art review; seismic assessment of masonry infilled frame structures.</v>
      </c>
      <c r="D32" s="21">
        <v>5</v>
      </c>
      <c r="E32" s="21">
        <v>5</v>
      </c>
      <c r="F32" s="21">
        <v>5</v>
      </c>
      <c r="G32" s="21">
        <v>2</v>
      </c>
      <c r="H32" s="21" t="s">
        <v>3185</v>
      </c>
      <c r="I32" s="21" t="s">
        <v>3186</v>
      </c>
      <c r="J32" s="21">
        <v>1</v>
      </c>
      <c r="K32" s="20"/>
      <c r="L32" s="21"/>
      <c r="M32" s="21"/>
      <c r="N32" s="21">
        <f t="shared" si="0"/>
        <v>17</v>
      </c>
    </row>
    <row r="33" spans="1:14" ht="143">
      <c r="A33" s="24"/>
      <c r="B33" s="20" t="str">
        <f>scopus[[#This Row],[Title]]</f>
        <v>The Arbour: An Innovative Composite Floor System</v>
      </c>
      <c r="C33" s="102" t="str">
        <f>scopus[[#This Row],[Abstract]]</f>
        <v>The $130M Arbour, a 10-storey, 16,000 m2, exposed tall wood structure located on George Brown College's waterfront campus in Toronto, Canada, will serve as an educational hub for the college, housing the Tall Wood Research Institute, a childcare center, and teaching and social spaces. The innovative large-span beamless structural floor system is comprised of cross-laminated timber (CLT) concrete composite slab bands with perpendicular CLT infill panels, all supported on glulam columns. This long-span flat plate system allows for flexibility in architectural programming and unobstructed mechanical distribution; its performance was validated by full-scale laboratory tests. The project, currently under construction, received external funding through the National Resources Canada Green Constriction Wood Program, alongside other partners, to facilitate mass timber innovation specific to this project. This catalyzed a full-scale structural testing regime at the University of Northern British Columbia, investigating timber concrete composite "slab bands,"to determine their performance and develop a low-cost composite connector.  © ASCE.</v>
      </c>
      <c r="D33" s="21">
        <v>5</v>
      </c>
      <c r="E33" s="21">
        <v>3</v>
      </c>
      <c r="F33" s="21">
        <v>5</v>
      </c>
      <c r="G33" s="21">
        <v>4</v>
      </c>
      <c r="H33" s="21" t="s">
        <v>3185</v>
      </c>
      <c r="I33" s="21" t="s">
        <v>3186</v>
      </c>
      <c r="J33" s="21">
        <v>1</v>
      </c>
      <c r="K33" s="20"/>
      <c r="L33" s="21"/>
      <c r="M33" s="21"/>
      <c r="N33" s="21">
        <f t="shared" si="0"/>
        <v>17</v>
      </c>
    </row>
    <row r="34" spans="1:14" ht="182">
      <c r="A34" s="24"/>
      <c r="B34" s="20" t="str">
        <f>scopus[[#This Row],[Title]]</f>
        <v>INNOVATIVE CONNECTION SOLUTIONS FOR TCC FLOOR SYSTEMS: MECHANICAL AND ENVIRONMENTAL ASSESSMENT</v>
      </c>
      <c r="C34" s="102" t="str">
        <f>scopus[[#This Row],[Abstract]]</f>
        <v>The need to reduce carbon emissions in the construction sector has highlighted timber as a viable substitute for carbon-intensive materials such as concrete. Cross-laminated timber (CLT), as a load-bearing element, has gained popularity in recent years due to its favorable structural characteristics and environmental benefits. The use of CLT in timber-concrete-composite (TCC) floor systems has been increasingly explored, but current building codes and standards have not been adapted accordingly. This limits design options, simultaneously fostering opportunities for innovation. In this paper, a new type of shear connector, designed to transfer forces between prefabricated CLT and concrete components in a TCC floor system, is experimentally investigated. The connector is part of a dry-dry system, in which both concrete and timber elements are prefabricated and assembled without wet processes, allowing rapid installation and potential disassembly. To evaluate environmental performance, a functionally equivalent hollow core slab (HCS) is designated as a reference for comparison. The relevant assessment is conducted using the life cycle assessment (LCA), where the manufacturing and end-of-life (EoL) stages are considered. The results reveal promising mechanical performance of the new connection solution for TCC, potential carbon benefits, and viable deconstructability and reusability. © (2025) WORLD CONFERENCE ON TIMBER ENGINEERING 2025 (WCTE 2025) All rights reserved.</v>
      </c>
      <c r="D34" s="21">
        <v>4</v>
      </c>
      <c r="E34" s="21">
        <v>5</v>
      </c>
      <c r="F34" s="21">
        <v>3</v>
      </c>
      <c r="G34" s="21">
        <v>5</v>
      </c>
      <c r="H34" s="21" t="s">
        <v>3185</v>
      </c>
      <c r="I34" s="21" t="s">
        <v>3186</v>
      </c>
      <c r="J34" s="21">
        <v>1</v>
      </c>
      <c r="K34" s="20"/>
      <c r="L34" s="21"/>
      <c r="M34" s="21"/>
      <c r="N34" s="21">
        <f t="shared" si="0"/>
        <v>17</v>
      </c>
    </row>
    <row r="35" spans="1:14" ht="169">
      <c r="A35" s="24"/>
      <c r="B35" s="20" t="str">
        <f>scopus[[#This Row],[Title]]</f>
        <v>High-rise Timber Buildings as a Climate Change Mitigation Measure - A Comparative LCA of Structural System Alternatives</v>
      </c>
      <c r="C35" s="102" t="str">
        <f>scopus[[#This Row],[Abstract]]</f>
        <v>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v>
      </c>
      <c r="D35" s="21">
        <v>5</v>
      </c>
      <c r="E35" s="21">
        <v>5</v>
      </c>
      <c r="F35" s="21">
        <v>2</v>
      </c>
      <c r="G35" s="21">
        <v>5</v>
      </c>
      <c r="H35" s="21" t="s">
        <v>3185</v>
      </c>
      <c r="I35" s="21" t="s">
        <v>3186</v>
      </c>
      <c r="J35" s="21">
        <v>1</v>
      </c>
      <c r="K35" s="20"/>
      <c r="L35" s="21"/>
      <c r="M35" s="21"/>
      <c r="N35" s="21">
        <f t="shared" si="0"/>
        <v>17</v>
      </c>
    </row>
    <row r="36" spans="1:14" ht="169">
      <c r="A36" s="24"/>
      <c r="B36" s="20" t="str">
        <f>scopus[[#This Row],[Title]]</f>
        <v>FIRE RESISTANCE TESTING OF CLT-CONCRETE COMPOSITE FLOOR SLABS UTILIZING SELF-TAPPING SCREWS AS SHEAR CONNECTORS</v>
      </c>
      <c r="C36" s="102" t="str">
        <f>scopus[[#This Row],[Abstract]]</f>
        <v>In massive production, mass timber sections made of engineered wood, such as cross-laminated timber (CLT) panels, accelerated the pace of the construction of tall wood buildings in North America in the past few years. However, more stringent fire safety measures are applicable to tall timber buildings. Most critically, floor systems in mass timber buildings can be made more robust, span longer distances and exhibit enhanced fire resistance by adding a top layer of concrete to allow a timber-concrete composite (TCC) floor system when adequate shear connections are utilized. This paper presents the experimental results of the fire resistance tests of two full-size, one-way TCC floor slabs that utilized self-tapping screws (STS) as shear connectors. The main objective of this new experimental study is to investigate the enhancement of the fire performance when designing a CLT panel as a TCC floor assembly through achieving the required composite action with a top concrete layer at the interface between the two materials. Test results show that a minimum fire resistance of two hours required by applicable building codes for mid-rise residential buildings has been achieved for CLT floor panel by designing it as a TCC floor assembly, taking advantage of the composite action activated by the utilization of 45-degree inclined STS as shear connectors. © (2023) WORLD CONFERENCE ON TIMBER ENGINEERING 2023 (WCTE 2023) All rights reserved.</v>
      </c>
      <c r="D36" s="21">
        <v>5</v>
      </c>
      <c r="E36" s="21">
        <v>5</v>
      </c>
      <c r="F36" s="21">
        <v>3</v>
      </c>
      <c r="G36" s="21">
        <v>4</v>
      </c>
      <c r="H36" s="21" t="s">
        <v>3189</v>
      </c>
      <c r="I36" s="21" t="s">
        <v>3186</v>
      </c>
      <c r="J36" s="21">
        <v>1</v>
      </c>
      <c r="K36" s="20"/>
      <c r="L36" s="21"/>
      <c r="M36" s="21"/>
      <c r="N36" s="21">
        <f t="shared" si="0"/>
        <v>17</v>
      </c>
    </row>
    <row r="37" spans="1:14" ht="195">
      <c r="A37" s="24"/>
      <c r="B37" s="20" t="str">
        <f>scopus[[#This Row],[Title]]</f>
        <v>Cross-laminated timber–concrete composite structural floor system: A state-of-the-art review</v>
      </c>
      <c r="C37" s="102" t="str">
        <f>scopus[[#This Row],[Abstract]]</f>
        <v>Composite construction elements are gaining extensive attention due to their high performance and reliability. Timber–concrete composite is one of the well-known engineered products of global interest. The cross-laminated timber (CLT) is a plate-like quasi-rigid composite that is usually composed of an uneven number of layers of solid timber board. The timber boards are generally placed side-by-side and arranged crosswise in CLT. The anisotropy in single timber boards is reliably adjusted, and its out-of-plane load bearing capacity is improved. The CLT members show low bending strength and resistance to global stability. The CLT–concrete composite has developed and showed approximately 3–5 times higher strength capacity than the conventional timber or concrete structures. This study aims to review the current practice and available guidelines for the CLT–concrete floor system. The basic required information on the design and construction and performance of the aforementioned system is described based on the current practices. This review can guide prospective researchers and users regarding the application of the CLT–concrete composite. The CLT–concrete elements need to be designed and constructed following the current code of practice and studies guidelines to achieve optimal performance. The design, construction, and performance of the CLT-concrete system are dependent on timber properties, connection systems, and slab details. This composite floor system possesses good performance under various loading conditions if adequately designed and constructed. © 2021 Elsevier Ltd</v>
      </c>
      <c r="D37" s="21">
        <v>5</v>
      </c>
      <c r="E37" s="21">
        <v>5</v>
      </c>
      <c r="F37" s="21">
        <v>4</v>
      </c>
      <c r="G37" s="21">
        <v>3</v>
      </c>
      <c r="H37" s="21" t="s">
        <v>3189</v>
      </c>
      <c r="I37" s="21" t="s">
        <v>3186</v>
      </c>
      <c r="J37" s="21">
        <v>1</v>
      </c>
      <c r="K37" s="20"/>
      <c r="L37" s="21"/>
      <c r="M37" s="21"/>
      <c r="N37" s="21">
        <f t="shared" si="0"/>
        <v>17</v>
      </c>
    </row>
    <row r="38" spans="1:14" ht="169">
      <c r="A38" s="24"/>
      <c r="B38" s="20" t="str">
        <f>scopus[[#This Row],[Title]]</f>
        <v>CREEP BEHAVIOR OF CROSS-LAMINATED TIMBER-CONCRETE COMPOSITE FLOOR SYSTEM ON FIXED END CONDITION</v>
      </c>
      <c r="C38" s="102" t="str">
        <f>scopus[[#This Row],[Abstract]]</f>
        <v>Many studies have been conducted on timber-concrete composite systems (TCC) as a new technology for medium to large scale buildings using wood materials. This study focuses on CLT-reinforced concrete composite floors and aims to understand the long-term performance of TCC floors under fixed end support conditions through the bending creep tests. As the results of the bending creep test, the creep coefficient calculated using the power law is about 4, which is about four times smaller than the creep coefficient of concrete slab. In the both-ends fixed condition, it was shown different force condition compare the simply supported condition examined in prior studies, the top surface of the edge of the composite floor bears the tensile force, so that both the concrete and wood sections bear the tensile and compressive forces. Accordingly, the bending stiffness of the floor system was calculated using the formula proposed by FPInnovations based on the γ method, and a larger value was calculated than the experimental value. It was considered this difference due to cracking caused by the concrete bearing tensile forces and the consequent reduction in anchorage, so to understand the long-term behavior of this system is planned to investigate a cracking etc. in detail. © (2025) WORLD CONFERENCE ON TIMBER ENGINEERING 2025 (WCTE 2025) All rights reserved.</v>
      </c>
      <c r="D38" s="21">
        <v>5</v>
      </c>
      <c r="E38" s="21">
        <v>5</v>
      </c>
      <c r="F38" s="21">
        <v>4</v>
      </c>
      <c r="G38" s="21">
        <v>3</v>
      </c>
      <c r="H38" s="21" t="s">
        <v>3185</v>
      </c>
      <c r="I38" s="21" t="s">
        <v>3187</v>
      </c>
      <c r="J38" s="21">
        <v>1</v>
      </c>
      <c r="K38" s="20"/>
      <c r="L38" s="21"/>
      <c r="M38" s="21"/>
      <c r="N38" s="21">
        <f t="shared" si="0"/>
        <v>17</v>
      </c>
    </row>
    <row r="39" spans="1:14" ht="208">
      <c r="A39" s="24"/>
      <c r="B39" s="20" t="str">
        <f>scopus[[#This Row],[Title]]</f>
        <v>Lightweight and slender timber-concrete composite floors made of CLT-HPC and CLT-UHPC with ductile notch connectors</v>
      </c>
      <c r="C39" s="102" t="str">
        <f>scopus[[#This Row],[Abstract]]</f>
        <v>Cross-Laminated Timber (CLT) structures have been emerging worldwide for residential floors in multi-storey buildings thanks to their lightness, fast construction and low ecological footprint. This work aims at fostering this application, which is often limited by vibrational and deflection limits, by investigating composite slab floors made of CLT and High-Performance Concrete (HPC) slab as well as CLT and Ultra High-Performance Fiber Reinforced Concrete (UHPFRC). Firstly, the composite floors CLT-HPC and CLT-UHPFRC with a span of 8 m were designed by considering a multicriteria analysis. To assure a certain structural ductility, previously developed ductile notch connectors were employed. As an economic choice, no shear reinforcement in the concrete slab was employed. Then, full-scale composite beams were fabricated in order to verify the predicted flexural behaviour and natural frequency. A numerical analysis was carried out to verify the connectors could effectively yield before the timber collapse. The comparison between the numerical simulation and the slip measurements confirmed that about 50% of the notch connections fully yielded and underwent inelastic deformation which favors the structural ductility. In the case of the CLT-HPC floor, a reduction of the notch contact surface due to the use of plastic sheet waterproofing as well as shear cracks developing in the concrete close to the notch corner both reduced the expected structural stiffness. Finally, the CLT-UHPFRC floor is endowed with outstanding values of slenderness ratio (∼35) and lightness (∼2 kPa), while eliminating the use of shear reinforcement and sheet waterproofing. © 2021 Elsevier Ltd</v>
      </c>
      <c r="D39" s="21">
        <v>4</v>
      </c>
      <c r="E39" s="21">
        <v>5</v>
      </c>
      <c r="F39" s="21">
        <v>3</v>
      </c>
      <c r="G39" s="21">
        <v>5</v>
      </c>
      <c r="H39" s="21" t="s">
        <v>3185</v>
      </c>
      <c r="I39" s="21" t="s">
        <v>3186</v>
      </c>
      <c r="J39" s="21">
        <v>1</v>
      </c>
      <c r="K39" s="20"/>
      <c r="L39" s="21"/>
      <c r="M39" s="21"/>
      <c r="N39" s="21">
        <f t="shared" si="0"/>
        <v>17</v>
      </c>
    </row>
    <row r="40" spans="1:14" ht="117">
      <c r="A40" s="24"/>
      <c r="B40" s="20" t="str">
        <f>scopus[[#This Row],[Title]]</f>
        <v>Cross-Laminated Timber Concrete Composite Systems for Long-Span Floors</v>
      </c>
      <c r="C40" s="102" t="str">
        <f>scopus[[#This Row],[Abstract]]</f>
        <v>Experimental investigations on full-scale (9.6 m) and half-scale (4.8 m) cross-laminated timber (CLT)-concrete-composite (TCC) slab bands are presented. The out-of-plane shear and ultimate flexural capacities of these TCC floors utilizing several types of shear connectors were determined. The TCC system was comprised of a 245 mm thick, 7-ply CLT with 150 mm concrete topping joined with shear connectors. The efficiency of three types of shear connectors: self-tapping screws, steel kerf plates, and proprietary glued-in Holz-Beton-Verbund (HBV) connectors was evaluated. Six series of floor systems, one control series of raw CLT floors (without concrete topping) and five TCC series, were tested for a total of 6-half scale control slabs, 18-half scale, and 6-full scale TCC slabs were tested under four-point bending. The results from this research were utilized to make project-specific design decisions for "The Arbour,"a 10-storey mass timber building for George Brown College, located in Toronto, Canada.  © ASCE.</v>
      </c>
      <c r="D40" s="21">
        <v>4</v>
      </c>
      <c r="E40" s="21">
        <v>2</v>
      </c>
      <c r="F40" s="21">
        <v>5</v>
      </c>
      <c r="G40" s="21">
        <v>5</v>
      </c>
      <c r="H40" s="21" t="s">
        <v>3189</v>
      </c>
      <c r="I40" s="21" t="s">
        <v>3186</v>
      </c>
      <c r="J40" s="21">
        <v>1</v>
      </c>
      <c r="K40" s="20"/>
      <c r="L40" s="21"/>
      <c r="M40" s="21"/>
      <c r="N40" s="21">
        <f t="shared" si="0"/>
        <v>16</v>
      </c>
    </row>
    <row r="41" spans="1:14" ht="221">
      <c r="A41" s="24"/>
      <c r="B41" s="20" t="str">
        <f>scopus[[#This Row],[Title]]</f>
        <v>Carbon mitigation and energy efficiency of hybrid cross-laminated timber buildings: A case study on a community center design</v>
      </c>
      <c r="C41" s="102" t="str">
        <f>scopus[[#This Row],[Abstract]]</f>
        <v>Achieving carbon neutrality in the building sector requires innovative materials such as cross-laminate timber (CLT), energy-efficient solutions, renewable energy, and advanced building technologies to reduce greenhouse gas (GHG) emissions and enhance efficiency. This study evaluates the carbon mitigation potential of CLT as a nature-based solution (NBS) through substitution scenarios in a small-scale regional community center. The process begins with identifying potential building materials and a baseline model using traditional concrete. CLT is integrated as a hybrid material for walls and floors, substituting concrete in varying ratios to evaluate the life cycle carbon emissions and energy efficiency improvements. Key stages of the life cycle assessment (LCA) include material production, construction, operation, and end-of-life. Substituting concrete with CLT reduces GHG emissions by up to 9.22%, with the product stage showing the highest potential for carbon mitigation. The use stage also demonstrates significant reductions owing to the superior thermal performance of CLT, particularly in terms of operational energy consumption, where heating accounts for 88% of the energy savings in cold climates. Additionally, the study highlights the benefits of extending building lifespans and integrating renewable energy during the operation phase. Hybrid CLT buildings with higher exterior substitution ratios, as seen in scenarios S3-1 and S3-2, exhibit notable improvements in energy efficiency and life cycle emissions. Unlike previous studies, this study provides a focused analysis of the substitution rates, serving as a foundation for future large-scale timber construction. Continued research on detailed assemblies and optimized low-carbon designs is essential for advancing sustainable high-rise timber construction. © 2025 Elsevier B.V.</v>
      </c>
      <c r="D41" s="21">
        <v>5</v>
      </c>
      <c r="E41" s="21">
        <v>5</v>
      </c>
      <c r="F41" s="21">
        <v>3</v>
      </c>
      <c r="G41" s="21">
        <v>3</v>
      </c>
      <c r="H41" s="21" t="s">
        <v>3189</v>
      </c>
      <c r="I41" s="21" t="s">
        <v>3190</v>
      </c>
      <c r="J41" s="21">
        <v>1</v>
      </c>
      <c r="K41" s="20"/>
      <c r="L41" s="21"/>
      <c r="M41" s="21"/>
      <c r="N41" s="21">
        <f t="shared" si="0"/>
        <v>16</v>
      </c>
    </row>
    <row r="42" spans="1:14" ht="208">
      <c r="A42" s="24"/>
      <c r="B42" s="20" t="str">
        <f>scopus[[#This Row],[Title]]</f>
        <v>Dynamic Characterization and Vibration Serviceability Assessment of Two Bare High-Frequency CLT Floors</v>
      </c>
      <c r="C42" s="102" t="str">
        <f>scopus[[#This Row],[Abstract]]</f>
        <v>The building construction industry currently represents around 11% of the global carbon emissions. Thus, nowadays the widespread use of low-carbon footprint materials such as timber is considered a priority within the sector. Timber buildings have shown adequate structural performance in terms of capacity and stiffness; however, their extremely lightweight nature makes them more prone to develop excessive vibration responses. This fact is especially remarkable in modern buildings mainly built with engineering wooden products (EWPs) such as Cross Laminated Timber (CLT). Focusing on timber floors, their vibration serviceability limit state (VSLS) usually consists of limiting their dynamic response to human-induced loads as those produced when walking or performing aerobic activities. During the last three decades, the study of floors’ VSLS has been developed in parallel by two methodological schools, that of concrete/composite floors and that of timber ones. New Eurocode 5 has faced this inconsistency by updating its vibration-checking method, moving closer to the approaches used for concrete ones. However, there is still some controversy regarding these new vibration limits and the way of analyzing the response of lightweight floors with natural frequencies over 15 Hz. This paper provides an additional case study on the literature, in which two high-frequency CLT floors have been dynamically characterized using operational modal analysis. Additionally, a subsequent experimental assessment of their VSLS has been performed. The results shed light on the dynamic behavior of these types of floors increasingly used in the building construction sector. © The Author(s), under exclusive license to Springer Nature Switzerland AG 2025.</v>
      </c>
      <c r="D42" s="21">
        <v>4</v>
      </c>
      <c r="E42" s="21">
        <v>5</v>
      </c>
      <c r="F42" s="21">
        <v>2</v>
      </c>
      <c r="G42" s="21">
        <v>5</v>
      </c>
      <c r="H42" s="21" t="s">
        <v>3185</v>
      </c>
      <c r="I42" s="21" t="s">
        <v>3186</v>
      </c>
      <c r="J42" s="21">
        <v>1</v>
      </c>
      <c r="K42" s="20"/>
      <c r="L42" s="21"/>
      <c r="M42" s="21"/>
      <c r="N42" s="21">
        <f t="shared" si="0"/>
        <v>16</v>
      </c>
    </row>
    <row r="43" spans="1:14" ht="208">
      <c r="A43" s="24"/>
      <c r="B43" s="20" t="str">
        <f>scopus[[#This Row],[Title]]</f>
        <v>Nonlinear static seismic response of a building equipped with hybrid cross-laminated timber floor diaphragms and concentric X-braced steel frames</v>
      </c>
      <c r="C43" s="102" t="str">
        <f>scopus[[#This Row],[Abstract]]</f>
        <v>Simplified seismic design procedures mostly recommend the adoption of rigid floor diaphragms when forming a building’s lateral force-resisting structural system. While rigid behavior is compatible with many reinforced concrete or composite steel-concrete floor systems, the intrinsic stiffness properties of wood and ductile timber connections of timber floor slabs typically make reaching a such comparable in-plane response difficult. Codes or standards in North America widely cover wood-frame construction, with provisions given for both rigid and flexible floor diaphragms designs. Instead, research is ongoing for emerging cross-laminated-timber (CLT) and hybrid CLT-based technologies, with seismic design codification still currently limited. This paper deals with a steel-CLT-based hybrid structure built by assembling braced steel frames with CLT-steel composite floors. Preliminary investigation on the performance of a 3-story building under seismic loads is presented, with particular attention to the influence of in-plane timber diaphragms flexibility on the force distribution and lateral deformation at each story. The building complies with the Italian Building Code damage limit state and ultimate limit state design requirements by considering a moderate seismic hazard scenario. Nonlinear static analyses are performed adopting a finite-element model calibrated based on experimental data. The CLT-steel composite floor in-plane deformability shows mitigated effects on the load distribution into the bracing systems compared to the ideal rigid behavior. On the other hand, the lateral deformation always rises at least 17% and 21% on average, independently of the story and load distribution along the building’s height. © 2020 by the authors. Licensee MDPI, Basel, Switzerland.</v>
      </c>
      <c r="D43" s="21">
        <v>4</v>
      </c>
      <c r="E43" s="21">
        <v>5</v>
      </c>
      <c r="F43" s="21">
        <v>5</v>
      </c>
      <c r="G43" s="21">
        <v>2</v>
      </c>
      <c r="H43" s="21" t="s">
        <v>3189</v>
      </c>
      <c r="I43" s="21" t="s">
        <v>3186</v>
      </c>
      <c r="J43" s="21">
        <v>1</v>
      </c>
      <c r="K43" s="20"/>
      <c r="L43" s="21"/>
      <c r="M43" s="21"/>
      <c r="N43" s="21">
        <f t="shared" si="0"/>
        <v>16</v>
      </c>
    </row>
    <row r="44" spans="1:14" ht="169">
      <c r="A44" s="24"/>
      <c r="B44" s="20" t="str">
        <f>scopus[[#This Row],[Title]]</f>
        <v>Wood buildings as a climate solution</v>
      </c>
      <c r="C44" s="102" t="str">
        <f>scopus[[#This Row],[Abstract]]</f>
        <v>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 © 2020 The Author(s)</v>
      </c>
      <c r="D44" s="21">
        <v>5</v>
      </c>
      <c r="E44" s="21">
        <v>5</v>
      </c>
      <c r="F44" s="21">
        <v>3</v>
      </c>
      <c r="G44" s="21">
        <v>3</v>
      </c>
      <c r="H44" s="21" t="s">
        <v>3189</v>
      </c>
      <c r="I44" s="21" t="s">
        <v>3186</v>
      </c>
      <c r="J44" s="21">
        <v>1</v>
      </c>
      <c r="K44" s="20"/>
      <c r="L44" s="21"/>
      <c r="M44" s="21"/>
      <c r="N44" s="21">
        <f t="shared" si="0"/>
        <v>16</v>
      </c>
    </row>
    <row r="45" spans="1:14" ht="130">
      <c r="A45" s="24"/>
      <c r="B45" s="20" t="str">
        <f>scopus[[#This Row],[Title]]</f>
        <v>A Comparative Floor Assembly Design and Life-Cycle Assessment Study of Steel–Timber and Steel–Concrete Composite Structural Systems</v>
      </c>
      <c r="C45" s="102" t="str">
        <f>scopus[[#This Row],[Abstract]]</f>
        <v>Steel-timber composite (STC) structures, which utilize mass-timber cross-laminated-timber (CLT) floor panels compositely connected to steel framing, have emerged as a viable alternative structural system with a low carbon footprint along with potential improvements in the structural performance and constructability against traditional steel–concrete (SCC) systems. This paper focuses on the floor assembly design and sustainability aspect of STC systems relative to SCC systems with particular emphasis on results from a comparative whole-building life-cycle-assessment study conducted on functionally equivalent STC and SCC office buildings at 7 and 18 stories. Embodied carbon was lower in the STC systems since the total embodied carbon reduced by 50 and 42 percent in the 7- and 18-story structures, respectively. Embodied fossil energy was also lower in the STC systems since the total embodied fossil energy reduced by 32 and 21 percent in the 7- and 18-story structures, respectively. Sensitivity studies on biogenic carbon inclusion have shown substantial impact on the results. ©Forest Products Society 2025.</v>
      </c>
      <c r="D45" s="21">
        <v>4</v>
      </c>
      <c r="E45" s="21">
        <v>5</v>
      </c>
      <c r="F45" s="21">
        <v>2</v>
      </c>
      <c r="G45" s="21">
        <v>5</v>
      </c>
      <c r="H45" s="21" t="s">
        <v>3185</v>
      </c>
      <c r="I45" s="21" t="s">
        <v>3190</v>
      </c>
      <c r="J45" s="21">
        <v>1</v>
      </c>
      <c r="K45" s="20"/>
      <c r="L45" s="21"/>
      <c r="M45" s="21"/>
      <c r="N45" s="21">
        <f t="shared" si="0"/>
        <v>16</v>
      </c>
    </row>
    <row r="46" spans="1:14" ht="221">
      <c r="A46" s="24"/>
      <c r="B46" s="20" t="str">
        <f>scopus[[#This Row],[Title]]</f>
        <v>INFLUENCE OF DRY-TYPE DOUBLE FLOOR STRUCTURE ON FLOOR IMPACT SOUND INSULATION PERFORMANCE</v>
      </c>
      <c r="C46" s="102" t="str">
        <f>scopus[[#This Row],[Abstract]]</f>
        <v>The dry-type double floor structure is often constructed on floor slabs as the floor finishing material for concrete apartment houses in Japan. This floor structure consists of a support footing with anti-vibration rubber, particle board, asphalt-based sound insulation sheets, flooring, and other top surface materials. In the case of the concrete building, the floor finishing material is effective for the light-weight floor impact sound insulation performance, however, it is not effective for the heavy-weight floor impact sound insulation performance. This is believed to the due to the mass-spring resonance of the air layer and the top surface. For the Cross Laminated Timber (CLT) building, the floor finishing material is effective for both the light-weight and the heavy-weight floor impact sound insulation performance hence the floor finishing material works differently with the different buildings. But no data was obtained from the same product installed on the different floor structures. The reduction of the transmitted floor impact sound level due to the same dry-type double floor structure was investigated with different constructions. The laboratory experiments were conducted in the CLT experimental building, a 6-storey wood-frame construction experimental building and vertical transmission suite in BRI Japan. Those are the 210 mm CLT bare floor, 210 mm CLT floor with floating floor and composite 210 mm CLT and 100 mm concrete floor and 200 mm concrete bare floor. As a result, the reduction of transmitted floor impact sound level changes depending on the driving-point impedance. The higher the driving-point impedance, the smaller the reduction of transmitted floor impact sound level was obtained. © 2023 Proceedings of the International Congress on Sound and Vibration. All rights reserved.</v>
      </c>
      <c r="D46" s="21">
        <v>4</v>
      </c>
      <c r="E46" s="21">
        <v>5</v>
      </c>
      <c r="F46" s="21">
        <v>3</v>
      </c>
      <c r="G46" s="21">
        <v>4</v>
      </c>
      <c r="H46" s="21" t="s">
        <v>3185</v>
      </c>
      <c r="I46" s="21" t="s">
        <v>3186</v>
      </c>
      <c r="J46" s="21">
        <v>1</v>
      </c>
      <c r="K46" s="20"/>
      <c r="L46" s="21"/>
      <c r="M46" s="21"/>
      <c r="N46" s="21">
        <f t="shared" si="0"/>
        <v>16</v>
      </c>
    </row>
    <row r="47" spans="1:14" ht="169">
      <c r="A47" s="24"/>
      <c r="B47" s="20" t="str">
        <f>scopus[[#This Row],[Title]]</f>
        <v>Engineering ductile notch connections for composite floors made of laminated timber and high or ultra-high performance fiber reinforced concrete</v>
      </c>
      <c r="C47" s="102" t="str">
        <f>scopus[[#This Row],[Abstract]]</f>
        <v>Different kinds of ductile connectors have been lately developed for enhancing the structural ductility of Timber-Concrete Composite (TCC) structures. In particular, ductile notch connections can be designed by favoring the local compression failure of wood fibers. This work aims at further developing economic and ductile notch connector by considering different floor systems made of Glulam Laminated Timber (GLT) beam or Cross Laminated Timber (GLT or CLT) slab connected with a High Performance Concrete (HPC) slab or a Ultra-High Performance Fiber Reinforced Concrete (UHPFRC) slab. Firstly, the geometry of the notch connector was suitably designed for favoring a ductile hierarchy of collapse modes. Then, a wide campaign of push-out tests was carried out to characterize the shear behaviour of 14 connection configurations by varying the notch geometry, the concrete type and the possible presence of acoustic insulation. Finally, based on the experimentally identified connection shear law, an example of design is presented for a TCC slab of 9 m span. The insulation layer was found to reduce the connection stiffness, but to increases the structural stiffness thanks to the enhanced lever arm of the composite action. For plastically designed TCC structures, the connection ductility allows increasing the structural ductility for both GLT-(U)HPC and for CLT-(U)UPC floor systems. © 2020 Elsevier Ltd</v>
      </c>
      <c r="D47" s="21">
        <v>3</v>
      </c>
      <c r="E47" s="21">
        <v>5</v>
      </c>
      <c r="F47" s="21">
        <v>3</v>
      </c>
      <c r="G47" s="21">
        <v>5</v>
      </c>
      <c r="H47" s="21" t="s">
        <v>3185</v>
      </c>
      <c r="I47" s="21" t="s">
        <v>3190</v>
      </c>
      <c r="J47" s="21">
        <v>1</v>
      </c>
      <c r="K47" s="20"/>
      <c r="L47" s="21"/>
      <c r="M47" s="21"/>
      <c r="N47" s="21">
        <f t="shared" si="0"/>
        <v>16</v>
      </c>
    </row>
    <row r="48" spans="1:14" ht="234">
      <c r="A48" s="24"/>
      <c r="B48" s="20" t="str">
        <f>scopus[[#This Row],[Title]]</f>
        <v>Energy implications of using steel-timber composite (STC) elements in buildings</v>
      </c>
      <c r="C48" s="102" t="str">
        <f>scopus[[#This Row],[Abstract]]</f>
        <v>Among different structural elements, floor elements account for the largest portion of the mass and thus the embodied energy of the structures. Therefore, a viable approach to reduce the embodied energy of buildings may involve replacing the conventional floor systems with alternative low embodied energy floor systems. This paper investigates the potential reductions in the life cycle energy of the steel structures achievable through the adoption of steel-timber composite (STC) elements as floor and shear wall systems. Evaluating the life cycle energy implications of adopting STC elements is especially important due to the trade-off between their positive and negative effects on embodied energy and operating energy, respectively, when compared to alternative conventional elements with a higher thermal mass including concrete and steel elements. The life-cycle energy of four different structures designed for a building is evaluated by accounting for energy use in material extraction and processing, component manufacturing, transportation, construction, operation and end of life phases. Two steel structures with STC and steel-concrete composite floors and concrete shear walls are considered to evaluate the effects of STC floors on the energy-usage footprint. The third structure is designed with STC floor system and CLT shear walls; and the fourth structure is designed as a concrete structure to provide a basis for comparison between energy footprint of steel structures with STC and reinforced concrete structures. The results indicate that when designing the building with a steel structure, adoption of STC floor and shear wall systems resulted in 107.5% decrease in the embodied energy at the expense of only a slight increase in the operating energy. Furthermore, adopting a steel structure with STC floors was found to result in considerable life cycle energy savings, viz. 895 MJ/m2, when compared with the same building designed with a concrete structure. © 2018 Elsevier B.V.</v>
      </c>
      <c r="D48" s="21">
        <v>4</v>
      </c>
      <c r="E48" s="21">
        <v>5</v>
      </c>
      <c r="F48" s="21">
        <v>5</v>
      </c>
      <c r="G48" s="21">
        <v>1</v>
      </c>
      <c r="H48" s="21" t="s">
        <v>3189</v>
      </c>
      <c r="I48" s="21" t="s">
        <v>3190</v>
      </c>
      <c r="J48" s="21">
        <v>1</v>
      </c>
      <c r="K48" s="20"/>
      <c r="L48" s="21"/>
      <c r="M48" s="21"/>
      <c r="N48" s="21">
        <f t="shared" si="0"/>
        <v>15</v>
      </c>
    </row>
    <row r="49" spans="1:14" ht="117">
      <c r="A49" s="24"/>
      <c r="B49" s="20" t="str">
        <f>scopus[[#This Row],[Title]]</f>
        <v>Experimental dataset for effective bending stiffness and load-carrying capacity of CLT-concrete composite floor systems</v>
      </c>
      <c r="C49" s="102" t="str">
        <f>scopus[[#This Row],[Abstract]]</f>
        <v>This article presents the dataset from experimental investigations on cross-laminated timber (CLT) concrete composite (TCC) floor systems. The data was collected at the University of Northern British Columbia, BC, Canada, for project-specific design decisions for “Limberlost Place”, a mass timber building for George Brown College, in Toronto, Canada designed by Fast + Epp, Vancouver, BC, Canada. The TCC systems comprised of 245 mm thick, 7-ply CLT panels with 150 mm concrete topping. A total of 18 small-scale shear connections, and 24 half-scale (4.6 m long) and 9 full-scale (9.2 m long) floors were tested. The dataset provides information on the effective bending stiffness and load-carrying capacity of long span beamless CLT-concrete floor systems. This data will also serve as essential inputs for engineers and researchers in modelling and design processes. Copyright © 2025. Published by Elsevier Inc.</v>
      </c>
      <c r="D49" s="21">
        <v>4</v>
      </c>
      <c r="E49" s="21">
        <v>4</v>
      </c>
      <c r="F49" s="21">
        <v>2</v>
      </c>
      <c r="G49" s="21">
        <v>5</v>
      </c>
      <c r="H49" s="21" t="s">
        <v>3189</v>
      </c>
      <c r="I49" s="21" t="s">
        <v>3186</v>
      </c>
      <c r="J49" s="21">
        <v>1</v>
      </c>
      <c r="K49" s="20"/>
      <c r="L49" s="21"/>
      <c r="M49" s="21"/>
      <c r="N49" s="21">
        <f t="shared" si="0"/>
        <v>15</v>
      </c>
    </row>
    <row r="50" spans="1:14" ht="156">
      <c r="A50" s="24"/>
      <c r="B50" s="20" t="str">
        <f>scopus[[#This Row],[Title]]</f>
        <v>Reinforced cross-laminated timber-concrete composite floor systems</v>
      </c>
      <c r="C50" s="102" t="str">
        <f>scopus[[#This Row],[Abstract]]</f>
        <v>This paper presents full-scale experimental investigations on cross-laminated timber concrete composite (TCC) systems. The primary objective was to determine the stiffness, ultimate load-carrying capacity, and failure modes of TCC systems using three different shear connectors: self-tapping screws, steel kerf plates, and proprietary glued-in perforated steel plates. The secondary objective was to determine the effectiveness of shear reinforcement in the CLT panels. The TCC system was comprised of 245 mm thick, 7-ply CLT panels with a 150 mm concrete topping. A total of 24 half-span (4.6 m long) and 9 full-span (9.2 m long) CLT and TCC floor segments were tested under symmetric four-point bending as well as torsional bending. For all test series, the CLT panels were either unreinforced, or reinforced using self-tapping screws. The shear reinforcement increased rolling shear capacity which helped to avoid CLT shear failure. Adding the concrete topping increased the shear capacity by up to 167%. The tests showed that the floors with steel kerf plates exhibited the highest capacity and stiffness, while also being the most easy-to-install solution. The results from this research guided project-specific design decisions for “Limberlost Place”, a mass timber building for George Brown College, in Toronto, Canada. © 2023 Elsevier Ltd</v>
      </c>
      <c r="D50" s="21">
        <v>4</v>
      </c>
      <c r="E50" s="21">
        <v>5</v>
      </c>
      <c r="F50" s="21">
        <v>1</v>
      </c>
      <c r="G50" s="21">
        <v>5</v>
      </c>
      <c r="H50" s="21" t="s">
        <v>3189</v>
      </c>
      <c r="I50" s="21" t="s">
        <v>3186</v>
      </c>
      <c r="J50" s="21">
        <v>1</v>
      </c>
      <c r="K50" s="20"/>
      <c r="L50" s="21"/>
      <c r="M50" s="21"/>
      <c r="N50" s="21">
        <f t="shared" si="0"/>
        <v>15</v>
      </c>
    </row>
    <row r="51" spans="1:14" ht="130">
      <c r="A51" s="24"/>
      <c r="B51" s="20" t="str">
        <f>scopus[[#This Row],[Title]]</f>
        <v>Sustainability and cost of a multi-story edifice, with CLT and LGS light weight floor system, at Neom-The Line</v>
      </c>
      <c r="C51" s="102" t="str">
        <f>scopus[[#This Row],[Abstract]]</f>
        <v>Climate change and global warming, driven primarily by human activities, are urgent global issues necessitating immediate attention and action. The construction sector, responsible for nearly 40% of global greenhouse gas emissions, plays a critical role in these challenges. This study focuses on designing a sustainable multi-story edifice at Neom-The Line using cross-laminated timber (CLT) and light gauge steel (LGS) as lightweight floor systems. By comparing the carbon emissions of a CLT-hybrid building and an LGS-hybrid building, the study demonstrates the potential of sustainable materials in reducing CO2 emissions. Results indicate that the CLT-hybrid structure emits significantly less CO2 compared to the LGS-hybrid and traditional reinforced concrete (RCC) structures. The incorporation of photovoltaic (PV) glass further enhances the sustainability of these buildings. This research aligns with the United Nations' Sustainable Development Goals and Saudi Vision 2030, promoting sustainable construction practices and contributing to climate action. © 2025, Association of American Publishers. All rights reserved.</v>
      </c>
      <c r="D51" s="21">
        <v>4</v>
      </c>
      <c r="E51" s="21">
        <v>4</v>
      </c>
      <c r="F51" s="21">
        <v>5</v>
      </c>
      <c r="G51" s="21">
        <v>2</v>
      </c>
      <c r="H51" s="21" t="s">
        <v>3189</v>
      </c>
      <c r="I51" s="21" t="s">
        <v>3190</v>
      </c>
      <c r="J51" s="21">
        <v>1</v>
      </c>
      <c r="K51" s="20"/>
      <c r="L51" s="21"/>
      <c r="M51" s="21"/>
      <c r="N51" s="21">
        <f t="shared" si="0"/>
        <v>15</v>
      </c>
    </row>
    <row r="52" spans="1:14" ht="143">
      <c r="A52" s="24"/>
      <c r="B52" s="20" t="str">
        <f>scopus[[#This Row],[Title]]</f>
        <v>Composite connections between CLT slab and steel beam: Experiments and empirical models</v>
      </c>
      <c r="C52" s="102" t="str">
        <f>scopus[[#This Row],[Abstract]]</f>
        <v>A composite floor comprising of steel beams connected to cross laminated timber (CLT) panels is a sustainable alternative to composite floors with reinforced concrete slab. The structural performance of the steel-CLT floor depends strongly on the load-slip behaviour (particularly the stiffness and strength) of the shear connection between the steel beams and the CLT slabs. In this paper, the short-term behaviour of steel-CLT joints is studied by laboratory push-out experiments conducted on CLT-steel-CLT specimens, being analogous to familiar push tests on steel-concrete specimens. In addition to coach screws and bolts, a high-performance steel-CLT composite connection comprising of high-strength bolted shear connectors embedded in pockets of grout is proposed and tested. The push-out experiments are used to determine the load-slip, failure mode, stiffness and ultimate strength/capacity of the steel-CLT composite joints and to calibrate an empirical formula for the load-slip response of the CLT-to-steel connections. Furthermore, simple empirical formulae for the stiffness and ultimate capacity of the CLT-to-steel composite connections are proposed. © 2017</v>
      </c>
      <c r="D52" s="21">
        <v>4</v>
      </c>
      <c r="E52" s="21">
        <v>5</v>
      </c>
      <c r="F52" s="21">
        <v>3</v>
      </c>
      <c r="G52" s="21">
        <v>3</v>
      </c>
      <c r="H52" s="21" t="s">
        <v>3189</v>
      </c>
      <c r="I52" s="21" t="s">
        <v>3186</v>
      </c>
      <c r="J52" s="21">
        <v>1</v>
      </c>
      <c r="K52" s="20"/>
      <c r="L52" s="21"/>
      <c r="M52" s="21"/>
      <c r="N52" s="21">
        <f t="shared" si="0"/>
        <v>15</v>
      </c>
    </row>
    <row r="53" spans="1:14" ht="195">
      <c r="A53" s="24"/>
      <c r="B53" s="20" t="str">
        <f>scopus[[#This Row],[Title]]</f>
        <v>MECHANICAL BEHAVIOUR OF NOTCH CONNECTION FOR MARITIME PINE CLT-CONCRETE COMPOSITE</v>
      </c>
      <c r="C53" s="102" t="str">
        <f>scopus[[#This Row],[Abstract]]</f>
        <v>Cross Laminated Timber (CLT) is one of the most representative Engineered Wood Products, especially for low- and mid-rise timber buildings. Although in the 2000s, its use in Europe increased significantly, Portugal is still at a starting point and Spain needs a boost for its dissemination. Aiming promotion and dissemination of this type of buildings in SUDOE region, Eguralt project promotes research and innovation capacity for its sustainable growth. As a partner, one of SerQ's objectives is to promote the production of CLT solutions with wood from local species. The advantages of CLT are well known. However, the use of CLT in composite solutions requires the study of the overall performance, namely: stiffness; strength; dynamics and acoustic performance. Continuing recent studies in these areas, this paper presents an experimental campaign on the assessment of CLT-concrete connections and its comparison with the design models available. CLT was produced at SerQ's facilities with local maritime pine (Pinus pinaster Ait.) wood. In situ concrete casting and precast concrete processes were a study variable. Notch shear connectors with different geometries and screws or U-shape rebar cages to prevent uplift, gives the system its composite behaviour. The load capacity of the connectors was theoretically predicted and validated with shear tests, and the experimental results were then compared with those. The results of the specimens cast in situ were satisfactory, while the results of the precast specimens were below expectations. © 13th World Conference on Timber Engineering, WCTE 2023. All rights reserved.</v>
      </c>
      <c r="D53" s="21">
        <v>5</v>
      </c>
      <c r="E53" s="21">
        <v>3</v>
      </c>
      <c r="F53" s="21">
        <v>3</v>
      </c>
      <c r="G53" s="21">
        <v>3</v>
      </c>
      <c r="H53" s="21" t="s">
        <v>3189</v>
      </c>
      <c r="I53" s="21" t="s">
        <v>3186</v>
      </c>
      <c r="J53" s="21">
        <v>1</v>
      </c>
      <c r="K53" s="20"/>
      <c r="L53" s="21"/>
      <c r="M53" s="21"/>
      <c r="N53" s="21">
        <f t="shared" si="0"/>
        <v>14</v>
      </c>
    </row>
    <row r="54" spans="1:14" ht="234">
      <c r="A54" s="24"/>
      <c r="B54" s="20" t="str">
        <f>scopus[[#This Row],[Title]]</f>
        <v>Assessment of the environmental impact of timber and its potential to mitigate embodied GHG emissions</v>
      </c>
      <c r="C54" s="102" t="str">
        <f>scopus[[#This Row],[Abstract]]</f>
        <v>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v>
      </c>
      <c r="D54" s="21">
        <v>3</v>
      </c>
      <c r="E54" s="21">
        <v>1</v>
      </c>
      <c r="F54" s="21">
        <v>5</v>
      </c>
      <c r="G54" s="21">
        <v>5</v>
      </c>
      <c r="H54" s="21" t="s">
        <v>3189</v>
      </c>
      <c r="I54" s="21" t="s">
        <v>3186</v>
      </c>
      <c r="J54" s="21">
        <v>1</v>
      </c>
      <c r="K54" s="20"/>
      <c r="L54" s="21"/>
      <c r="M54" s="21"/>
      <c r="N54" s="21">
        <f t="shared" si="0"/>
        <v>14</v>
      </c>
    </row>
    <row r="55" spans="1:14" ht="143">
      <c r="A55" s="24"/>
      <c r="B55" s="20" t="str">
        <f>scopus[[#This Row],[Title]]</f>
        <v>Vibration performance of cross-laminated timber (CLT)-concrete composite floors considering the section thickness ratio between CLT panels and concrete slabs</v>
      </c>
      <c r="C55" s="102" t="str">
        <f>scopus[[#This Row],[Abstract]]</f>
        <v>Cross-laminated timber (CLT)-concrete composite floor has significant potential for application in multi-storey and long-span modern timber structures due to its excellent mechanical properties. Typically, the design of timber floors is governed by serviceability requirements, such as deflection and vibration, rather than by strength limits. In response, this study presents a series of investigations on the vibration performance of CLT-concrete composite (CCC) floor. Taking component thickness as the design parameter, six CCC floor strips were fabricated and their static and dynamic characteristics were tested. The test results indicated that while the concrete slab significantly enhanced the floor's bending stiffness, its high density led to a reduction in the floor's fundamental frequency. Furthermore, the vibration performance of CCC floor strips was predicted using theoretical calculations and finite element (FE) simulations. The results from both analytical methods were accurate, exhibiting an absolute error of less than 15 %. Finally, parametric numerical analyses were conducted using the two analytical methods to determine the optimal section thickness ratio of the two components in CCC floors. © 2025</v>
      </c>
      <c r="D55" s="21">
        <v>4</v>
      </c>
      <c r="E55" s="21">
        <v>4</v>
      </c>
      <c r="F55" s="21">
        <v>1</v>
      </c>
      <c r="G55" s="21">
        <v>5</v>
      </c>
      <c r="H55" s="21" t="s">
        <v>3189</v>
      </c>
      <c r="I55" s="21" t="s">
        <v>3190</v>
      </c>
      <c r="J55" s="21">
        <v>1</v>
      </c>
      <c r="K55" s="20"/>
      <c r="L55" s="21"/>
      <c r="M55" s="21"/>
      <c r="N55" s="21">
        <f t="shared" si="0"/>
        <v>14</v>
      </c>
    </row>
    <row r="56" spans="1:14" ht="169">
      <c r="A56" s="24"/>
      <c r="B56" s="20" t="str">
        <f>scopus[[#This Row],[Title]]</f>
        <v>Out-of-Plane Strengthening of Existing Timber Floors with Cross Laminated Timber Panels Made of Short Supply Chain Beech</v>
      </c>
      <c r="C56" s="102" t="str">
        <f>scopus[[#This Row],[Abstract]]</f>
        <v>Establishing short supply chains for timber has become important especially in Italy, which is an historically wood-importer country. Timber is an environmentally friendly construction material and a potential mean to reduce carbon footprint produced every year by the building sector. In addition to its sustainability benefits, reversible strengthening interventions can be attained for existing structures. As such, timber can be efficiently used to preserve and protect historical buildings which are, due to architectural and aesthetic values, fundamental components of the Italian cultural heritage. In this study, the use and potential of novel cross-laminated (X-Lam or CLT) timber panels made of Italian hardwood (i.e., beech) for strengthening of existing timber floors is investigated. A quantitative comparison between the mechanical performances of the proposed wood-based product and common retrofitting techniques, such as double-crossed timber planks and reinforced concrete slabs, is carried out in terms of bending stiffness (which is evaluated according to Eurocode 5), influence of weight and reversibility of intervention. It is shown that CLT panels represent a good compromise/alternative for the realisation of reversible and sustainable reinforcing interventions, with rather well promising performances. © 2024 by the authors. Licensee MDPI, Basel, Switzerland.</v>
      </c>
      <c r="D56" s="21">
        <v>4</v>
      </c>
      <c r="E56" s="21">
        <v>3</v>
      </c>
      <c r="F56" s="21">
        <v>5</v>
      </c>
      <c r="G56" s="21">
        <v>2</v>
      </c>
      <c r="H56" s="21" t="s">
        <v>3189</v>
      </c>
      <c r="I56" s="21" t="s">
        <v>3190</v>
      </c>
      <c r="J56" s="21">
        <v>1</v>
      </c>
      <c r="K56" s="20"/>
      <c r="L56" s="21"/>
      <c r="M56" s="21"/>
      <c r="N56" s="21">
        <f t="shared" si="0"/>
        <v>14</v>
      </c>
    </row>
    <row r="57" spans="1:14" ht="234">
      <c r="A57" s="24"/>
      <c r="B57" s="20" t="str">
        <f>scopus[[#This Row],[Title]]</f>
        <v>Structural performance of hybrid tall buildings designed using ultra-lightweight floor slabs</v>
      </c>
      <c r="C57" s="102" t="str">
        <f>scopus[[#This Row],[Abstract]]</f>
        <v>The main objective of this study is to investigate feasibility of using Ultra-Lightweight (ULW) slab in floor system of tall building in combination with rigid steel frame and Reinforced Concrete (RC) shear wall as the lateral load resisting systems. The main vehicle is numerical case studies of forty story buildings in which their floor systems constructed using conventional (RC slab) only, non-conventional (ULW slab) only, and hybrid between these two slabs. In the hybrid floor cases, combinations of lower story RC slabs and upper story ULW slabs will be conducted. For example, the first twenty five floor levels will be designed using traditional composite action between RC and steel floor framing, while the upper fifteen story floor levels will be designed using ULW slab in composite action with steel floor framing. In addition to dead and live loads, major lateral load considered will be extreme wind and earthquake loads suited for middle-east region. The outcome will be comparison of structural performance amongst these floor systems including: total drift, inter-story drift, inter-story shears, base reactions, and structural dynamic performances. Also steel demand on the main steel skeleton will be compared to each other. The ULW slab could be made of lightweight materials having high vertical and lateral stiffness. In this study however, the ULW floor slab will be made of high strength Cross Laminated Timber (CLT). Within last two decades, CLT slabs have been used widely in Europe for low-rise building applications. In combination with steel and/or reinforced concrete frames, CLT has potential application to be used in a very demanding tall building industry in the middle-east areas due to its strength, lightness, low demand on foundation, architecturally appealing, and green or environmentally friendly. The outcome of this study is intended to give structural engineers and architects alternative in designing floor systems of tall buildings. © 2016 Taylor &amp; Francis Group, London.</v>
      </c>
      <c r="D57" s="21">
        <v>4</v>
      </c>
      <c r="E57" s="21">
        <v>3</v>
      </c>
      <c r="F57" s="21">
        <v>3</v>
      </c>
      <c r="G57" s="21">
        <v>4</v>
      </c>
      <c r="H57" s="21" t="s">
        <v>3189</v>
      </c>
      <c r="I57" s="21" t="s">
        <v>3190</v>
      </c>
      <c r="J57" s="21">
        <v>1</v>
      </c>
      <c r="K57" s="20" t="s">
        <v>3191</v>
      </c>
      <c r="L57" s="21"/>
      <c r="M57" s="21"/>
      <c r="N57" s="21">
        <f t="shared" si="0"/>
        <v>14</v>
      </c>
    </row>
    <row r="58" spans="1:14" ht="169">
      <c r="A58" s="24"/>
      <c r="B58" s="20" t="str">
        <f>scopus[[#This Row],[Title]]</f>
        <v>Estimation of energy demand and greenhouse gas emission reduction effect of cross-laminated timber (CLT) hybrid wall using life cycle assessment for urban residential planning</v>
      </c>
      <c r="C58" s="102" t="str">
        <f>scopus[[#This Row],[Abstract]]</f>
        <v>The building and construction sector accounted for 36% of final energy use and 37% of energy and process-related carbon dioxide (CO2) emissions in 2020. According to a recent study, if the global population grows to 9.3 billion by 2050, new infrastructure development will cause approximately 350 Gt of CO2 emissions, corresponding to 35–60% of the remaining carbon budget available up to 2050 if the average temperature increase is to be limited to 2 °C. Material substitution is one way to reduce embodied energy and CO2 emissions. Cross-laminated timber (CLT), a bio-based material, can be an alternative to concrete and steel, which are the most energy- and carbon-intensive materials. However, there is a limit to the immediate application of CLT to the entire building. This study confirmed greenhouse gas (GHG) emission and energy consumption reductions when CLT was applied to the exterior walls of 52 apartment building types. Substituting CLT for concrete in the exterior walls resulted in a 44.6% savings in GHG emissions and 49.3% in energy demand. GHG emissions per floor were reduced by −16,906 kg CO2-eq, while energy consumption per floor was reduced by −256,896 MJ. If CLT is used in 30% of the exterior walls of the 800,000 houses planned to be constructed in Seoul by 2030, the energy savings and GHG reduction effect are expected to be −11,495 TJ and −0.86 Mt CO2-eq, respectively. © 2023 Elsevier Ltd</v>
      </c>
      <c r="D58" s="21">
        <v>4</v>
      </c>
      <c r="E58" s="21">
        <v>5</v>
      </c>
      <c r="F58" s="21">
        <v>1</v>
      </c>
      <c r="G58" s="21">
        <v>3</v>
      </c>
      <c r="H58" s="21" t="s">
        <v>3189</v>
      </c>
      <c r="I58" s="21" t="s">
        <v>3190</v>
      </c>
      <c r="J58" s="21">
        <v>1</v>
      </c>
      <c r="K58" s="20"/>
      <c r="L58" s="21"/>
      <c r="M58" s="21"/>
      <c r="N58" s="21">
        <f t="shared" si="0"/>
        <v>13</v>
      </c>
    </row>
    <row r="59" spans="1:14" ht="169">
      <c r="A59" s="24"/>
      <c r="B59" s="20" t="str">
        <f>scopus[[#This Row],[Title]]</f>
        <v>Behaviour of mass timber panel-concrete connections with inclined self-tapping screws and insulation layer</v>
      </c>
      <c r="C59" s="102" t="str">
        <f>scopus[[#This Row],[Abstract]]</f>
        <v>The Mass Timber Panel-Concrete (MTPC) composite floor system considered in this paper consists of a Mass Timber Panel (MTP) connected to reinforced concrete slab with Self-Tapping Screw (STS) connector and a sound insulation layer in between. This type of composite floor system is intended for mid-to high-rise building applications. Two types of MTPs with normal weight concrete, two insulation thicknesses, two screw embedment lengths and two screw angles were investigated through connection tests to characterize connection stiffness and strength. The main goal of this connection test program was to provide preliminary test data to assist in the development of a model to predict connections lateral stiffness and strength under consideration of insulation thickness, screw angle, withdrawal and embedment properties of screws in MTP. Connection test results show that screws at an insertion angle of 30° have a higher stiffness and strength along with a larger embedment length compared to the screws at a 45° angle and smaller embedment length. Stiffness seemed to be more susceptible to the influence of presence of insulation compared to strength with 40-65% reduction of stiffness and 10-20% reduction of strength were noticed for an insulation thickness of 5 mm. Screws in CLT showed higher strength while screws in CLP showed higher stiffness but the difference is insignificant. © WCTE 2018 Committee.</v>
      </c>
      <c r="D59" s="21">
        <v>3</v>
      </c>
      <c r="E59" s="21">
        <v>4</v>
      </c>
      <c r="F59" s="21">
        <v>1</v>
      </c>
      <c r="G59" s="21">
        <v>5</v>
      </c>
      <c r="H59" s="21" t="s">
        <v>3192</v>
      </c>
      <c r="I59" s="21" t="s">
        <v>3190</v>
      </c>
      <c r="J59" s="21">
        <v>1</v>
      </c>
      <c r="K59" s="20"/>
      <c r="L59" s="21"/>
      <c r="M59" s="21"/>
      <c r="N59" s="21">
        <f t="shared" si="0"/>
        <v>13</v>
      </c>
    </row>
    <row r="60" spans="1:14" ht="156">
      <c r="A60" s="24"/>
      <c r="B60" s="20" t="str">
        <f>scopus[[#This Row],[Title]]</f>
        <v>STRUCTURAL DYNAMIC CALCULATIONS OF TRAFFIC INDUCED VIBRATIONS IN MODERN CROSS LAMINATED TIMBER CONSTRUCTIONS</v>
      </c>
      <c r="C60" s="102" t="str">
        <f>scopus[[#This Row],[Abstract]]</f>
        <v>Timber buildings are becoming increasingly popular due to their sustainability and ease of construction. The development of modern construction methods with cross-laminated timber (CLT) now allows for the erection of high-rise timber buildings. The increase of timber building projects in cities with dense traffic networks means that constructions often take place in locations with a high potential for vibration problems. The forecast of traffic induced vibrations using finite element (FE) simulations is a well-proven design method for reinforced concrete structures. However, the structural dynamic behaviour of multi-storey timber buildings is still largely unexplored. While various research projects are attempting to address this topic, practical and reliable solutions are currently needed for the design of ongoing construction projects. The floor vibration response to road and rail traffic has been investigated for CLT building projects using FE models. The computational approaches and the modelling of the CLT structure are based on measurements and results from a research group. The models include both timber and hybrid timber-concrete floor constructions, as well as their coupling with floating screeds. © 2024 Proceedings of the International Congress on Sound and Vibration. All rights reserved.</v>
      </c>
      <c r="D60" s="21">
        <v>3</v>
      </c>
      <c r="E60" s="21">
        <v>4</v>
      </c>
      <c r="F60" s="21">
        <v>1</v>
      </c>
      <c r="G60" s="21">
        <v>5</v>
      </c>
      <c r="H60" s="21" t="s">
        <v>3189</v>
      </c>
      <c r="I60" s="21" t="s">
        <v>3190</v>
      </c>
      <c r="J60" s="21">
        <v>1</v>
      </c>
      <c r="K60" s="20"/>
      <c r="L60" s="21"/>
      <c r="M60" s="21"/>
      <c r="N60" s="21">
        <f t="shared" si="0"/>
        <v>13</v>
      </c>
    </row>
    <row r="61" spans="1:14" ht="104">
      <c r="A61" s="24"/>
      <c r="B61" s="20" t="str">
        <f>scopus[[#This Row],[Title]]</f>
        <v>Predicting vibration behaviour of cross laminated timber floors</v>
      </c>
      <c r="C61" s="102" t="str">
        <f>scopus[[#This Row],[Abstract]]</f>
        <v>Ultra-lightweight products like Cross-Laminated-Timber (CLT) have entered the marketplace as alternatives to cast in-sitn or precast reinforced concrete (RC) for construction of floor slabs. The primary advantage of using lightweight materials is that they reduce structural demands on supporting elements. However, lightweight slabs tend to exhibit higher levels of acceleration than RC slabs when subjected to dynamic loads, making it prudent to pay close attention to vibration serviceability when designing CLT slabs. Discussion here addresses a detailed finite element (FE) analysis approach as the reference point for defining accuracy capabilities of simple dynamic analysis formulas. It is concluded CLT floor slabs embody complexities in their modal responses that are beyond abilities of simple engineering formulas to predict.</v>
      </c>
      <c r="D61" s="21">
        <v>5</v>
      </c>
      <c r="E61" s="21">
        <v>2</v>
      </c>
      <c r="F61" s="21">
        <v>4</v>
      </c>
      <c r="G61" s="21">
        <v>2</v>
      </c>
      <c r="H61" s="21" t="s">
        <v>3189</v>
      </c>
      <c r="I61" s="21" t="s">
        <v>3190</v>
      </c>
      <c r="J61" s="21">
        <v>1</v>
      </c>
      <c r="K61" s="20"/>
      <c r="L61" s="21"/>
      <c r="M61" s="21"/>
      <c r="N61" s="21">
        <f t="shared" si="0"/>
        <v>13</v>
      </c>
    </row>
    <row r="62" spans="1:14" ht="195">
      <c r="A62" s="24"/>
      <c r="B62" s="20" t="str">
        <f>scopus[[#This Row],[Title]]</f>
        <v>Short-Term, Long-Term, and Vibration Performance of TCC Floors Using Mass-Timber Panels</v>
      </c>
      <c r="C62" s="102" t="str">
        <f>scopus[[#This Row],[Abstract]]</f>
        <v>The increasing availability of mass timber panels has expanded the possibilities for using timber-concrete-composite (TCC) flat floors beyond the traditional TCC T-beams. While TCC floors often easily satisfy ultimate limit state requirements, their stiffness, vibration characteristics, and long-term performance are critical design considerations. This research aimed to validate the bending, vibration, and long-term performance for nine different TCC floor systems through full-size tests with a span of 5.8 m. The tested floor systems used laminated-veneer-lumber, laminated-strand lumber, and cross-laminated-timber (CLT) panels connected to a concrete slab with and without an interlayer. Three types of shear connections were employed: self-tapping screws; glued-in steel mesh; and a combination of STS and adhesive bond. First, the shear connection properties were determined via 54 small-scale push-out tests. Then, 18 floors were tested in bending and vibration shortly after fabrication, and an additional nine floors were subjected to service loading for 32 months under variable climatic conditions, after which they were subjected to bending and vibration tests. The results confirmed that the calculations based on the γ-method accurately predict the stiffness, natural frequency, and governing failure modes of TCC floors. The long-term exposure to service loading had minimal effect (within 10%) on resistance, stiffness, and natural frequency of TCC floors, except for the TCC using CLT, which showed the highest creep deflection and stiffness reduction among the tested configurations. © 2024 American Society of Civil Engineers.</v>
      </c>
      <c r="D62" s="21">
        <v>4</v>
      </c>
      <c r="E62" s="21">
        <v>2</v>
      </c>
      <c r="F62" s="21">
        <v>5</v>
      </c>
      <c r="G62" s="21">
        <v>1</v>
      </c>
      <c r="H62" s="21" t="s">
        <v>3189</v>
      </c>
      <c r="I62" s="21" t="s">
        <v>3190</v>
      </c>
      <c r="J62" s="21">
        <v>1</v>
      </c>
      <c r="K62" s="20"/>
      <c r="L62" s="21"/>
      <c r="M62" s="21"/>
      <c r="N62" s="21">
        <f t="shared" si="0"/>
        <v>12</v>
      </c>
    </row>
    <row r="63" spans="1:14" ht="208">
      <c r="A63" s="24"/>
      <c r="B63" s="20" t="str">
        <f>scopus[[#This Row],[Title]]</f>
        <v>Modal Feature Identification of Point-Supported Mass Timber Slabs</v>
      </c>
      <c r="C63" s="102" t="str">
        <f>scopus[[#This Row],[Abstract]]</f>
        <v>Point-supported flat slabs are structural floors commonly used in buildings to withstand vertical loads and distribute them directly to columns without the use of beams. Mass timber floor panels have been recently presented as an alternative to concrete slabs. However, point-supported floors typically behave as two-way slabs and are most often constructed using reinforced or post-tensioned concrete, and there is little data available on point-supported mass timber floor slabs and their two-way behavior. This paper develops insights into the dynamic behavior of point-supported mass timber panels through an experimental evaluation of 12 specimens, including three 5-ply cross-laminated timber (CLT) panels, three 7-ply CLT panels, three 5-ply mass ply panels (MPPs), and three 6-ply MPPs. The panels were supported on six (6) columns, with a column grid of 2 × 4.88 m by 3.05 m and 2 × 4.88 m by 3.66 m for the CLT and MPP specimens, respectively. The experiments tested and measured human-induced vibrations based on heel drops and walking in a line at different footfall rates per minute. Vibrations were measured using 13 uniaxial accelerometers oriented in the vertical direction. This paper presents the application of conventional output-only methods, such as Enhanced Frequency Domain Decomposition (EFDD) and Stochastic Subspace Identification (SSI), for modal analysis of point-supported mass timber slabs. The results provide insights into the dynamic behavior of point-supported CLT and MPP slabs, providing data for developing advanced finite element models and confidence in human-induced floor vibration designs. © The Author(s), under exclusive license to Springer Nature Switzerland AG 2025.</v>
      </c>
      <c r="D63" s="21">
        <v>3</v>
      </c>
      <c r="E63" s="21">
        <v>5</v>
      </c>
      <c r="F63" s="21">
        <v>1</v>
      </c>
      <c r="G63" s="21">
        <v>1</v>
      </c>
      <c r="H63" s="21" t="s">
        <v>3189</v>
      </c>
      <c r="I63" s="21" t="s">
        <v>3190</v>
      </c>
      <c r="J63" s="21">
        <v>1</v>
      </c>
      <c r="K63" s="20"/>
      <c r="L63" s="21"/>
      <c r="M63" s="21"/>
      <c r="N63" s="21">
        <f t="shared" si="0"/>
        <v>10</v>
      </c>
    </row>
    <row r="64" spans="1:14" ht="182">
      <c r="A64" s="24"/>
      <c r="B64" s="20" t="str">
        <f>scopus[[#This Row],[Title]]</f>
        <v>Design Analysis of Mass Timber and Volumetric Modular Strategies as Counterproposals for an Existing Reinforced Concrete Hotel</v>
      </c>
      <c r="C64" s="102" t="str">
        <f>scopus[[#This Row],[Abstract]]</f>
        <v>Construction professionals work in silos and use traditional design and construction methods. The growing demand for rapidly built and high-quality construction is making off-site manufacturing mainstream. Studies have shown that collaboration among all stakeholders is a necessary component for success in the construction of such buildings. This multidisciplinary study of an existing concrete hotel aims to explore an alternative structural design in mass timber or volumetric modular construction. To this end, the reinforced concrete floor plan of Club Med de Charlevoix in Quebec, Canada, was used as a benchmark for two different structural systems. The first strategy investigated CLT (cross-laminated timber) and glulam columns to replicate the reinforced concrete system (column–slab), while the second involved maximum prefabrication (volumetric modular construction). Both mass timber and volumetric modular strategies can lead to a smaller carbon footprint. The main conclusion is that the plan should be designed from the outset to be either traditional or prefabricated since major changes are required if the choice is made to switch from one system to the other. Moreover, when structural systems maximize off-site construction, such as volumetric modular construction, the various professions need to be included during early planning. This is necessary to avoid task duplication and prevent the neglect of considerations such as manufacturable dimensions and partition organization. © 2024 by the authors.</v>
      </c>
      <c r="D64" s="21">
        <v>3</v>
      </c>
      <c r="E64" s="21">
        <v>4</v>
      </c>
      <c r="F64" s="21">
        <v>0</v>
      </c>
      <c r="G64" s="21">
        <v>3</v>
      </c>
      <c r="H64" s="21" t="s">
        <v>3189</v>
      </c>
      <c r="I64" s="21" t="s">
        <v>3190</v>
      </c>
      <c r="J64" s="21">
        <v>1</v>
      </c>
      <c r="K64" s="20"/>
      <c r="L64" s="21"/>
      <c r="M64" s="21"/>
      <c r="N64" s="21">
        <f t="shared" si="0"/>
        <v>10</v>
      </c>
    </row>
    <row r="65" spans="1:14" ht="169">
      <c r="A65" s="24"/>
      <c r="B65" s="20" t="str">
        <f>scopus[[#This Row],[Title]]</f>
        <v>DESIGN AND CRADLE-TO-GRAVE LIFE-CYCLE ASSESSMENT: FULL-SCALE SIX-STORY SHAKE-TABLE TEST BUILDING LATERAL SYSTEMS</v>
      </c>
      <c r="C65" s="102" t="str">
        <f>scopus[[#This Row],[Abstract]]</f>
        <v>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v>
      </c>
      <c r="D65" s="21">
        <v>4</v>
      </c>
      <c r="E65" s="21">
        <v>5</v>
      </c>
      <c r="F65" s="21">
        <v>5</v>
      </c>
      <c r="G65" s="21">
        <v>3</v>
      </c>
      <c r="H65" s="21" t="s">
        <v>3189</v>
      </c>
      <c r="I65" s="21" t="s">
        <v>3190</v>
      </c>
      <c r="J65" s="21">
        <v>0</v>
      </c>
      <c r="K65" s="20"/>
      <c r="L65" s="21"/>
      <c r="M65" s="21"/>
      <c r="N65" s="21">
        <f t="shared" si="0"/>
        <v>0</v>
      </c>
    </row>
    <row r="66" spans="1:14" ht="234">
      <c r="A66" s="24"/>
      <c r="B66" s="20" t="str">
        <f>scopus[[#This Row],[Title]]</f>
        <v>VIBRATION PERFORMANCE OF A BEAMLESS CROSS LAMINATED TIMBER-CONCRETE COMPOSITE SLAB BAND FLOOR SYSTEM FOR 10-STOREY LIMBERLOST PLACE</v>
      </c>
      <c r="C66" s="102" t="str">
        <f>scopus[[#This Row],[Abstract]]</f>
        <v>Solid cross-laminated timber (CLT) panels are not suitable for long-span floors due to their relatively low density and bending stiffness, which can lead to issues with deflection and vibration. Timber-concrete composite (TCC) floor systems offer enhanced strength and stiffness, improving overall serviceability. Fast + Epp developed an innovative large-span beamless structural system comprising CLT-concrete composite slab bands with perpendicular CLT infill panels. There different shear connectors were explored for composite slab bands and tested in full-scale at the University of Northern British Columbia Wood Innovation Lab. This study examines the vibrational properties of the proposed beamless floor system through both laboratory and field tests. Dynamic characteristics were assessed using experimental modal tests and ambient vibration tests, while subjective evaluations and acceleration responses due to human walking were collected. The results indicate that the different shear connectors have minimal impact on the natural frequencies of the slab bands. Although standalone slab bands exhibited unacceptable vibration performance in laboratory tests, field tests on the fully constructed composite floor system in the Limberlost Place building confirmed its acceptable performance. It was observed that the bending stiffness derived from static bending tests and the gamma method underestimated the fundamental natural frequency by 20%. Numerical models for both the standalone slab band beam and the full-scale floor system were developed and validated with tests, proving to be effective in predicting their natural frequencies with an error of less than 5%. The findings from this study will provide practical insights and guidance for the vibration design of such timber-concrete composite slab band floor system. © (2025) WORLD CONFERENCE ON TIMBER ENGINEERING 2025 (WCTE 2025) All rights reserved.</v>
      </c>
      <c r="D66" s="21">
        <v>5</v>
      </c>
      <c r="E66" s="21">
        <v>4</v>
      </c>
      <c r="F66" s="21">
        <v>5</v>
      </c>
      <c r="G66" s="21">
        <v>2</v>
      </c>
      <c r="H66" s="21" t="s">
        <v>3189</v>
      </c>
      <c r="I66" s="21" t="s">
        <v>3190</v>
      </c>
      <c r="J66" s="21">
        <v>0</v>
      </c>
      <c r="K66" s="20"/>
      <c r="L66" s="21"/>
      <c r="M66" s="21"/>
      <c r="N66" s="21">
        <f t="shared" ref="N66:N129" si="1">SUM(D66:G66)*J66</f>
        <v>0</v>
      </c>
    </row>
    <row r="67" spans="1:14" ht="169">
      <c r="A67" s="24"/>
      <c r="B67" s="20" t="str">
        <f>scopus[[#This Row],[Title]]</f>
        <v>Structural behaviour of steel-timber versus steel-concrete composite joints with flush end plate</v>
      </c>
      <c r="C67" s="102" t="str">
        <f>scopus[[#This Row],[Abstract]]</f>
        <v>An innovative structural floor comprising of steel frames and cross-laminated timber slabs (i.e. steel-timber composite) has been introduced recently as a sustainable alternative to conventional composite floors with reinforced concrete slabs. To assess the structural performance of the steel-timber and compare it to steel-concrete composite and bare steel, push-down tests were performed on geometrically identical full-scale cruciform subassemblies with flush end plate connections. The width of slab and type of connections between the CLT slabs and the size of bolts connecting the flush end plate to the column were the variables in the testing program. The size of bolts and width of CLT slabs had minor (or no) influence on the hogging bending moment resistance. However, increasing the bolt size and CLT slab width increased the stiffness of the STC beam-to-column connections. Furthermore, the CLT-to-CLT connection type had significant influence on the stiffness and flexural capacity of the STC subassemblies under hogging bending moment. The results of the laboratory tests showed that the rotational stiffness and hogging flexural resistance of the semi-rigid STC joints with flush end plates are comparable to those of SCC joints. The ductility of the STC joints with a flush end plate is also comparable to identical SCC joints, providing that tensile failure in timber slabs can be avoided. © 2020 Elsevier Ltd</v>
      </c>
      <c r="D67" s="21">
        <v>4</v>
      </c>
      <c r="E67" s="21">
        <v>5</v>
      </c>
      <c r="F67" s="21">
        <v>1</v>
      </c>
      <c r="G67" s="21">
        <v>5</v>
      </c>
      <c r="H67" s="21" t="s">
        <v>3189</v>
      </c>
      <c r="I67" s="21" t="s">
        <v>3190</v>
      </c>
      <c r="J67" s="21">
        <v>0</v>
      </c>
      <c r="K67" s="20"/>
      <c r="L67" s="21"/>
      <c r="M67" s="21"/>
      <c r="N67" s="21">
        <f t="shared" si="1"/>
        <v>0</v>
      </c>
    </row>
    <row r="68" spans="1:14" ht="130">
      <c r="A68" s="24"/>
      <c r="B68" s="20" t="str">
        <f>scopus[[#This Row],[Title]]</f>
        <v>FLEXURAL BEHAVIOR OF STEEL-TIMBER-CONCRETE COMPOSITE SLAB EXPOSED TO TWO HOURS UNDER STANDARD FIRE</v>
      </c>
      <c r="C68" s="102" t="str">
        <f>scopus[[#This Row],[Abstract]]</f>
        <v>Cross Laminated Timber(CLT) is an eco-friendly building material that contributes to carbon neutrality by storing carbon dioxide, and it has been increasingly used in the construction of high-rise timber structures in countries such as the United States, Australia, and Canada. In Korea, during high-rise construction, deck plates are typically lifted to the upper floors using cranes and then positioned manually. Due to this process, the application of Steel-Timber-Concrete(STC) slabs composed of six layers of CLT faces limitations in Korea. Therefore, this study aims to experimentally and analytically evaluate the thermal behavior and fire-induced flexural performance of the proposed STC slab to assess its applicability to high-rise timber structures. As a result, the Steel-Timber-Concrete Joist Z section(STCJZ) slab with concrete joists demonstrated excellent fire resistance even after two hours of exposure to standard fire, suggesting its potential applicability in high-rise timber structures. © (2025) WORLD CONFERENCE ON TIMBER ENGINEERING 2025 (WCTE 2025) All rights reserved.</v>
      </c>
      <c r="D68" s="21">
        <v>4</v>
      </c>
      <c r="E68" s="21">
        <v>5</v>
      </c>
      <c r="F68" s="21">
        <v>1</v>
      </c>
      <c r="G68" s="21">
        <v>5</v>
      </c>
      <c r="H68" s="21" t="s">
        <v>3192</v>
      </c>
      <c r="I68" s="21" t="s">
        <v>3192</v>
      </c>
      <c r="J68" s="21">
        <v>0</v>
      </c>
      <c r="K68" s="20"/>
      <c r="L68" s="21"/>
      <c r="M68" s="21"/>
      <c r="N68" s="21">
        <f t="shared" si="1"/>
        <v>0</v>
      </c>
    </row>
    <row r="69" spans="1:14" ht="299">
      <c r="A69" s="24"/>
      <c r="B69" s="20" t="str">
        <f>scopus[[#This Row],[Title]]</f>
        <v>Experimental investigation of plain CLT and CLT-concrete composite slabs subject to punching shear</v>
      </c>
      <c r="C69" s="102" t="str">
        <f>scopus[[#This Row],[Abstract]]</f>
        <v>To date, cross laminated timber (CLT) slabs have been gaining widespread adoption in the construction industry. In many cases, the significant capabilities of CLT slabs have been further enhanced with the use of concrete overlays acting compositely with the CLT section. In real applications, both CLT and CLT-concrete composite (CLTCC) slabs can be subject to concentrated load which may initiate punching shear behaviour. Whilst research into the flexural behaviour of CLT and CLTCC slabs is well evolved, by comparison much fewer investigations have been conducted on punching shear of CLT and no readily available studies exist for CLTCC. The present work aims to address this research gap by undertaking an experimental investigation of both CLT and CLTCC slabs subject to punching shear. A total of twelve 2-way simply supported slabs were tested to failure, including both plain CLT and CLTCC slabs with varying concrete-to-timber depth ratios (CTDR). For the CLTCC slabs, vertical coach screws were used to connect the CLT and concrete layers. The main aims were to evaluate the structural performance of CLTCC as a composite floor system, focusing on the punching shear behaviour, the role of CTDR, and the underlying failure mechanisms. In all cases, punching shear failure was observed, however all specimens involved a degree of ductility pointing towards their practical suitability. The CLTCC slabs with a CTDR of 60 % exhibited the highest punching shear resistance with a peak load 50 % higher than the corresponding plain CLT panels and a comparatively larger initial stiffness. Similarly, the tests revealed the chosen method of shear connection to be both effective and practical. The failure mechanisms were evaluated by classifying the structural behaviour into different stages. It was found that rolling shear failure in the CLT laminae controlled the end of elastic behaviour while further insights into the failure process were revealed by the post-test sectional cuts. Lastly, a simplified calculation method was proposed to provide a conservative estimate of the punching shear capacity of CLTCC slabs which may be suitable for design purposes after further numerical investigation to account for changes in geometry and boundary conditions reflective of real-life scenarios. The method provided a consistent lower bound prediction of load capacity, within the range of ∼70–85 % of the corresponding experimental value across the test series presented in this study. © 2025 The Authors</v>
      </c>
      <c r="D69" s="21">
        <v>4</v>
      </c>
      <c r="E69" s="21">
        <v>5</v>
      </c>
      <c r="F69" s="21">
        <v>1</v>
      </c>
      <c r="G69" s="21">
        <v>5</v>
      </c>
      <c r="H69" s="21" t="s">
        <v>3189</v>
      </c>
      <c r="I69" s="21" t="s">
        <v>3190</v>
      </c>
      <c r="J69" s="21">
        <v>0</v>
      </c>
      <c r="K69" s="20"/>
      <c r="L69" s="21"/>
      <c r="M69" s="21"/>
      <c r="N69" s="21">
        <f t="shared" si="1"/>
        <v>0</v>
      </c>
    </row>
    <row r="70" spans="1:14" ht="234">
      <c r="A70" s="24"/>
      <c r="B70" s="20" t="str">
        <f>scopus[[#This Row],[Title]]</f>
        <v>Stiffness prediction of Mass Timber Panel-Concrete (MTPC) composite connection with inclined screws and a gap</v>
      </c>
      <c r="C70" s="102" t="str">
        <f>scopus[[#This Row],[Abstract]]</f>
        <v>An increasingly popular wood composite floor system consists of a Mass Timber Panel (MTP) connected to a concrete slab or topping with mechanical connectors such as Self-Tapping Screw (STS) with a sound insulation layer in between the MTP and concrete. Allowable floor span for this type of MTP-concrete composite system is often governed by serviceability performance requirements, such as deflection and vibration, which are directly dependent on the stiffness of the interlayer connection. Often tests are performed to characterize connection stiffness required for structural design. In lieu of testing, analytical models can be developed to calculate connection stiffness based on component properties. To that end, two analytical models were developed for solid and layered timber, for directly predicting the stiffness of a connection with inclined screws and an insulation layer. Usually, stiffness of laterally loaded connection is controlled by the dowel bearing effect of the fastener in timber, but inclined screw connection has a more complex behaviour due to the combined bearing and withdrawal action of the screw. In the developed models, both the bearing and withdrawal actions of the screw are considered along with the bending stiffness of the screw by applying a theoretically derived correction factor for the embedment stiffness modulus based on the beam on elastic foundation and friction between the concrete and MTP. Both models were experimentally validated with a wide range of material properties. It was found that the models are capable of predicting the stiffness of the MTP-concrete connection to within 18% of the experimental value. It was also noted that the model for solid timber panel is simpler in form and can be adopted for layered timber panel such as CLT with a small difference in solutions. Friction was found to be notable when there was no insulation gap in between timber and concrete. © 2020 Elsevier Ltd</v>
      </c>
      <c r="D70" s="21">
        <v>4</v>
      </c>
      <c r="E70" s="21">
        <v>5</v>
      </c>
      <c r="F70" s="21">
        <v>1</v>
      </c>
      <c r="G70" s="21">
        <v>5</v>
      </c>
      <c r="H70" s="21" t="s">
        <v>3189</v>
      </c>
      <c r="I70" s="21" t="s">
        <v>3190</v>
      </c>
      <c r="J70" s="21">
        <v>0</v>
      </c>
      <c r="K70" s="20" t="s">
        <v>3193</v>
      </c>
      <c r="L70" s="21"/>
      <c r="M70" s="21"/>
      <c r="N70" s="21">
        <f t="shared" si="1"/>
        <v>0</v>
      </c>
    </row>
    <row r="71" spans="1:14" ht="247">
      <c r="A71" s="24"/>
      <c r="B71" s="20" t="str">
        <f>scopus[[#This Row],[Title]]</f>
        <v>HYBRID MODELING APPROACH FOR TIME-DEPENDENT BEHAVIOR OF TIMBER-CONCRETE-COMPOSITE STRUCTURES</v>
      </c>
      <c r="C71" s="102" t="str">
        <f>scopus[[#This Row],[Abstract]]</f>
        <v>Timber-Concrete-Composites (TCC) are a perfect symbiosis of two entirely different building materials, as the most favorable properties of both components are utilized. This ensures an efficient use of the natural resources. As regards the long-term creep behavior however, only a rough estimation can be done based on the current versions of the design standards (EN 1992-1-1 and EN 1995-1-1). The focus of this work is on combining existing models for the individual time-dependent behavior of concrete and timber with common structural analysis methods to investigate composite structures, similar to Binder et al. (Buildings, 2022). The hybrid model is applied to a simply supported TCC slab consisting of a cross-laminated timber (CLT) plate and a connected concrete layer on top. For comparison, two other floor constructions, namely a CLT slab and an in-situ concrete slab, are investigated as well, considering the same time-dependent material behavior. All three slab types fulfill the design requirements for long-term deformations and for stress limitation to avoid non-linear creep. The time-dependent deflections of the slab types over 50 years are modelled and compared with the design according to the standards. This comparison shows that the hybrid approach for TCC and CLT floor constructions yields smaller deflections than the calculation according to the design standards. Modelling results of the in-situ concrete slab were quite similar to the results of the design according to EN 1992-1-1. Comparing the modelled deflections of the TCC slab with the other two shows that the deflection of the composite slab changes the most over 50 years. At the beginning the behavior of the TCC is closer to the concrete slab but develops more towards the CLT slab at the end of the investigated 50-years period. Herein, also the load redistribution within the cross-sections is shown based on the hybrid model and the axial stresses of the individual parts of the cross-sections. © Fédération Internationale du Béton – International Federation for Structural Concrete.</v>
      </c>
      <c r="D71" s="21">
        <v>4</v>
      </c>
      <c r="E71" s="21">
        <v>5</v>
      </c>
      <c r="F71" s="21">
        <v>2</v>
      </c>
      <c r="G71" s="21">
        <v>4</v>
      </c>
      <c r="H71" s="21" t="s">
        <v>3185</v>
      </c>
      <c r="I71" s="21" t="s">
        <v>3190</v>
      </c>
      <c r="J71" s="21">
        <v>0</v>
      </c>
      <c r="K71" s="20"/>
      <c r="L71" s="21"/>
      <c r="M71" s="21"/>
      <c r="N71" s="21">
        <f t="shared" si="1"/>
        <v>0</v>
      </c>
    </row>
    <row r="72" spans="1:14" ht="195">
      <c r="A72" s="24"/>
      <c r="B72" s="20" t="str">
        <f>scopus[[#This Row],[Title]]</f>
        <v>FIRE RESISTANCE TESTING OF CLT-CONCRETE COMPOSITE FLOOR SLABS UTILIZING GLUED-IN STEEL PLATES AS SHEAR CONNECTORS</v>
      </c>
      <c r="C72" s="102" t="str">
        <f>scopus[[#This Row],[Abstract]]</f>
        <v>Timber-concrete composite (TCC) sections have shown desirable mechanical characteristics for use in the structural design of mass timber buildings at both ambient and elevated temperatures. TCC sections have advantages over conventional steel-reinforced concrete elements or timber elements on their own. While some recent performance-based design guidelines have been developed to aid in the design of TCC sections, they primarily rely on experimental data from specific TCC arrangements with certain types of shear connectors (e.g., steel plates, metal screws, etc.). The study presented in this paper involves experimental testing of two full-size CLT-concrete composite one-way floor slabs that were exposed to elevated temperatures of the CAN/ULC-S101 standard fire time-temperature curve, while being subjected to four-point flexure bending that is equivalent to the moment developed by a uniformly distributed 4.8 kPa service load. Each TCC slab assembly had a clear, simply supported span of 5000 mm and a width of 900 mm. The CLT panel composition (5 plys) and thickness (143 mm) were chosen to investigate how its one-hour fire resistance under the applied service loads could be increased to two hours by developing the composite action with the added concrete layer (90 mm thick) that otherwise would impose |dead load on the CLT panel without contributing to the overall strength of the floor system. Shear connectors utilized in these two TCC floor assemblies were perforated steel plates installed in prepared longitudinal slots using epoxy. © (2023) WORLD CONFERENCE ON TIMBER ENGINEERING 2023 (WCTE 2023) All rights reserved.</v>
      </c>
      <c r="D72" s="21">
        <v>4</v>
      </c>
      <c r="E72" s="21">
        <v>4</v>
      </c>
      <c r="F72" s="21">
        <v>2</v>
      </c>
      <c r="G72" s="21">
        <v>5</v>
      </c>
      <c r="H72" s="21" t="s">
        <v>3189</v>
      </c>
      <c r="I72" s="21" t="s">
        <v>3186</v>
      </c>
      <c r="J72" s="21">
        <v>0</v>
      </c>
      <c r="K72" s="20" t="s">
        <v>3194</v>
      </c>
      <c r="L72" s="21"/>
      <c r="M72" s="21"/>
      <c r="N72" s="21">
        <f t="shared" si="1"/>
        <v>0</v>
      </c>
    </row>
    <row r="73" spans="1:14" ht="221">
      <c r="A73" s="24"/>
      <c r="B73" s="20" t="str">
        <f>scopus[[#This Row],[Title]]</f>
        <v>EARTHQUAKE RESPONSE ANALYSES OF A TALL BUILDING CONSIDERING IN-PLANE FLOOR STIFFNESS</v>
      </c>
      <c r="C73" s="102" t="str">
        <f>scopus[[#This Row],[Abstract]]</f>
        <v>In the design of a tall building structure, it is generally assumed that the stiffness of the in-plane floor structure is rigid. This is because the floor structure is generally reinforced concrete, and thus, in-plane stiffness of the floor structure is large enough for assuming it as a rigid floor. On the other hand, recently, there have been constructed some buildings with relatively flexible floor panels as a Cross Laminated Timber (CLT) in Japan. In the case that some frames with different horizontal stiffnesses are connected by flexible floor panels, the frames behave differently against earthquake ground motions. It is necessary to grasp the effect of the floor panel’s flexibility in such a case. Of course, there are many studies which examined the seismic responses of the structures considering in-plane flexibilities of floor panels. However, there is almost no research which treated general response tendencies systematically. In this paper, the authors examine the earthquake response characteristics of a tall building with flexible in-plane floor panels by parametric response analyses. Here, the target models are the structures which are composed of flexible frames connected by floor panels with rigid frames, And response characteristics are examined systematically, by conducting earthquake response analyses using 2-DOF models and multi-DOF models. The results of the analyses show the effect of floor flexibility to earthquake response behaviors, and the rigidity which gives the same responses of the flexible frames and the rigid frames. It is confirmed that the timber floor panel with the depth of 210mm behaves almost as same as rigid floor structure. And it is also discussed about the response behaviors affected by the in-plane floor flexibilities by adding dampers. © 2021, International Association for Earthquake Engineering. All rights reserved.</v>
      </c>
      <c r="D73" s="21">
        <v>4</v>
      </c>
      <c r="E73" s="21">
        <v>5</v>
      </c>
      <c r="F73" s="21">
        <v>2</v>
      </c>
      <c r="G73" s="21">
        <v>4</v>
      </c>
      <c r="H73" s="21" t="s">
        <v>3189</v>
      </c>
      <c r="I73" s="21" t="s">
        <v>3192</v>
      </c>
      <c r="J73" s="21">
        <v>0</v>
      </c>
      <c r="K73" s="20"/>
      <c r="L73" s="21"/>
      <c r="M73" s="21"/>
      <c r="N73" s="21">
        <f t="shared" si="1"/>
        <v>0</v>
      </c>
    </row>
    <row r="74" spans="1:14" ht="169">
      <c r="A74" s="24"/>
      <c r="B74" s="20" t="str">
        <f>scopus[[#This Row],[Title]]</f>
        <v>Comparative analysis of the feasibility of hollowcore mass timber panels for long span floor systems</v>
      </c>
      <c r="C74" s="102" t="str">
        <f>scopus[[#This Row],[Abstract]]</f>
        <v>Mass timber products have allowed the adoption of wood building products in structures typically reserved for concrete and steel. However, in larger, open floor plan buildings adoption of wood products have been hindered by vibration concerns limiting the attainable floor spans. A composite hollowcore mass timber (HMT) panel offers a potential solution. A comparative analysis is performed between an HMT panel floor system and a conventional beam and purlin floor system, designed to span an 11m column grid, to assess the feasibility of the HMT panels as an industry viable long span floor system. A numerical model, validated against existing CLT-glulam T-beam experimental data, and two code adopted analytical methods was used to determine the effective bending stiffness of the HMT panel. Analysis showed that a 514mm deep HMT panel was able to achieve a vibration-controlled span of 11.1m. The HMT panel was 275mm shallower than the other system resulting in more space to run services and reducing the amount of “beam shadowing”. However, the volume of wood required was 18% more, which should also be considered in costing. Overall, the HMT panel showed it had tremendous potential as an industry viable long span floor system able to efficiently achieve spans beyond those of current mass timber slab products. © WCTE 2021. All rights reserved.</v>
      </c>
      <c r="D74" s="21">
        <v>3</v>
      </c>
      <c r="E74" s="21">
        <v>5</v>
      </c>
      <c r="F74" s="21">
        <v>2</v>
      </c>
      <c r="G74" s="21">
        <v>5</v>
      </c>
      <c r="H74" s="21" t="s">
        <v>3189</v>
      </c>
      <c r="I74" s="21" t="s">
        <v>3190</v>
      </c>
      <c r="J74" s="21">
        <v>0</v>
      </c>
      <c r="K74" s="20"/>
      <c r="L74" s="21"/>
      <c r="M74" s="21"/>
      <c r="N74" s="21">
        <f t="shared" si="1"/>
        <v>0</v>
      </c>
    </row>
    <row r="75" spans="1:14" ht="273">
      <c r="A75" s="24"/>
      <c r="B75" s="20" t="str">
        <f>scopus[[#This Row],[Title]]</f>
        <v>FIRE RESISTANCE TESTING OF CLT-CONCRETE COMPOSITE FLOOR SLABS WITH STRIP NOTCH SHEAR CONNECTIONS</v>
      </c>
      <c r="C75" s="102" t="str">
        <f>scopus[[#This Row],[Abstract]]</f>
        <v>The latest edition of the National Building Code of Canada (NBCC 2020) permits wood products to be used as the primary material in constructing up to twelve-story buildings. This results in an enduring increase in the application of mass timber sections, such as glued-laminated timber (glulam) and cross-laminated timber (CLT). Timber floors in such tall mass timber buildings can be even more robust and span longer by adding a top concrete layer to allow the formation of timber-concrete composite (TCC) floor systems when adequate shear connectors are utilized. In TCC systems, notch connections can allow a gap between the timber and the concrete top layer to have a better floor system in terms of cost saving and acoustic characteristics. This paper presents the experimental results of two full-size TCC floor slabs that have been examined under service load and standard fire exposure. Each test assembly had a 5300 mm total length with a 5000 mm clear span and 900 mm width. The composite sections were formed of a 5-ply CLT panel of 143 mm thickness and a 65-mm thick concrete layer on a 25-mm thick insulation layer. In those two fire tests, the performance of CLT-concrete composite slabs was achieved due to the nearly full composite action between the CLT panel and the concrete top layer, resulting from the utilization of 150-mm wide rectangular strip notch shear connections. Test results show that the failure of the composite slabs under standard fire exposure depends mainly on the reduction of the CLT section due to charring. However, due to the activation of the composite action, both composite floor slabs sustained the applied service loads for the 90 min duration of standard fire exposure. However, a whole-wide strip notch connection needs to be designed carefully to achieve acceptable fire resistance based on available design equations. In addition, having a whole-wide notch connection would influence the initial deflections of the supporting CLT panels while poured concrete is still wet if no shoring is provided in the middle of the slabs. Thus, to avoid excessive initial mid-span deflections and to meet the design serviceability requirements, intermediate support needs to be provided until concrete is hardened. © (2023) WORLD CONFERENCE ON TIMBER ENGINEERING 2023 (WCTE 2023) All rights reserved.</v>
      </c>
      <c r="D75" s="21">
        <v>5</v>
      </c>
      <c r="E75" s="21">
        <v>5</v>
      </c>
      <c r="F75" s="21">
        <v>1</v>
      </c>
      <c r="G75" s="21">
        <v>3</v>
      </c>
      <c r="H75" s="21" t="s">
        <v>3192</v>
      </c>
      <c r="I75" s="21" t="s">
        <v>3192</v>
      </c>
      <c r="J75" s="21">
        <v>0</v>
      </c>
      <c r="K75" s="20"/>
      <c r="L75" s="21"/>
      <c r="M75" s="21"/>
      <c r="N75" s="21">
        <f t="shared" si="1"/>
        <v>0</v>
      </c>
    </row>
    <row r="76" spans="1:14" ht="208">
      <c r="A76" s="24"/>
      <c r="B76" s="20" t="str">
        <f>scopus[[#This Row],[Title]]</f>
        <v>Flexural behaviour and connection efficiency of cross-laminated timber–glulam composite floor systems</v>
      </c>
      <c r="C76" s="102" t="str">
        <f>scopus[[#This Row],[Abstract]]</f>
        <v>Driven by the growing demand for sustainable and high-performance construction, mass timber products are increasingly recognised for their potential in modern structural engineering. Recently, cross-laminated timber (CLT)–glulam composites are emerging as a promising solution for efficient and environmentally friendly long-span floor systems. However, the structural behaviour of CLT-glulam composites–particularly the performance of their shear connections[sbnd]remains insufficiently understood, often resulting in overly conservative designs. This study presents a comprehensive experimental investigation into the flexural behaviour of CLT–glulam composite floor assemblies through full-scale four-point bending tests. A range of connection systems were examined, including inclined and vertical self-tapping screws, perforated steel plates, and adhesive connections–representing both mechanical and hybrid connection systems. Detailed analyses of failure modes, load-deflection, and load-slip were conducted, alongside evaluations of strain distribution and composite efficiency. The results show that all assemblies exhibited brittle failure, characterised by a combination of tensile rupture, shear failure along the lamina, and delamination. The adhesive connections achieved full composite actions, though with sudden failure without prior sign. Assembly with 45° inclined self-tapping screws exhibited the highest load-bearing capacity and the second-highest stiffness. The addition of perforated steel plates or a concrete topping had limited influence on load capacity under bending but significantly enhanced initial stiffness. Notably, shear lag effects were observed across all specimens, indicating the need for further quantitative investigation. © 2025 Institution of Structural Engineers</v>
      </c>
      <c r="D76" s="21">
        <v>4</v>
      </c>
      <c r="E76" s="21">
        <v>5</v>
      </c>
      <c r="F76" s="21">
        <v>1</v>
      </c>
      <c r="G76" s="21">
        <v>4</v>
      </c>
      <c r="H76" s="21" t="s">
        <v>3189</v>
      </c>
      <c r="I76" s="21" t="s">
        <v>3190</v>
      </c>
      <c r="J76" s="21">
        <v>0</v>
      </c>
      <c r="K76" s="20"/>
      <c r="L76" s="21"/>
      <c r="M76" s="21"/>
      <c r="N76" s="21">
        <f t="shared" si="1"/>
        <v>0</v>
      </c>
    </row>
    <row r="77" spans="1:14" ht="104">
      <c r="A77" s="24"/>
      <c r="B77" s="20" t="str">
        <f>scopus[[#This Row],[Title]]</f>
        <v>Large-scale building unit construction with carbon-neutral and robotics technologies, Kajima Technical Center</v>
      </c>
      <c r="C77" s="102" t="str">
        <f>scopus[[#This Row],[Abstract]]</f>
        <v>With the goal of achieving robotic construction, automated construction, and on-site safety improvement at future construction sites, Kajima Technical Center constructed by “Flying Box Construction® “is presented. The construction method is a unitized construction with carbon-neutral and robotic construction technologies. Each unit comprises a precast concrete slab with post-tensions, CLT panel walls, and CLT ceilings. Also, CLT shear walls are incorporated to provide sufficient seismic performances for the building. On the other hand, wall panel construction assistant robots and concrete floor construction assistant robots are used for achieving future automated robotic construction. © 2025 IABSE Symposium Tokyo 2025: Environmentally Friendly Technologies and Structures: Focusing on Sustainable Approaches - Report All rights reserved.</v>
      </c>
      <c r="D77" s="21">
        <v>3</v>
      </c>
      <c r="E77" s="21">
        <v>5</v>
      </c>
      <c r="F77" s="21">
        <v>2</v>
      </c>
      <c r="G77" s="21">
        <v>4</v>
      </c>
      <c r="H77" s="21" t="s">
        <v>3189</v>
      </c>
      <c r="I77" s="21" t="s">
        <v>3190</v>
      </c>
      <c r="J77" s="21">
        <v>0</v>
      </c>
      <c r="K77" s="20"/>
      <c r="L77" s="21"/>
      <c r="M77" s="21"/>
      <c r="N77" s="21">
        <f t="shared" si="1"/>
        <v>0</v>
      </c>
    </row>
    <row r="78" spans="1:14" ht="182">
      <c r="A78" s="24"/>
      <c r="B78" s="20" t="str">
        <f>scopus[[#This Row],[Title]]</f>
        <v>Efficiency of floating concrete toppings on mass timber floors for impact sound insulation</v>
      </c>
      <c r="C78" s="102" t="str">
        <f>scopus[[#This Row],[Abstract]]</f>
        <v>Mass timber panels including cross laminated timber (CLT), dowel laminated timber (DLT) and nail laminated timber (NLT) are used increasingly as floor slabs in mass timber buildings and hybrid buildings. The sound insulation performance of bare mass timber structural floors is insufficient due to their lightweight and relatively high bending stiffness. Floating concrete toppings are commonly applied for improved sound insulation performance with an elastic interlayer. The efficiency of floating concrete topping on improving the impact sound insulation performance is investigated experimentally in this study. The results show that with the same elastic layer, thicker concrete toppings result in better impact sound insulation performance with higher apparent impact insulation class (AIIC). However, by increasing the concrete thickness from 38mm to 50mm and to 70mm, the improvement of AIIC between two thicknesses was only within 3 dBA, and a significant improvement was observed with a 100mm-thick concrete topping. In general, elastic interlayers with lower dynamic stiffness values performed better, however, the performance was also product dependent though the apparent dynamic stiffness was measured using the same standard method. Moreover, with the same panel thickness and wood species, bare DLT floor provided higher AIIC (35 dBA) than that of bare CLT (21 dBA), but the same floating concrete floor assemblies had the same performances on both DLT and CLT floors. © WCTE 2021. All rights reserved.</v>
      </c>
      <c r="D78" s="21">
        <v>5</v>
      </c>
      <c r="E78" s="21">
        <v>4</v>
      </c>
      <c r="F78" s="21">
        <v>2</v>
      </c>
      <c r="G78" s="21">
        <v>3</v>
      </c>
      <c r="H78" s="21" t="s">
        <v>3189</v>
      </c>
      <c r="I78" s="21" t="s">
        <v>3190</v>
      </c>
      <c r="J78" s="21">
        <v>0</v>
      </c>
      <c r="K78" s="20"/>
      <c r="L78" s="21"/>
      <c r="M78" s="21"/>
      <c r="N78" s="21">
        <f t="shared" si="1"/>
        <v>0</v>
      </c>
    </row>
    <row r="79" spans="1:14" ht="182">
      <c r="A79" s="24"/>
      <c r="B79" s="20" t="str">
        <f>scopus[[#This Row],[Title]]</f>
        <v>Acoustic emission monitoring of cross-laminated timber-steel composite beams during elastic bending</v>
      </c>
      <c r="C79" s="102" t="str">
        <f>scopus[[#This Row],[Abstract]]</f>
        <v>Reinforcement of cross-laminated timber floors by a composite design with steel girders can provide an innovative and sustainable alternative for highly stressable floor systems made of steel and concrete for spans exceeding 8 m. To make this construction method economical and resource efficient, a significant contribution of the cross-laminated timber panel to the composite stiffness is necessary. One key aspect of the composite design is the formation of the shear-resistant connection between CLT panel and steel girder. The effect of both composites on the bending stiffness of cross laminated timber -steel composite beams was investigated in large-scale 4-point bending tests with span up to 10.6 m. To monitor the damage of the specimen using acoustic emission analysis, a network with 16 AE sensors were attached to the surface of the specimen in an area of largest deflection and highest load. For this purpose, broadband AE sensors with a measurement frequency of up to 200 kHz were used. The ultimate failure of the specimen with a span of 10.6 m occurred at a maximum test load of approximately 210 kN. The largest deflection at this force was about 214 mm. During two tests, which lasted about 50 minutes, 8,537 and 6,628 AE events were detected, respectively. The AE activity increases progressively from 30% of the maximum force until the specimens fail. © 2024 11th European Workshop on Structural Health Monitoring, EWSHM 2024. All rights reserved.</v>
      </c>
      <c r="D79" s="21">
        <v>4</v>
      </c>
      <c r="E79" s="21">
        <v>5</v>
      </c>
      <c r="F79" s="21">
        <v>1</v>
      </c>
      <c r="G79" s="21">
        <v>4</v>
      </c>
      <c r="H79" s="21" t="s">
        <v>3189</v>
      </c>
      <c r="I79" s="21" t="s">
        <v>3190</v>
      </c>
      <c r="J79" s="21">
        <v>0</v>
      </c>
      <c r="K79" s="20"/>
      <c r="L79" s="21"/>
      <c r="M79" s="21"/>
      <c r="N79" s="21">
        <f t="shared" si="1"/>
        <v>0</v>
      </c>
    </row>
    <row r="80" spans="1:14" ht="208">
      <c r="A80" s="24"/>
      <c r="B80" s="20" t="str">
        <f>scopus[[#This Row],[Title]]</f>
        <v>In-Plane Shear Cyclic Performance of Spline Cross-Laminated Timber-Concrete Composite Diaphragms</v>
      </c>
      <c r="C80" s="102" t="str">
        <f>scopus[[#This Row],[Abstract]]</f>
        <v>Over the past decade, cross-laminated timber (CLT) panels have gained popularity worldwide. To achieve larger spans and to increase the resistance to diaphragm seismic and wind forces to be transferred through CLT floor or roof systems, CLT-concrete composite (CCC) floors have been developed as an alternative. While significant testing has been performed under gravity loading, limited experimental data exist on the in-plane performance of CCC systems. This study presents results from an experimental program designed to characterize the in-plane shear behavior of CCC diaphragm connections using different CLT to concrete screw connector orientations in a test setup that simulates the expected seismic load path in diaphragms for platform-type construction. Tested variables include concrete slab thickness, composite screw angle, and single spline connection systems consisting of nails or screws. Experimental results and observed damage progression from cyclic testing are presented and discussed. Results indicate that CCC systems achieved increased stiffness and strength values when compared to bare-CLT systems, but slab thickness did not influence the strength and stiffness of the system for the load paths simulated. Additionally, CCC floor systems with 45° composite screw connectors displayed increased strength but overall similar stiffness values when compared to the CCC systems with 90° composite screws. The results provide useful engineering parameters, such as elastic stiffness, peak load, displacement capacity, and ductility ratios that can be used in the development of codified design parameters or in performance-based designs.  © 2021 American Society of Civil Engineers.</v>
      </c>
      <c r="D80" s="21">
        <v>4</v>
      </c>
      <c r="E80" s="21">
        <v>5</v>
      </c>
      <c r="F80" s="21">
        <v>1</v>
      </c>
      <c r="G80" s="21">
        <v>4</v>
      </c>
      <c r="H80" s="21" t="s">
        <v>3189</v>
      </c>
      <c r="I80" s="21" t="s">
        <v>3190</v>
      </c>
      <c r="J80" s="21">
        <v>0</v>
      </c>
      <c r="K80" s="20"/>
      <c r="L80" s="21"/>
      <c r="M80" s="21"/>
      <c r="N80" s="21">
        <f t="shared" si="1"/>
        <v>0</v>
      </c>
    </row>
    <row r="81" spans="1:14" ht="143">
      <c r="A81" s="24"/>
      <c r="B81" s="20" t="str">
        <f>scopus[[#This Row],[Title]]</f>
        <v>CASE STUDY: SEISMIC AND GRAVITATIONAL DESIGN OF 15-STORY OFFICE AND RESIDENTIAL BUILDING ARCHETYPES WITH A SEMI-RIGID CLT DIAPHRAGM AND REINFORCED CONCRETE SHEAR WALLS IN CHILE</v>
      </c>
      <c r="C81" s="102" t="str">
        <f>scopus[[#This Row],[Abstract]]</f>
        <v>This study is part of the "Ciudad Madera" technological consortium, which seeks to promote widespread wood construction in Chile, whose seismic code provides no guidance for cross-laminated-timber (CLT) seismic diaphragms. Currently, this lack of a design methodology for Hybrid Mass-Timber-Reinforced-Concrete (HMT-RC) buildings, has pushed a tendency for structural designers to solely rely on the concrete topping as the seismic horizontal diaphragm element. This study validates HMT - RC and develops a seismic-design method for buildings up to 15 stories high, with CLT floor system performing as the seismic diaphragm. Twenty monotonic/cyclic connector tests and six full-scale 4 m × 4 m Radiata-pine CLT diaphragm tests will calibrate nonlinear models of office and residential building archetypes, analyzed in a 72-case parametric matrix (height, seismic zone, soil class, design philosophy). Findings show: (i) RC-core and coupling-beam detailing governs drift, (ii) flooring size is controlled by a vibration criterion, and (iii) commercial timber column-to-column splices meet seismic inter-story rotation demands. © (2025) WORLD CONFERENCE ON TIMBER ENGINEERING 2025 (WCTE 2025) All rights reserved.</v>
      </c>
      <c r="D81" s="21">
        <v>4</v>
      </c>
      <c r="E81" s="21">
        <v>5</v>
      </c>
      <c r="F81" s="21">
        <v>1</v>
      </c>
      <c r="G81" s="21">
        <v>4</v>
      </c>
      <c r="H81" s="21" t="s">
        <v>3189</v>
      </c>
      <c r="I81" s="21" t="s">
        <v>3190</v>
      </c>
      <c r="J81" s="21">
        <v>0</v>
      </c>
      <c r="K81" s="20"/>
      <c r="L81" s="21"/>
      <c r="M81" s="21"/>
      <c r="N81" s="21">
        <f t="shared" si="1"/>
        <v>0</v>
      </c>
    </row>
    <row r="82" spans="1:14" ht="130">
      <c r="A82" s="24"/>
      <c r="B82" s="20" t="str">
        <f>scopus[[#This Row],[Title]]</f>
        <v>COMPARATIVE CARBON-FOOTPRINT ANALYSIS OF RESIDENTIAL BUILDINGS WITH DIFFERENT STRUCTURAL MATERIALS</v>
      </c>
      <c r="C82" s="102" t="str">
        <f>scopus[[#This Row],[Abstract]]</f>
        <v>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v>
      </c>
      <c r="D82" s="21">
        <v>4</v>
      </c>
      <c r="E82" s="21">
        <v>5</v>
      </c>
      <c r="F82" s="21">
        <v>2</v>
      </c>
      <c r="G82" s="21">
        <v>3</v>
      </c>
      <c r="H82" s="21" t="s">
        <v>3189</v>
      </c>
      <c r="I82" s="21" t="s">
        <v>3192</v>
      </c>
      <c r="J82" s="21">
        <v>0</v>
      </c>
      <c r="K82" s="20"/>
      <c r="L82" s="21"/>
      <c r="M82" s="21"/>
      <c r="N82" s="21">
        <f t="shared" si="1"/>
        <v>0</v>
      </c>
    </row>
    <row r="83" spans="1:14" ht="182">
      <c r="A83" s="24"/>
      <c r="B83" s="20" t="str">
        <f>scopus[[#This Row],[Title]]</f>
        <v>STRUCTURAL MODELLING OF A NOVEL HYBRID TIMBER FLOOR SYSTEM</v>
      </c>
      <c r="C83" s="102" t="str">
        <f>scopus[[#This Row],[Abstract]]</f>
        <v>To demonstrate the potential for carbon-sequestering mass timber to be used across various building types and scales, DIALOG and EllisDon have developed a Hybrid Timber Floor System (HTFS). This composite system consists of post-tensioned (PT) concrete beams, cross laminated timber (CLT) panels, and concrete topping connected to one another using self-tapping screws (STS) and kerf plates. This paper investigates the structural performance of this novel HTFS through a combination of physical testing and numerical modelling conducted at FPInnovations. The structural performance of STS and kerf plate connections was experimentally evaluated to develop the shear connector parameters for modelling the composite action. Refined and comprehensive three-dimensional (3D) finite element models were developed, calibrated, and verified against the deflection and vibration measurements obtained from non-destructive full-scale HTFS testing. The verified model was then used to investigate the structural demand on the HTFS' basic components (i.e., CLT, steel reinforcement, steel tendons, STS screws, kerf plates, and concrete) under out-of-plane loading. The results from connection testing and floor simulation provide valuable insights into the structural performance of this novel HTFS, supporting its potential for broader application in sustainable construction. © (2025) WORLD CONFERENCE ON TIMBER ENGINEERING 2025 (WCTE 2025) All rights reserved.</v>
      </c>
      <c r="D83" s="21">
        <v>4</v>
      </c>
      <c r="E83" s="21">
        <v>5</v>
      </c>
      <c r="F83" s="21">
        <v>2</v>
      </c>
      <c r="G83" s="21">
        <v>3</v>
      </c>
      <c r="H83" s="21" t="s">
        <v>3189</v>
      </c>
      <c r="I83" s="21" t="s">
        <v>3192</v>
      </c>
      <c r="J83" s="21">
        <v>0</v>
      </c>
      <c r="K83" s="20"/>
      <c r="L83" s="21"/>
      <c r="M83" s="21"/>
      <c r="N83" s="21">
        <f t="shared" si="1"/>
        <v>0</v>
      </c>
    </row>
    <row r="84" spans="1:14" ht="169">
      <c r="A84" s="24"/>
      <c r="B84" s="20" t="str">
        <f>scopus[[#This Row],[Title]]</f>
        <v>Numerical investigation of connection performance of timber-concrete composite slabs with inclined self-tapping screws under high temperature</v>
      </c>
      <c r="C84" s="102" t="str">
        <f>scopus[[#This Row],[Abstract]]</f>
        <v>The timber-concrete composite (TCC) slabs have become a preferred choice of floor systems in modern multi story timber buildings. This TCC slab consisted of timber and a concrete slab which were commonly connected together with inclined self-tapping screws (STSs). To more accurately predict the fire performance of TCC slabs, the mechanical behavior of TCC connections under high temperature was investigated by numerical simulation in this study. The interface slip of TCC connections was simulated by a proposed Finite Element (FE) model at room temperature, and different diameter and penetration length screws were considered. The effectiveness of this FE model was validated by comparing with the existing experimental results. Furthermore, the sequentially coupling thermal stress analyses of this model were conducted, and the relationship between the reduction coefficient of connection performance and the effective penetration length of screws was summarized. This study gave the fitting expressions for the reduction coefficient of slip modulus and joint strength. Finally, the numerical investigations of the fire performance of TCC slabs considering the char fall-off of Cross Laminated Timber (CLT) were performed to verify the effectiveness of the proposed reduction law. Comparing the fire-resistance time with experimental results showed deviation of the proposed model was −14.02%. © 2022, Tech Science Press. All rights reserved.</v>
      </c>
      <c r="D84" s="21">
        <v>4</v>
      </c>
      <c r="E84" s="21">
        <v>5</v>
      </c>
      <c r="F84" s="21">
        <v>3</v>
      </c>
      <c r="G84" s="21">
        <v>2</v>
      </c>
      <c r="H84" s="21" t="s">
        <v>3185</v>
      </c>
      <c r="I84" s="21" t="s">
        <v>3190</v>
      </c>
      <c r="J84" s="21">
        <v>0</v>
      </c>
      <c r="K84" s="20"/>
      <c r="L84" s="21"/>
      <c r="M84" s="21"/>
      <c r="N84" s="21">
        <f t="shared" si="1"/>
        <v>0</v>
      </c>
    </row>
    <row r="85" spans="1:14" ht="208">
      <c r="A85" s="24"/>
      <c r="B85" s="20" t="str">
        <f>scopus[[#This Row],[Title]]</f>
        <v>Finite Element Modelling of CLT-Concrete Composite Sections Utilizing Wood Screws as Shear Connectors</v>
      </c>
      <c r="C85" s="102" t="str">
        <f>scopus[[#This Row],[Abstract]]</f>
        <v>Mass timber buildings such as those made of glued-laminated timber (glulam) framing systems supporting cross-laminated timber (CLT) floor slabs can be designed to successfully achieve the limit state design requirements for both strength and serviceability. Floor systems in such buildings can even be made more robust and span longer distances by adding a top concrete layer to allow the formation of timber-concrete composite (TCC) floor systems when adequate shear connections are utilized. The primary technique for shear connections in TCC systems is a wide variety of metal connectors, with the self-tapping screws being one of the most used shear connectors. The numerical study presented in this paper aimed to investigate the shear characteristics of CLT-concrete composite sections that utilized wood screws as shear connectors. Three-dimensional finite element (FE) models for CLT-concrete composite sections have been developed using the commercial FE programme ABAQUS. The FE models were validated against the experimental results from a prior related study on TCC sections with concrete age of 28 days. Test specimens had 600 mm × 1000 mm shear interface between the CLT panel and concrete layer, and were experimentally examined under direct shear forces until failure. Details of the constitutive laws adopted for simulating timber and concrete in such TCC sections are addressed. The competency of the damage model implemented to capture the bi-axial stress state of wood material is also discussed. The FE models have an acceptable correlation with the experimental results, with the capability of simulating the slip behaviour between the timber panel and concrete layer. © 2024, Canadian Society for Civil Engineering.</v>
      </c>
      <c r="D85" s="21">
        <v>3</v>
      </c>
      <c r="E85" s="21">
        <v>5</v>
      </c>
      <c r="F85" s="21">
        <v>3</v>
      </c>
      <c r="G85" s="21">
        <v>3</v>
      </c>
      <c r="H85" s="21" t="s">
        <v>3189</v>
      </c>
      <c r="I85" s="21" t="s">
        <v>3190</v>
      </c>
      <c r="J85" s="21">
        <v>0</v>
      </c>
      <c r="K85" s="20"/>
      <c r="L85" s="21"/>
      <c r="M85" s="21"/>
      <c r="N85" s="21">
        <f t="shared" si="1"/>
        <v>0</v>
      </c>
    </row>
    <row r="86" spans="1:14" ht="208">
      <c r="A86" s="24"/>
      <c r="B86" s="20" t="str">
        <f>scopus[[#This Row],[Title]]</f>
        <v>Apparent Impact Sound Insulation Performance of Continuous Floating Concrete Toppings on Mass Timber Slab Floors</v>
      </c>
      <c r="C86" s="102" t="str">
        <f>scopus[[#This Row],[Abstract]]</f>
        <v>Mass timber panels including cross-laminated timber (CLT), dowel-laminated timber (DLT), and nail-laminated timber (NLT) are used increasingly as floor slabs in mass timber buildings and hybrid timber buildings. The sound insulation performance of bare mass timber structural floors is insufficient due to their lightweight and relatively high bending stiffness. Floating concrete toppings are commonly applied for improved sound insulation performance with an elastic interlayer. The effect of different elastic interlayers and thickness of concrete toppings on improving the impact sound insulation performance was investigated experimentally according to ASTM standards in this study. The results showed that with the same elastic layer, thicker concrete toppings resulted in better impact sound insulation performance with a higher apparent impact insulation class (AIIC). However, by increasing the concrete thickness from 38 to 50 mm and to 70 mm, the improvement of AIIC between two thicknesses was only within 3, and a significant improvement up to 9 was observed with a 100-mm-Thick concrete topping. In general, elastic interlayers with lower dynamic stiffness values performed better; however, the performance was product dependent though the apparent dynamic stiffness was measured using the same standard method. Moreover, with the same panel thickness and wood species, a bare DLT floor provided higher AIIC (35) than a bare CLT (21), but each mass timber floor with the same interlayer and floating concrete topping had the same impact sound attenuation performance. The ISO empirical prediction equation overestimated the impact sound attenuation of floating concrete toppings on mass timber floors. © 2024 American Society of Civil Engineers.</v>
      </c>
      <c r="D86" s="21">
        <v>3</v>
      </c>
      <c r="E86" s="21">
        <v>5</v>
      </c>
      <c r="F86" s="21">
        <v>4</v>
      </c>
      <c r="G86" s="21">
        <v>2</v>
      </c>
      <c r="H86" s="21" t="s">
        <v>3189</v>
      </c>
      <c r="I86" s="21" t="s">
        <v>3192</v>
      </c>
      <c r="J86" s="21">
        <v>0</v>
      </c>
      <c r="K86" s="20"/>
      <c r="L86" s="21"/>
      <c r="M86" s="21"/>
      <c r="N86" s="21">
        <f t="shared" si="1"/>
        <v>0</v>
      </c>
    </row>
    <row r="87" spans="1:14" ht="195">
      <c r="A87" s="24"/>
      <c r="B87" s="20" t="str">
        <f>scopus[[#This Row],[Title]]</f>
        <v>Experimental and numerical study on shear behavior of a demountable CLT-concrete composite shear connection</v>
      </c>
      <c r="C87" s="102" t="str">
        <f>scopus[[#This Row],[Abstract]]</f>
        <v>Recently, there has been a growing interest in using Cross-Laminated Timber (CLT) in the construction industry, particularly as slabs and walls. This heightened interest is attributed to CLT's favorable mechanical properties, ease of prefabrication, and environmental advantages. Consequently, CLT-Concrete Composite (CCC) floor systems have gained more attention for their application in mid- and high-rise buildings. These CCC systems offer substantial advantages over standalone CLT slabs, including enhanced bending stiffness, increased load-bearing capacity, and improved dynamic performance. However, a notable research gap exists when it comes to the deconstruction of CCC slabs, a crucial aspect for enhancing sustainability and reducing the environmental impacts of these structural elements. This study investigates innovative demountable shear connections designed for a reusable prefabricated CCC floor system. A series of push-out tests were conducted on six different shear connectors to obtain the shear properties of the connection. The demountable shear connections exhibited a load-bearing capacity similar to conventional permanent connections. Moreover, these connections demonstrated a significantly higher stiffness than existing options. One specimen was examined in a reuse scenario test to evaluate its reusability, which revealed a notable increase in stiffness during its second use. A three-dimensional finite element model of the push-out test was validated and calibrated with the experimental results. This model was utilized to study the load-bearing behavior of the notched connections. © 2024 The Authors</v>
      </c>
      <c r="D87" s="21">
        <v>3</v>
      </c>
      <c r="E87" s="21">
        <v>5</v>
      </c>
      <c r="F87" s="21">
        <v>1</v>
      </c>
      <c r="G87" s="21">
        <v>5</v>
      </c>
      <c r="H87" s="21" t="s">
        <v>3189</v>
      </c>
      <c r="I87" s="21" t="s">
        <v>3190</v>
      </c>
      <c r="J87" s="21">
        <v>0</v>
      </c>
      <c r="K87" s="20" t="s">
        <v>3195</v>
      </c>
      <c r="L87" s="21"/>
      <c r="M87" s="21"/>
      <c r="N87" s="21">
        <f t="shared" si="1"/>
        <v>0</v>
      </c>
    </row>
    <row r="88" spans="1:14" ht="208">
      <c r="A88" s="24"/>
      <c r="B88" s="20" t="str">
        <f>scopus[[#This Row],[Title]]</f>
        <v>Efficiency of energy consumption between reinforced concrete structure and cross‐laminated timber based hybrid structure in East Asian cities</v>
      </c>
      <c r="C88" s="102" t="str">
        <f>scopus[[#This Row],[Abstract]]</f>
        <v>From the environmental perspective, wooden structures are favorable insulators that are suitable for carbon fixation and wooden‐related products are considered the most sustainable ma-terial. Research has indicated that wooden structures have superior energy‐saving performance compared to reinforced concrete (RC) structures. In this study, a CLT‐based hybrid structure system that potentially improves the efficiency of energy consumption is proposed. The proposed hybrid structure system, which preserved original RC beams, columns and replaced CLT floors and walls, has less building weight compared to the original RC building. Additionally, less energy required for the manufacturing of building materials in the renovation of the aged building is achieved, compared to building a new CLT building. The energy consumptions for buildings with heights of 10 stories were compared. CLT and RC were selected as benchmark building materials to compare the energy‐saving efficiencies with the proposed hybrid structure system. In addition, to examine the energy consumption differences at different latitudes, the energy consumptions in Taipei, Tokyo, Harbin, and Singapore were compared as well. The simulation results indicate the proposed hybrid structure system, which comprises RC beams and columns and CLT floors and walls, and has an energy‐saving efficiency close to that of a CLT structure, by approximately 3–5% higher, however, had a superior energy consumption performance to the RC structure. In general, the proposed hybrid structure system can be effectively used for old building renewal in the selected Asian cities. © 2021 by the authors. Licensee MDPI, Basel, Switzerland.</v>
      </c>
      <c r="D88" s="21">
        <v>4</v>
      </c>
      <c r="E88" s="21">
        <v>4</v>
      </c>
      <c r="F88" s="21">
        <v>3</v>
      </c>
      <c r="G88" s="21">
        <v>2</v>
      </c>
      <c r="H88" s="21" t="s">
        <v>3192</v>
      </c>
      <c r="I88" s="21" t="s">
        <v>3192</v>
      </c>
      <c r="J88" s="21">
        <v>0</v>
      </c>
      <c r="K88" s="20"/>
      <c r="L88" s="21"/>
      <c r="M88" s="21"/>
      <c r="N88" s="21">
        <f t="shared" si="1"/>
        <v>0</v>
      </c>
    </row>
    <row r="89" spans="1:14" ht="130">
      <c r="A89" s="24"/>
      <c r="B89" s="20" t="str">
        <f>scopus[[#This Row],[Title]]</f>
        <v>Vibration performance of CLT and CLT-concrete composite floors supported by glulam beams under human activity in mass timber office buildings</v>
      </c>
      <c r="C89" s="102" t="str">
        <f>scopus[[#This Row],[Abstract]]</f>
        <v>Timber floors are susceptible to vibration due to their low mass and bending stiffness. Utilizing mass timber products in long-span scenarios, such as in office buildings, makes vibration an important design driver for structural engineers. To gain insight on the vibration performance of mass timber and timber-composite floors in real mass timber buildings, a comprehensive testing campaign was conducted on two mass timber office buildings. The measured data were compared and discussed according to various standards and design guides at the end. Although some discrepancies between estimated parameters and measurements were noted, the floors reasonably meet their desired performance objectives for office buildings according to existing standards. The results presented in this paper not only demonstrate the effect of human weight and walking path on the floor's response, but also provide important data on mass timber floor system performance in furnished buildings, which is not otherwise available in the literature. © 2025 The Authors</v>
      </c>
      <c r="D89" s="21">
        <v>4</v>
      </c>
      <c r="E89" s="21">
        <v>1</v>
      </c>
      <c r="F89" s="21">
        <v>5</v>
      </c>
      <c r="G89" s="21">
        <v>3</v>
      </c>
      <c r="H89" s="21" t="s">
        <v>3192</v>
      </c>
      <c r="I89" s="21" t="s">
        <v>3192</v>
      </c>
      <c r="J89" s="21">
        <v>0</v>
      </c>
      <c r="K89" s="20"/>
      <c r="L89" s="21"/>
      <c r="M89" s="21"/>
      <c r="N89" s="21">
        <f t="shared" si="1"/>
        <v>0</v>
      </c>
    </row>
    <row r="90" spans="1:14" ht="312">
      <c r="A90" s="24"/>
      <c r="B90" s="20" t="str">
        <f>scopus[[#This Row],[Title]]</f>
        <v>Field measurement of vertical movement and roof moisture performance of the Wood Innovation and Design Centre</v>
      </c>
      <c r="C90" s="102" t="str">
        <f>scopus[[#This Row],[Abstract]]</f>
        <v>The Wood Innovation and Design Centre (WIDC) in Prince George, British Columbia, with 6 tall storeys and a total height of 29.5 m, provided a unique opportunity for non-destructive testing and monitoring to measure the 'As Built' performance of a relatively tall mass timber building. The mass timber structural system consists of glulam columns and beams with cross laminated timber (CLT) floor plates and shear walls. Vertical movement of selected glulam columns and CLT walls and the moisture content of the innovative mass timber roof were monitored as these components are unique to mass timber buildings. Indoor temperature and relative humidity conditions were also measured. The mass timber CLT and glulam elements are susceptible to longer-term differential movement as they slowly dry after manufacturing and construction. The paper describes instrumentation and discusses the measurement results for two years following the topping out of the structure. The monitoring indicated that the wood inside the building could reach a moisture content (MC) close to 4% in the winter in this cold climate, from an initial MC of around 13% during construction. Glulam columns were dimensionally stable in the longitudinal direction given the MC changes and loading conditions. With a height of over 5 m and 6 m, respectively, two glulam columns directly measured by sensors each showed vertical movement below 3 mm (i.e., 0.04%). The cumulative shortening of the six glulam columns along the height of the columns (24.5 m) is expected to be approximately 11 mm. This did not take into consideration any potential settlement or deformation at connections between glulam columns, or effects of reduced loads on the top two unoccupied floors. The CLT wall panels were also dimensionally stable along the height of the building, with cumulative vertical shrinkage of about 19 mm (i.e., 0.07%) from Level 1 to Level 6. In contrast, the 5-ply CLT floor slabs made up of wood in radial and tangential grain shrank in thickness by about 5 mm (3.0%) on average. With regards to the performance of the mass timber roof, the CLT roof panels started out dry and remained dry due to the robust assembly design and the dry indoor conditions. In one area the plywood roof sheathing was initially wetted by the application of a concrete topping below a piece of mechanical equipment, it was able to dry to the interior within a few months. Overall the monitoring study showed that the differential movement occurring among the glulam columns and the CLT wall was small and the mass timber roof design had good drying performance.</v>
      </c>
      <c r="D90" s="21">
        <v>5</v>
      </c>
      <c r="E90" s="21">
        <v>4</v>
      </c>
      <c r="F90" s="21">
        <v>1</v>
      </c>
      <c r="G90" s="21">
        <v>3</v>
      </c>
      <c r="H90" s="21" t="s">
        <v>3192</v>
      </c>
      <c r="I90" s="21" t="s">
        <v>3192</v>
      </c>
      <c r="J90" s="21">
        <v>0</v>
      </c>
      <c r="K90" s="20"/>
      <c r="L90" s="21"/>
      <c r="M90" s="21"/>
      <c r="N90" s="21">
        <f t="shared" si="1"/>
        <v>0</v>
      </c>
    </row>
    <row r="91" spans="1:14" ht="222.65" customHeight="1">
      <c r="A91" s="24"/>
      <c r="B91" s="20" t="str">
        <f>scopus[[#This Row],[Title]]</f>
        <v>Controlling cross-laminated timber (CLT) floor vibrations: Fundamentals and method</v>
      </c>
      <c r="C91" s="102" t="str">
        <f>scopus[[#This Row],[Abstract]]</f>
        <v>Cross-Laminated Timber (CLT) is proving to be a promising solution allowing wood to compete in building sectors where traditionally steel and concrete have predominated. The dynamic behaviour of CLT floor systems differ from that of the traditional lightweight wood-joisted floors and heavy concrete slab floors. The existing standard vibration-controlled design methods for lightweight and heavy floors may not be applicable to CLT floors. A new design method was developed based on the understanding of the fundamentals of floor vibrations and laboratory study of CLT floors with various construction details. The design method predicted vibration performance of CLT floors well and matched with the subjective ratings. The new design method is simple that the vibration-controlled spans can be directly calculated from CLT stiffness and mass. The vibration-controlled spans of CLT floors predicted by this new design method were almost the same as the spans determined by "CLTdesigner" software that was developed in Austria. It is concluded that the proposed design methodology to determine vibration-controlled maximum spans of CLT floors is promising.</v>
      </c>
      <c r="D91" s="21">
        <v>4</v>
      </c>
      <c r="E91" s="21">
        <v>5</v>
      </c>
      <c r="F91" s="21">
        <v>1</v>
      </c>
      <c r="G91" s="21">
        <v>3</v>
      </c>
      <c r="H91" s="21" t="s">
        <v>3189</v>
      </c>
      <c r="I91" s="21" t="s">
        <v>3190</v>
      </c>
      <c r="J91" s="21">
        <v>0</v>
      </c>
      <c r="K91" s="20"/>
      <c r="L91" s="21"/>
      <c r="M91" s="21"/>
      <c r="N91" s="21">
        <f t="shared" si="1"/>
        <v>0</v>
      </c>
    </row>
    <row r="92" spans="1:14" ht="117">
      <c r="A92" s="24"/>
      <c r="B92" s="20" t="str">
        <f>scopus[[#This Row],[Title]]</f>
        <v>Development of the structural system with steel frame and wooden floor-connection method of steel beam and wooden floor</v>
      </c>
      <c r="C92" s="102" t="str">
        <f>scopus[[#This Row],[Abstract]]</f>
        <v>The authors propose to replace a reinforced concrete (RC) slab with a cross-laminated timber (CLT) floor panel as a method to increase the use of timber in moderate- or large-scale buildings. The advantages of using CLT floor panels are as follows: 1) the weight of the building is reduced, 2) an environmental value is established, 3) forest resources are effectively utilized, and 4) there is a contribution in solving the global environmental problem. A floor effects the enhancement of flexural stiffness and strength of steel beams; hence, for a robust building structure, the authors must focus on and dynamically solve all structure performance problems. In addition, it is necessary to investigate the method of connection of steel beams and CLT floor panels. Push-out shear tests and pure bending tests were conducted to investigate the structural performance of CLT and composite steel beams. The test results indicated that the CLT and steel composite beam showed good structural performance.</v>
      </c>
      <c r="D92" s="21">
        <v>3</v>
      </c>
      <c r="E92" s="21">
        <v>5</v>
      </c>
      <c r="F92" s="21">
        <v>3</v>
      </c>
      <c r="G92" s="21">
        <v>2</v>
      </c>
      <c r="H92" s="21" t="s">
        <v>3189</v>
      </c>
      <c r="I92" s="21" t="s">
        <v>3192</v>
      </c>
      <c r="J92" s="21">
        <v>0</v>
      </c>
      <c r="K92" s="20"/>
      <c r="L92" s="21"/>
      <c r="M92" s="21"/>
      <c r="N92" s="21">
        <f t="shared" si="1"/>
        <v>0</v>
      </c>
    </row>
    <row r="93" spans="1:14" ht="182">
      <c r="A93" s="24"/>
      <c r="B93" s="20" t="str">
        <f>scopus[[#This Row],[Title]]</f>
        <v>Cross laminated timber: Technological, construction and dimensioning aspects; [A madeira laminada cruzada: Aspectos tecnológicos, construtivos e de dimensionamento]</v>
      </c>
      <c r="C93" s="102" t="str">
        <f>scopus[[#This Row],[Abstract]]</f>
        <v>Cross laminated timber panels (CLT) are formed by large-sized orthogonally arranged wood layers bonded with structural adhesive under high pressure. The cross-lamination system provides to the CLT to work as a rigid and self-supporting structural element. In addition, they are thermal and acoustic insulation and have a good resistance in fire situations. They are used as structural and closing elements in multi-floor construc-tions and this constructive system can be considered more sustainable, which generates less impact to the environment, compared to traditional Brazilian solutions. Wood is a renewable natural resource and when used in construction it plays an important role for the environment: storing CO2 and using low energy for its manufacture and application when compared to conventional materials used in construction such as steel, concrete and aluminum. In these structures design there is still no universally accepted analytic approach by CLT designers and manufacturers. In this work, the CLT panels used as floor or roof slabs subject to bending are dimensioned the most important methods used. The results were compared and it was concluded that the more accurate methods consider the rigidity and structural resistance of all layers. Greater precision in the designing of the CLT panels contributes to sustainable engineering as it optimizes the use of the material in the structure. © 2017, Universidade Federal do Rio de Janeiro. All rights reserved.</v>
      </c>
      <c r="D93" s="21">
        <v>4</v>
      </c>
      <c r="E93" s="21">
        <v>5</v>
      </c>
      <c r="F93" s="21">
        <v>1</v>
      </c>
      <c r="G93" s="21">
        <v>3</v>
      </c>
      <c r="H93" s="21" t="s">
        <v>3189</v>
      </c>
      <c r="I93" s="21" t="s">
        <v>3190</v>
      </c>
      <c r="J93" s="21">
        <v>0</v>
      </c>
      <c r="K93" s="20"/>
      <c r="L93" s="21"/>
      <c r="M93" s="21"/>
      <c r="N93" s="21">
        <f t="shared" si="1"/>
        <v>0</v>
      </c>
    </row>
    <row r="94" spans="1:14" ht="286">
      <c r="A94" s="24"/>
      <c r="B94" s="20" t="str">
        <f>scopus[[#This Row],[Title]]</f>
        <v>Control of the dynamic performance of hybrid steel frame and cross laminated timber slab buildings</v>
      </c>
      <c r="C94" s="102" t="str">
        <f>scopus[[#This Row],[Abstract]]</f>
        <v>Distributed Tuned Liquid Damper (DTLD) systems for multi-storey building superstructures consist of arrays of partially filled liquid containers attached to the structural system and distributed amongst the storeys, to enhance the modal damping characteristics of substructures and entire structures. Work described here considerers DTLD systems as supplemental damping to hybrid superstructures that combine steel primary frameworks with Cross Laminated Timber (CLT), or other lightweight massive wood, slabs as an alternative to reinforced concrete slabs. The objective is to control lateral motions of building superstructures during normal and extreme loading events. Previous studies by the authors have shown that using CLT alone with steel frameworks is an effective way of reducing gravitational and lateral structural demands on steel frameworks, and for controlling lateral drift motions during normal or unusual loading events. Addition of DTLD systems is considered to further control dynamic motions without unacceptable amplification of lateral accelerations at above ground floor levels. The design of DTLD's is examined here with respect to their masses and sloshing frequencies, based on laboratory tests in which peak acceleration and damping characteristics of a scaled superstructure system fitted with rectangular box Tuned Liquid Dampers (TLD) were measured. Results collected to date indicate that using DTLD's is an effective method of controlling lateral motions in buildings with steel frameworks and massive wood slabs. Experiments showed that peak lateral acceleration of steel framework-and-wood slab superstructures is not sensitive to the mass of liquid in DTLD's, provided that the mass of the fluid in them is at least about 1 percent of the superstructure mass. In experiments, no strong sensitivity to the tuning accuracy of DTLD's was observed for control of motion attributable to the fundamental mode of vibration. However it may be required in practice to have DTLD arrays tuned to multiple response frequencies for overall control of lateral motions of buildings. Experiments also showed that damping of the system was increased with an increase in the mass of liquid and was not affected by the sloshing frequency. Further work will examine detailed aspects of the technical issues and how DTLD systems should be designed.</v>
      </c>
      <c r="D94" s="21">
        <v>4</v>
      </c>
      <c r="E94" s="21">
        <v>5</v>
      </c>
      <c r="F94" s="21">
        <v>1</v>
      </c>
      <c r="G94" s="21">
        <v>3</v>
      </c>
      <c r="H94" s="21" t="s">
        <v>3189</v>
      </c>
      <c r="I94" s="21" t="s">
        <v>3190</v>
      </c>
      <c r="J94" s="21">
        <v>0</v>
      </c>
      <c r="K94" s="20"/>
      <c r="L94" s="21"/>
      <c r="M94" s="21"/>
      <c r="N94" s="21">
        <f t="shared" si="1"/>
        <v>0</v>
      </c>
    </row>
    <row r="95" spans="1:14" ht="169">
      <c r="A95" s="24"/>
      <c r="B95" s="20" t="str">
        <f>scopus[[#This Row],[Title]]</f>
        <v>Laboratory data examining impact and airborne sound attenuation in cross-laminated timber panel construction</v>
      </c>
      <c r="C95" s="102" t="str">
        <f>scopus[[#This Row],[Abstract]]</f>
        <v>Cross laminated timber panels (CLT) are a relatively new method of constructing multi family structures in North America. The panels are composed of numerous layers of wood, each perpendicular to the adjacent layers. Wood is a renewable resource and producing the components of CLT panels consumes roughly half of the energy of concrete. 12-storey buildings are possible with cross-laminated timber. While this has been used in other parts of the world, it has not yet been widely adopted in North America. In an effort to better understand how a CLT floor ceiling structure will perform in impact and airborne sound attenuation testing, we constructed a 175mm thick floor assembly in the laboratory and conducted numerous tests (STC-ASTM E90 and IIC-E492) with different floor toppings and with and without a ceiling assembly. Plywood installed over resilient underlayment of various thicknesses was tested in addition to finish floor installed directly over resilient underlayment. A resiliently mounted ceiling with insulation was also tested. The test data collected is compared to other labs including testing done by the National Research Council of Canada (NRC). As a result of the test program we can hope to design IBC section 1207 code compliant CLT assemblies, better understand lab variations with this type of structure and compare it to conventional concrete slabs of equivalent thickness. © 2015 by ASME.</v>
      </c>
      <c r="D95" s="21">
        <v>4</v>
      </c>
      <c r="E95" s="21">
        <v>5</v>
      </c>
      <c r="F95" s="21">
        <v>1</v>
      </c>
      <c r="G95" s="21">
        <v>3</v>
      </c>
      <c r="H95" s="21" t="s">
        <v>3189</v>
      </c>
      <c r="I95" s="21" t="s">
        <v>3190</v>
      </c>
      <c r="J95" s="21">
        <v>0</v>
      </c>
      <c r="K95" s="20"/>
      <c r="L95" s="21"/>
      <c r="M95" s="21"/>
      <c r="N95" s="21">
        <f t="shared" si="1"/>
        <v>0</v>
      </c>
    </row>
    <row r="96" spans="1:14" ht="182">
      <c r="A96" s="24"/>
      <c r="B96" s="20" t="str">
        <f>scopus[[#This Row],[Title]]</f>
        <v>Investigating impact sound insulation in cross-laminated timber (CLT)-concrete composite floors with embedded mechanical fastening: Experimental analysis and statistical energy analysis</v>
      </c>
      <c r="C96" s="102" t="str">
        <f>scopus[[#This Row],[Abstract]]</f>
        <v>CLT-concrete composite (CCC) floors are increasingly used in modern timber buildings for their superior strength and fire resistance over traditional cross-laminated timber (CLT) floors. However, their impact sound insulation remains problematic, potentially causing noise-related disputes. To investigate the impact sound insulation performance of CCC floors with varying structural design parameters and floating constructions, this study conducted laboratory tests on twelve full-scale floors. Impact sound insulation class was determined using single number indexes, primarily the normalized impact sound pressure level (Ln,w). The test results indicated that structural design parameters showed minor influence on the impact sound insulation performance of CCC floors (ΔLw ≤10 dB), while floating constructions significantly enhanced the impact sound insulation performance (ΔLw ≥21 dB). In contrast, a 31-mm-thick floating construction achieved an Ln,w value of 59.0 dB, elevating the impact sound insulation class to Level 4—outperforming previously reported results. Furthermore, a simplified statistical energy analysis (SEA) model was developed for the CCC floor system with a floating floor. The predicted Ln,w values aligned well with the test results, with errors below 6 dB. This study provides a research foundation for the design of sound insulation solutions and performance prediction of CCC floor systems in practical engineering applications. © 2025 Elsevier Ltd</v>
      </c>
      <c r="D96" s="21">
        <v>4</v>
      </c>
      <c r="E96" s="21">
        <v>5</v>
      </c>
      <c r="F96" s="21">
        <v>1</v>
      </c>
      <c r="G96" s="21">
        <v>3</v>
      </c>
      <c r="H96" s="21" t="s">
        <v>3189</v>
      </c>
      <c r="I96" s="21" t="s">
        <v>3190</v>
      </c>
      <c r="J96" s="21">
        <v>0</v>
      </c>
      <c r="K96" s="20"/>
      <c r="L96" s="21"/>
      <c r="M96" s="21"/>
      <c r="N96" s="21">
        <f t="shared" si="1"/>
        <v>0</v>
      </c>
    </row>
    <row r="97" spans="1:14" ht="288.75" customHeight="1">
      <c r="A97" s="24"/>
      <c r="B97" s="20" t="str">
        <f>scopus[[#This Row],[Title]]</f>
        <v>Flexural Behavior of Cross-Laminated Timber Panels with Environmentally Friendly Timber Edge Connections</v>
      </c>
      <c r="C97" s="102" t="str">
        <f>scopus[[#This Row],[Abstract]]</f>
        <v>As a sustainable construction material, timber is more promoted than steel, concrete, and aluminum nowadays. The building industry benefits from using timber based on several perspectives, including decarbonization, improved energy efficiency, and easier recycling and disposal processes. The cross-laminated timber (CLT) panel is one of the widely utilized engineered wood products in construction for floors, which is an ideal alternative option for replacing reinforced concrete. One single CLT panel has an outstanding flexural behavior. However, CLT cannot be extended independently without external connections, which are normally made of steel. This article proposes two innovative adhesive-free edge connections made of timber, the double surface (DS) and half-lapped (HL) connections. These connections were designed to connect two CLT panels along their weak direction. Parametric studies consisting of twenty models were conducted on the proposed edge connections to investigate the effects of different factors and the flexural behavior of CLT panels with these edge connections under a four-point bending test. Numerical simulations of all the models were done in the current study by using ABAQUS 2022. Furthermore, the employed material properties and other relevant inputs (VUSDFLD subroutines, time steps, meshes, etc.) of the numerical models were validated through existing experiments. The results demonstrated that the maximum and minimum load capacities among the studied models were 6.23 kN and 0.35 kN, respectively. The load–displacement responses, strain, stress, and defection distributions were collected and analyzed, as well as their failure modes. It was revealed that the CLT panels’ load capacity was distinctly improved due to the increment of the connectors’ number (55.05%) and horizontal length (80.81%), which also reinforced the stability. Based on the findings, it was indicated that adhesive-free timber connections could be used for CLT panels in buildings and replace traditional construction materials, having profound potential for improving buildings’ sustainability and energy efficiency. © 2024 by the authors.</v>
      </c>
      <c r="D97" s="21">
        <v>3</v>
      </c>
      <c r="E97" s="21">
        <v>5</v>
      </c>
      <c r="F97" s="21">
        <v>3</v>
      </c>
      <c r="G97" s="21">
        <v>2</v>
      </c>
      <c r="H97" s="21" t="s">
        <v>3189</v>
      </c>
      <c r="I97" s="21" t="s">
        <v>3192</v>
      </c>
      <c r="J97" s="21">
        <v>0</v>
      </c>
      <c r="K97" s="20"/>
      <c r="L97" s="21"/>
      <c r="M97" s="21"/>
      <c r="N97" s="21">
        <f t="shared" si="1"/>
        <v>0</v>
      </c>
    </row>
    <row r="98" spans="1:14" ht="195">
      <c r="A98" s="24"/>
      <c r="B98" s="20" t="str">
        <f>scopus[[#This Row],[Title]]</f>
        <v>High-rise timber buildings: Benchmarks in structural systems, fire safety, prefabrication efficiency and environmental insights of world's 10 tallest completed mass timber projects</v>
      </c>
      <c r="C98" s="102" t="str">
        <f>scopus[[#This Row],[Abstract]]</f>
        <v>This study provides a systematic comparative overview of the world's 10 tallest completed timber buildings, moving beyond descriptive reports to establish a synthesized framework of benchmarks for structural systems, material specifications, fire safety, and environmental performance. It shows that hybrid timber–concrete systems with reinforced concrete (RC) cores dominate current practice, but pioneering timber-dominant solutions, such as glulam trusses and CLT shear walls, signal a gradual shift toward greater structural autonomy. From a material perspective, glulam columns typically range between 0.4 m and 1.0 m and CLT floor panels between 160 and 240 mm, while high-strength glulam grades (GL28–GL32) and C24 CLT emerge as consistent global standards, reflecting the growing maturity of design codes. It also reveals that fire safety in tall timber buildings is achieved through three principal strategies: encapsulation systems, oversized timber structural members with sacrificial charring, and hybrid RC–timber solutions. The tallest timber buildings demonstrate that performance-based validation can achieve two-to-three hour fire ratings, highlighting both the technical feasibility and the regulatory trade-offs of fire-safe timber design. For architects, engineers, and policymakers, the study provides practical reference points that clarify current feasibility, highlight emerging trends, and support the integration of tall timber construction into urban development. © 2025 The Authors. Published by Elsevier Ltd. This is an open access article under the CC BY-NC-ND license. http://creativecommons.org/licenses/by-nc-nd/4.0/</v>
      </c>
      <c r="D98" s="21">
        <v>5</v>
      </c>
      <c r="E98" s="21">
        <v>2</v>
      </c>
      <c r="F98" s="21">
        <v>4</v>
      </c>
      <c r="G98" s="21">
        <v>2</v>
      </c>
      <c r="H98" s="21" t="s">
        <v>3189</v>
      </c>
      <c r="I98" s="21" t="s">
        <v>3190</v>
      </c>
      <c r="J98" s="21">
        <v>0</v>
      </c>
      <c r="K98" s="20"/>
      <c r="L98" s="21"/>
      <c r="M98" s="21"/>
      <c r="N98" s="21">
        <f t="shared" si="1"/>
        <v>0</v>
      </c>
    </row>
    <row r="99" spans="1:14" ht="169">
      <c r="A99" s="24"/>
      <c r="B99" s="20" t="str">
        <f>scopus[[#This Row],[Title]]</f>
        <v>Fire Testing and Modeling of a Novel Hybrid Timber Floor System</v>
      </c>
      <c r="C99" s="102" t="str">
        <f>scopus[[#This Row],[Abstract]]</f>
        <v>To maximize the amount of carbon-sequestering mass timber and demonstrate the potential for mass timber across a range of building types and scales, DIALOG and EllisDon have developed a hybrid timber floor system (HTFS) that is composed of post-tensioned (PT) concrete beams, cross laminated timber (CLT) panels, and concrete topping connected to each other through self-tapping screws and kerf plates. This paper presents the fire performance of this novel HTFS through a combination of testing and modeling. Two mid-span sectional specimens of HTFS without concrete topping were exposed to the standard fire of CAN/ULC S101. The char depth and char rate of CLT were measured, and the temperature at specific locations were recorded to verify the design and the developed advanced finite element models. Advanced 2D models were developed to investigate the influence of steel properties and the effect from concrete spalling, and the modeling approach adopted in the refined 3D model. The developed models can estimate the char depth with difference less than 5%, and the temperature in reinforcing bars, PT duct, and concrete comparable to the average of the test results. The experimental and simulation results give an insight into the fire performance of this novel HTFS. © 2024 This work is made available under the terms of the Creative Commons Attribution 4.0 International license,.</v>
      </c>
      <c r="D99" s="21">
        <v>3</v>
      </c>
      <c r="E99" s="21">
        <v>5</v>
      </c>
      <c r="F99" s="21">
        <v>1</v>
      </c>
      <c r="G99" s="21">
        <v>4</v>
      </c>
      <c r="H99" s="21" t="s">
        <v>3189</v>
      </c>
      <c r="I99" s="21" t="s">
        <v>3192</v>
      </c>
      <c r="J99" s="21">
        <v>0</v>
      </c>
      <c r="K99" s="20"/>
      <c r="L99" s="21"/>
      <c r="M99" s="21"/>
      <c r="N99" s="21">
        <f t="shared" si="1"/>
        <v>0</v>
      </c>
    </row>
    <row r="100" spans="1:14" ht="270.75" customHeight="1">
      <c r="A100" s="24"/>
      <c r="B100" s="20" t="str">
        <f>scopus[[#This Row],[Title]]</f>
        <v>Composite slab floors made of cross laminated timber and ultra high-performance concrete: Early-age deflection, stripping time, and its implication on the structural performances</v>
      </c>
      <c r="C100" s="102" t="str">
        <f>scopus[[#This Row],[Abstract]]</f>
        <v>Timber-Concrete Composite floors made of Cross-Laminated Timber (CLT) and Ultra-High-Performance Concrete (UHPC) boast remarkable efficiency in lightweight and slenderness. While the rapid UHPC hardening facilitates swift construction, the optimal shoring time depends on the effect of the UHPC autogenous shrinkage on the floor deflection. This study aims to investigate the experimental deflection of CLT-UHPC floors at an early age without shoring and to develop a simplified model for predicting the optimal shoring time for TCC floors. An eco-friendly UHPC with recycled glass waste is considered in this study. Firstly, the evolution of its modulus of elasticity and compressive strength as well as the early-age shrinkage were experimentally characterized. Furthermore, the shear behavior of the notch connection was evaluated after 28 days, and it was estimated to be proportional to the stiffness of the concrete at an early age. Then, two TCC floors made of CLT-UHPC with a span of 3.6 m were cast and their deflection under the self-weight of fresh concrete was measured over the initial 28-day period in a simple supported configuration without the use of shoring. A simplified analytical model was developed to predict the TCC deflection at an early age by coupling an existing solution with the concept of Age-Adjusted Effective Modulus (AAEM). The model effectively predicted the experimental early-age deflection of the CLT-UHPC floor without the use of shoring. Finally, after 3 months, the TCC floors were tested under bending, showing a reduced structural stiffness of about 35 %, caused by concrete cracking due to restrained shrinkage. The parametric analysis with the developed analytical tool allowed for estimating the maximum span of CLT-UHPC floors without shoring or, for longer spans, the optimal time of shoring removal. This study offers valuable insights into the behavior of CLT-UHPC along, along with a robust analytical tool to optimize their design and construction of TCC floors. © 2023 Elsevier Ltd</v>
      </c>
      <c r="D100" s="21">
        <v>5</v>
      </c>
      <c r="E100" s="21">
        <v>2</v>
      </c>
      <c r="F100" s="21">
        <v>3</v>
      </c>
      <c r="G100" s="21">
        <v>2</v>
      </c>
      <c r="H100" s="21" t="s">
        <v>3189</v>
      </c>
      <c r="I100" s="21" t="s">
        <v>3192</v>
      </c>
      <c r="J100" s="21">
        <v>0</v>
      </c>
      <c r="K100" s="20"/>
      <c r="L100" s="21"/>
      <c r="M100" s="21"/>
      <c r="N100" s="21">
        <f t="shared" si="1"/>
        <v>0</v>
      </c>
    </row>
    <row r="101" spans="1:14" ht="260">
      <c r="A101" s="24"/>
      <c r="B101" s="20" t="str">
        <f>scopus[[#This Row],[Title]]</f>
        <v>Comparison and Evaluation of Model-Based Optimal Sensor Placement Implementation: A Case Study of a Hybrid Cross-Laminated Timber and Steel Building</v>
      </c>
      <c r="C101" s="102" t="str">
        <f>scopus[[#This Row],[Abstract]]</f>
        <v>The construction industry has reshaped timber building practice into the integration of timber structures with other materials such as steel, termed hybrid timber-based structures, as an attractive, sustainable, and aesthetic solution. However, novel hybrid timber-based structures may require critical validation of design assumptions and structural dynamic performance. This paper conducts a study of model-based optimal sensor placement (OSP) implementation in which two OSP methods and six evaluation criteria are compared and evaluated to ensure the most significant dynamic information content by analyzing two comparison metrics for a resulting sensor configuration in the dynamic identification of a hybrid cross-laminated timber (CLT)-steel building with structural irregularities. The Engineering Design and Innovation building at The Pennsylvania State University is a rectangular 4-story hybrid building with moment-resisting steel frames and composite floors of reinforced concrete layer and CLT panels. For this case study, the OSP problem is a sensitive factor, motivated by the potential torsional effects of structural irregularities from the lateral force-resisting system during serviceability, in the capture of the most significant information content and identification of dynamic properties by a cost-effective structural health monitoring (SHM) strategy. The proposed investigation compares and examines the backward sequential sensor placement (BSSP) and genetic algorithm (GA) methods using different evaluation criteria to capture and maximize the most relevant dynamic information, evaluated by a Pareto analysis constructed based on the modal assurance criterion (MAC) trace and Fisher information matrix (FIM) determinant metrics simultaneously, for the numerical mode shape identification. The model-based OSP implementation plays a critical role in SHM applications, simplifying data collection and improving dynamic information quality for dynamic identification and damage detection in order to better comprehend the structural health condition and performance of existing civil infrastructure such as the hybrid mass timber-steel building presented.  © 2025 American Society of Civil Engineers.</v>
      </c>
      <c r="D101" s="21">
        <v>4</v>
      </c>
      <c r="E101" s="21">
        <v>5</v>
      </c>
      <c r="F101" s="21">
        <v>1</v>
      </c>
      <c r="G101" s="21">
        <v>2</v>
      </c>
      <c r="H101" s="21" t="s">
        <v>3189</v>
      </c>
      <c r="I101" s="21" t="s">
        <v>3190</v>
      </c>
      <c r="J101" s="21">
        <v>0</v>
      </c>
      <c r="K101" s="20"/>
      <c r="L101" s="21"/>
      <c r="M101" s="21"/>
      <c r="N101" s="21">
        <f t="shared" si="1"/>
        <v>0</v>
      </c>
    </row>
    <row r="102" spans="1:14" ht="143">
      <c r="A102" s="24"/>
      <c r="B102" s="20" t="str">
        <f>scopus[[#This Row],[Title]]</f>
        <v>Effect of Concrete Thickness and Expanded Polystyrene Layer on Stiffness and Floor Impact Sound Insulation Performance of Cross-Laminated Timber Slabs</v>
      </c>
      <c r="C102" s="102" t="str">
        <f>scopus[[#This Row],[Abstract]]</f>
        <v>Effects of an expanded polystyrene (EPS) layer and varying precast concrete thickness were investigated relative to the stiffness and acoustic performance of cross-laminated timber (CLT) slabs. Six different concrete thicknesses and EPS layers were applied to larch and pine CLT slabs for testing. Airborne sound transmission loss (Dw) was measured using speakers, light impact sound (LnT,w) using a tapping machine, and heavy impact sound (LiA,Fmax) using rubber balls, in accordance with KS F ISO717-2. The results indicated that the EPS layer significantly improved light impact sound insulation (by 8 dB) and airborne noise insulation (by 5 dB), but had a minimal effect on heavy impact sound (0.5 dB). Both stiffness and sound insulation increased with concrete thickness, although improvement plateaued beyond 100 mm for larch CLT and 150 mm for pine CLT. The flexural and impact stiffness of larch CLT slabs were 24.3% and 19.2% higher than those of pine CLT slabs, respectively. Moreover, impact stiffness had a stronger correlation with acoustic performance than the previously established relationship with area density. © 2026, North Carolina State University. All rights reserved.</v>
      </c>
      <c r="D102" s="21">
        <v>4</v>
      </c>
      <c r="E102" s="21">
        <v>5</v>
      </c>
      <c r="F102" s="21">
        <v>1</v>
      </c>
      <c r="G102" s="21">
        <v>2</v>
      </c>
      <c r="H102" s="21" t="s">
        <v>3189</v>
      </c>
      <c r="I102" s="21" t="s">
        <v>3190</v>
      </c>
      <c r="J102" s="21">
        <v>0</v>
      </c>
      <c r="K102" s="20"/>
      <c r="L102" s="21"/>
      <c r="M102" s="21"/>
      <c r="N102" s="21">
        <f t="shared" si="1"/>
        <v>0</v>
      </c>
    </row>
    <row r="103" spans="1:14" ht="143">
      <c r="A103" s="24"/>
      <c r="B103" s="20" t="str">
        <f>scopus[[#This Row],[Title]]</f>
        <v>Effect of ceiling and dry-type double floor on heavy-weight floor impact sound in concrete building and CLT building</v>
      </c>
      <c r="C103" s="102" t="str">
        <f>scopus[[#This Row],[Abstract]]</f>
        <v>The air layer between the interior finishes and the structure is used as piping and wiring space. In many cases, ceilings and dry-type double floors are commonly constructed in Japan. However, the effect of ceilings and dry-type double floors on the heavy-weight floor impact sound insulation performance has not yet quantitatively studied. Therefore, in this paper, the same ceiling and floor structures were constructed for concrete and CLT (Cross Laminated Timber) buildings, and the heavyweight floor impact sound was investigated. As results, it was confirmed that the reduction amount of the heavy-weight floor impact sound by the ceiling tended to be smaller in CLT building than in concrete building. However, the trends were similar. Due to the dry-type double floor structure, the heavy-weight floor impact sound level was increased in concrete building and decreased in CLT building at 63 Hz in the octave band center frequency band. Therefore, it can be said that the dry-type double floor structure can be used to improve the heavy-weight floor impact sound insulation performance in the CLT building. © INTER-NOISE 2021 .All right reserved.</v>
      </c>
      <c r="D103" s="21">
        <v>3</v>
      </c>
      <c r="E103" s="21">
        <v>5</v>
      </c>
      <c r="F103" s="21">
        <v>1</v>
      </c>
      <c r="G103" s="21">
        <v>3</v>
      </c>
      <c r="H103" s="21" t="s">
        <v>3192</v>
      </c>
      <c r="I103" s="21" t="s">
        <v>3192</v>
      </c>
      <c r="J103" s="21">
        <v>0</v>
      </c>
      <c r="K103" s="20"/>
      <c r="L103" s="21"/>
      <c r="M103" s="21"/>
      <c r="N103" s="21">
        <f t="shared" si="1"/>
        <v>0</v>
      </c>
    </row>
    <row r="104" spans="1:14" ht="279.75" customHeight="1">
      <c r="A104" s="24"/>
      <c r="B104" s="20" t="str">
        <f>scopus[[#This Row],[Title]]</f>
        <v>Cross-Laminated Timber (CLT) as an Alternative Building Material in South Africa: Awareness and Perceptions</v>
      </c>
      <c r="C104" s="102" t="str">
        <f>scopus[[#This Row],[Abstract]]</f>
        <v>The construction industry continues to manufacture traditional construction materials such as bricks, concrete, and steel, resulting in large volumes of green-house gases (GHGs) which contribute to climate change through global warming. Consequently, the need for alternative and sustainable construction materials is amplified. Cross-laminated timber (CLT) constitutes one such alternative. CLT is a prefabricated solid engineered wood panel made of at least three orthogonally bonded layers of solid-sawn lumber or structural composite lumber (SCL) that are laminated by gluing of longitudinal and transverse layers with structural adhesives to form a solid rectangular-shaped, straight, and plane timber intended for roof, floor, or wall applications. The study reported on adopted the qualitative method, which entailed interviews with a range of built environment practitioners that have had exposure to CLT. The study aimed to determine the viability and feasibility of CLT as an alternative, sustainable building material to substitute traditional building materials. Findings include a range of barriers exist in terms of the adoption of CLT construction in South Africa, namely perceptions with respect to ‘timber’ construction, limited design and construction expertise, and the initial cost of CLT construction. Conclusions include: a low level of awareness and knowledge relative to CLT; negative perceptions of ‘timber’ construction needs to be countered, and CLT design and construction expertise need to be developed. Recommendations include: CLT design and construction should be embedded in all tertiary built environment education programmes; industry craft training should include CLT construction, and the built environment should consider ‘timber’ as an alternative to traditional masonry construction. © The Author(s), under exclusive license to Springer Nature Switzerland AG 2024.</v>
      </c>
      <c r="D104" s="21">
        <v>4</v>
      </c>
      <c r="E104" s="21">
        <v>5</v>
      </c>
      <c r="F104" s="21">
        <v>2</v>
      </c>
      <c r="G104" s="21">
        <v>1</v>
      </c>
      <c r="H104" s="21" t="s">
        <v>3189</v>
      </c>
      <c r="I104" s="21" t="s">
        <v>3186</v>
      </c>
      <c r="J104" s="21">
        <v>0</v>
      </c>
      <c r="K104" s="20"/>
      <c r="L104" s="21"/>
      <c r="M104" s="21"/>
      <c r="N104" s="21">
        <f t="shared" si="1"/>
        <v>0</v>
      </c>
    </row>
    <row r="105" spans="1:14" ht="195">
      <c r="A105" s="24"/>
      <c r="B105" s="20" t="str">
        <f>scopus[[#This Row],[Title]]</f>
        <v>Building Upward: Methodological Approach to Defining Criteria and Guidelines for Interventions for Italian Post-War Housing Refurbishment in a Seismic Area</v>
      </c>
      <c r="C105" s="102" t="str">
        <f>scopus[[#This Row],[Abstract]]</f>
        <v xml:space="preserve">                             Refurbishment of existing buildings, in order to reduce environmental impact, both in terms of land take and CO                             2                              emissions, must be one of the priorities of the whole building sector. Quantitatively, residential housing built in 1950-1990 accounts for the highest energy consumption, since its low-quality technology has caused its swift material and performance-related decay (not to mention social and urban), as reported in 2011 by the Building Performance Institute Europe (BPIE). In Italy, the earthquakes in Umbria and Marche (1997), Abruzzo (2009), Emilia (2012), and Lazio (2016) made it imperative to resort to seismic risk prevention, before the energy-consumption analysis. The paper presents the first results of the research concerning methodologies and qualitative analyses, whose objects have been twofold: (1) identifying the criteria and guidelines of intervention when adding floors, paying particular attention to construction-related and structural aspects within the seismic analysis; and (2) testing such criteria through one case study, namely a 1970s Azienda Territoriale Edilizia Residenziale (ATER) social housing building in Rovigo. The analysis of the building and its modeling through ad hoc software (Revit and Midas) has determined a first evaluation of its feasibility in a digital environment, analyzing the building's structural behavior under seismic action before and after the intervention - besides while work was in progress - underlining the potentialities and drawbacks that adding floors implies.                          © 2019 American Society of Civil Engineers.</v>
      </c>
      <c r="D105" s="21">
        <v>4</v>
      </c>
      <c r="E105" s="21">
        <v>4</v>
      </c>
      <c r="F105" s="21">
        <v>2</v>
      </c>
      <c r="G105" s="21">
        <v>2</v>
      </c>
      <c r="H105" s="21" t="s">
        <v>3189</v>
      </c>
      <c r="I105" s="21" t="s">
        <v>3192</v>
      </c>
      <c r="J105" s="21">
        <v>0</v>
      </c>
      <c r="K105" s="20"/>
      <c r="L105" s="21"/>
      <c r="M105" s="21"/>
      <c r="N105" s="21">
        <f t="shared" si="1"/>
        <v>0</v>
      </c>
    </row>
    <row r="106" spans="1:14" ht="117">
      <c r="A106" s="24"/>
      <c r="B106" s="20" t="str">
        <f>scopus[[#This Row],[Title]]</f>
        <v>Structural Design of School Building Fully Constructed of CLT and Technical Development of Flat Slab and Seismic Wall Using CLT</v>
      </c>
      <c r="C106" s="102" t="str">
        <f>scopus[[#This Row],[Abstract]]</f>
        <v>The structural design of The West Wing of Showa-Gakuin Elementary School is explained. The building is a two-story wooden building with floors, walls, roof, and stairs fully constructed of Cross Laminated Timber (CLT). Using CLT for the floor and roof, no beams are installed in the room, which maximizes the effective height within the limited height, and the continuity of the ceiling surface with exposed wood surfaces is achieved. CLT walls supporting the building are high-strength, high-toughness seismic walls with Glued in Rod (GIR) construction at the joints. The building's embodied carbon is estimated to be approximately 29% less than reinforced concrete construction. We have verified the performance of the CLT floor slab, and the results are to be reported. The CLT wall applied to this building has undergone full-scale tests and further improvements, and these developments are also explained. © Published under licence by IOP Publishing Ltd.</v>
      </c>
      <c r="D106" s="21">
        <v>4</v>
      </c>
      <c r="E106" s="21">
        <v>5</v>
      </c>
      <c r="F106" s="21">
        <v>1</v>
      </c>
      <c r="G106" s="21">
        <v>1</v>
      </c>
      <c r="H106" s="21" t="s">
        <v>3192</v>
      </c>
      <c r="I106" s="21" t="s">
        <v>3192</v>
      </c>
      <c r="J106" s="21">
        <v>0</v>
      </c>
      <c r="K106" s="20"/>
      <c r="L106" s="21"/>
      <c r="M106" s="21"/>
      <c r="N106" s="21">
        <f t="shared" si="1"/>
        <v>0</v>
      </c>
    </row>
    <row r="107" spans="1:14" ht="156">
      <c r="A107" s="24"/>
      <c r="B107" s="20" t="str">
        <f>scopus[[#This Row],[Title]]</f>
        <v>Capacity and Failure-Mode Prediction of Mass Timber Panel-Concrete Composite Floor System with Mechanical Connectors</v>
      </c>
      <c r="C107" s="102" t="str">
        <f>scopus[[#This Row],[Abstract]]</f>
        <v>Lack of design standards and guidelines is the most important barrier limiting widespread use of mass timber panel-concrete (MTPC) composite floor systems, a preferred choice by designers in modern multistory mass timber construction. The commonly used Gamma method of designing timber-concrete composite floors has some limitations and cannot predict the load-carrying capacity and failure modes of composite floor systems. Therefore, an analytical model was developed considering the interlayer connector behavior under the elastic-plastic range along with an acoustic layer between timber and concrete, to accurately predict the capacity and failure modes of MTPC composite floor system. One-way acting composite floor panels were tested under four-point bending with different configurations to investigate the influence of different parameters and to validate the developed capacity prediction model. It was found that the model can predict the capacity of the MTPC composite system within 17% of the experimental value and the associated failure mode. This developed capacity prediction model for MTPC composite floors will facilitate the use of these system in mass timber construction. © 2020 American Society of Civil Engineers.</v>
      </c>
      <c r="D107" s="21">
        <v>3</v>
      </c>
      <c r="E107" s="21">
        <v>5</v>
      </c>
      <c r="F107" s="21">
        <v>2</v>
      </c>
      <c r="G107" s="21">
        <v>1</v>
      </c>
      <c r="H107" s="21" t="s">
        <v>3192</v>
      </c>
      <c r="I107" s="21" t="s">
        <v>3192</v>
      </c>
      <c r="J107" s="21">
        <v>0</v>
      </c>
      <c r="K107" s="20"/>
      <c r="L107" s="21"/>
      <c r="M107" s="21"/>
      <c r="N107" s="21">
        <f t="shared" si="1"/>
        <v>0</v>
      </c>
    </row>
    <row r="108" spans="1:14" ht="182">
      <c r="A108" s="24"/>
      <c r="B108" s="20" t="str">
        <f>scopus[[#This Row],[Title]]</f>
        <v>Flexural behaviour of an innovative cross-laminated timber-concrete composite structural flooring system</v>
      </c>
      <c r="C108" s="102" t="str">
        <f>scopus[[#This Row],[Abstract]]</f>
        <v>Timber-Concrete Composite (TCC) systems are one of the most interesting strategies for slab construction, both for structural performance and environmental considerations. In the latter sense, some research proposed the use of recycled aggregates and locally sourced timber, as well as the reduction of adhesive consumption. This paper analyses the performance of a TCC system in which the timber-concrete connection is achieved by drilling holes in the web, the concrete contains 20% recycled aggregates, and Cross-Laminated Timber (CLT) made from locally source timber is used. Four-point bending tests were developed with a span of 6 m and a height to span ratio of 1/20. In addition, 3D FEM models were calibrated with the experimental results, and used for a better understanding of the failure modes. The samples showed a strength between 4.22 and 4.83 times that required for loads of public use. Furthermore, in service situation they showed a stiffness that amply satisfies the usual regulatory requirements, with deflections between 1/664 and 1/770 of the span. In addition, the ultimate deformation was found to be approximately 6.4 times the service deformation, suggesting sufficient ductility for use in building structures. © 2026 The Author(s). Published by Elsevier Ltd on behalf of Institution of Structural Engineers. This is an open access article under the CC BY-NC-ND license. http://creativecommons.org/licenses/by-nc-nd/4.0/</v>
      </c>
      <c r="D108" s="21">
        <v>3</v>
      </c>
      <c r="E108" s="21">
        <v>4</v>
      </c>
      <c r="F108" s="21">
        <v>2</v>
      </c>
      <c r="G108" s="21">
        <v>2</v>
      </c>
      <c r="H108" s="21" t="s">
        <v>3189</v>
      </c>
      <c r="I108" s="21" t="s">
        <v>3190</v>
      </c>
      <c r="J108" s="21">
        <v>0</v>
      </c>
      <c r="K108" s="20" t="s">
        <v>3196</v>
      </c>
      <c r="L108" s="21"/>
      <c r="M108" s="21"/>
      <c r="N108" s="21">
        <f t="shared" si="1"/>
        <v>0</v>
      </c>
    </row>
    <row r="109" spans="1:14" ht="156">
      <c r="A109" s="24"/>
      <c r="B109" s="20" t="str">
        <f>scopus[[#This Row],[Title]]</f>
        <v>Humidity exchange between CLT and UHPC slab in early age period</v>
      </c>
      <c r="C109" s="102" t="str">
        <f>scopus[[#This Row],[Abstract]]</f>
        <v>A plastic insulation layer is used in timber-concrete composite (TCC) floors for preventing humidity exchange between timber and concrete However, the presence of this layer may affect the bond between the two materials and the ability to fill notch-type connectors with a negative effect on connection stiffness (K) and shear strength (VH). This issue is more critical for shallow notch connection in CLT slab. Furthermore, the plastic layer increases assembly time and represents a high indirect cost. As modern ultra-high performance concretes have less water content, this study aims at investigating the water exchange between cross-laminated timber (CLT) and fresh cast-in-place concrete for three classes of concretes: Normal concrete (NC), High-performance concrete (HPC), and Ultra-High-Performance Fiber-Reinforced Concrete (UHPFRC). Besides, different timber's humidity levels were investigated experimentally, and a simplified analytical model was developed for estimating the water amount in exchange for each test combination. The consequences of humidity change in material property were also evaluated. Based on the presented results, possible enhancements of current construction practice for TCC structures are recommended. © WCTE 2021. All rights reserved.</v>
      </c>
      <c r="D109" s="21">
        <v>4</v>
      </c>
      <c r="E109" s="21">
        <v>4</v>
      </c>
      <c r="F109" s="21">
        <v>1</v>
      </c>
      <c r="G109" s="21">
        <v>2</v>
      </c>
      <c r="H109" s="21" t="s">
        <v>3189</v>
      </c>
      <c r="I109" s="21" t="s">
        <v>3192</v>
      </c>
      <c r="J109" s="21">
        <v>0</v>
      </c>
      <c r="K109" s="20"/>
      <c r="L109" s="21"/>
      <c r="M109" s="21"/>
      <c r="N109" s="21">
        <f t="shared" si="1"/>
        <v>0</v>
      </c>
    </row>
    <row r="110" spans="1:14" ht="377">
      <c r="A110" s="24"/>
      <c r="B110" s="20" t="str">
        <f>scopus[[#This Row],[Title]]</f>
        <v>The effects of lamella angle, timber type, and thermal treatment on flexural behavior of CLT panels</v>
      </c>
      <c r="C110" s="102" t="str">
        <f>scopus[[#This Row],[Abstract]]</f>
        <v>Building large-scale structural systems using engineered wooden components rather than solid wood has become possible. Wood has become more frequently used in structural systems in recent years. In recent years, it has become more common to use Cross Laminated Timber (CLT) panels made from laminated wooden components. Using shear wall components made from CLT panels has begun to gain popularity over panel wall systems made of common solid wood components. In standard-produced flooring systems, beams are covered with panels. Flooring systems can be manufactured using only CLT panels with less labor and material. CLT panel systems have become increasingly common in the last ten years. The advantages of these panels have allowed for the production of bigger, multi-story timber constructions. One-way floor elements composed of CLT panels were evaluated under a load of four-point bending to examine failure mechanisms, load-displacement behaviors, initial stiffness, displacement ductility ratios, and energy consumption capacities. The study aimed to determine the effects of several factors on the production of CLT panels, including the lamella angle, the type of wood, and the effect of thermal treatment on the wood. The effects of these variables on the bending behavior and overall performance of CLT panels were investigated. As a result of the study, the heat-treated CLT panel, manufactured from ash wood and with the middle layer positioned at a 45-degree angle to the outer layers, exhibited the best flexural behavior. In CLT panels, the ultimate load capacity, initial stiffness, energy dissipation capacity, and maximum strain measured from the tensile surface of the specimens with a 45° mid-layer angle were 56%, 35%, 90%, and 65% higher, respectively, than those with a 90° angle. The ultimate load capacity, initial stiffness, displacement ductility ratios, energy dissipation capacity, and maximum strain values of CLT panel specimens produced using ash wood were obtained to be 16%, 12%, 111%, 83%, and 16% higher, respectively, than those produced using yellow pine wood. ThermoWood heat-treated CLT panels exhibited ultimate load capacity, initial stiffness, displacement ductility ratios, energy dissipation capacities, and maximum strain values that were 84%, 190%, 225%, 109%, and 50% higher, respectively, than untreated CLT panels. Furthermore, ABAQUS finite element software was used to do numerical analyses on the CLT panel specimens that were put to the test as part of the study. The results obtained from the numerical analysis were compared with the experimental results, and it was evaluated to what extent the finite element models could model the behavior of CLT panels under the effect of bending load. When the results obtained from the numerical analysis study were examined, it was observed that the ultimate load capacity values of one-way unidirectional CLT panels were calculated successfully and in significant agreement with the experimental results. The average difference between the ultimate load capacity values obtained from the numerical analyses and the experimental results was calculated as 9%. © 2026 Taylor &amp; Francis Group, LLC.</v>
      </c>
      <c r="D110" s="21">
        <v>2</v>
      </c>
      <c r="E110" s="21">
        <v>2</v>
      </c>
      <c r="F110" s="21">
        <v>4</v>
      </c>
      <c r="G110" s="21">
        <v>3</v>
      </c>
      <c r="H110" s="21" t="s">
        <v>3192</v>
      </c>
      <c r="I110" s="21" t="s">
        <v>3192</v>
      </c>
      <c r="J110" s="21">
        <v>0</v>
      </c>
      <c r="K110" s="20" t="s">
        <v>3197</v>
      </c>
      <c r="L110" s="21"/>
      <c r="M110" s="21"/>
      <c r="N110" s="21">
        <f t="shared" si="1"/>
        <v>0</v>
      </c>
    </row>
    <row r="111" spans="1:14" ht="156">
      <c r="A111" s="24"/>
      <c r="B111" s="20" t="str">
        <f>scopus[[#This Row],[Title]]</f>
        <v>Life Cycle Regional Economic Impacts of Bridge Repair Using Cross-Laminated Timber Floor Slabs: A Case Study in Akita Prefecture, Japan</v>
      </c>
      <c r="C111" s="102" t="str">
        <f>scopus[[#This Row],[Abstract]]</f>
        <v>Recently, cross-laminated timber (CLT) has attracted attention as a civil engineering material in Japan. In particular, the use of CLT floor slabs for bridge repair is expected to have regional economic impacts throughout their life cycle, but their economic impacts have not been evaluated. In this study, the life cycle regional economic impacts of using non-waterproofed CLT, waterproofed CLT, and reinforced concrete (RC) floor slabs for bridge repair in Akita Prefecture, Japan, were compared. Using past-to-present input–output tables, we quantitatively evaluated the economic impacts over the life cycle of floor slabs by estimating the future input–output tables for construction, maintenance, and disposal. The results showed that the construction and maintenance costs (final demand increase) of CLT floor slabs are higher than those of RC slabs, but the regional economic impact is larger. In addition, the non-waterproofed CLT must be renewed every time it is maintained. Therefore, the demand for CLT production in the prefecture will increase, and the economic impact will be larger than that of the other two floor slabs. This demand for CLT production will not only redound to the benefit of the forestry and wood industry but also the revitalization of regional economies. © 2022 by the authors. Licensee MDPI, Basel, Switzerland.</v>
      </c>
      <c r="D111" s="21">
        <v>4</v>
      </c>
      <c r="E111" s="21">
        <v>3</v>
      </c>
      <c r="F111" s="21">
        <v>2</v>
      </c>
      <c r="G111" s="21">
        <v>1</v>
      </c>
      <c r="H111" s="21" t="s">
        <v>3189</v>
      </c>
      <c r="I111" s="21" t="s">
        <v>3192</v>
      </c>
      <c r="J111" s="21">
        <v>0</v>
      </c>
      <c r="K111" s="20"/>
      <c r="L111" s="21"/>
      <c r="M111" s="21"/>
      <c r="N111" s="21">
        <f t="shared" si="1"/>
        <v>0</v>
      </c>
    </row>
    <row r="112" spans="1:14" ht="234">
      <c r="A112" s="100"/>
      <c r="B112" s="105" t="str">
        <f>scopus[[#This Row],[Title]]</f>
        <v>Comparison of cross-laminated timber and reinforced concrete floors with regard to load-bearing properties</v>
      </c>
      <c r="C112" s="104" t="str">
        <f>scopus[[#This Row],[Abstract]]</f>
        <v>Floors of a building with the relatively new and environmentally sustainable structural material as cross-laminated timber (CLT) and traditional reinforced concrete (RC) are compared in this paper with regard to their load-bearing properties. StruSoft FEM-Design software is utilised to model, analyse and design an existing building using the CLT and RC floors. The building has three stories with a penthouse on the top floor. Modelling, analysis and design of the building can be summarised into five main steps. In step 1, the building with the RC floors is modelled, analysed and designed according to the geometries and specifications of the building. The RC floors of the building are then changed to the CLT floors with the similar thickness and the function of the building is checked for tensile and compressive stresses, utilisation ratio and deflection in step 2. Step 3 involves checking what reinforcing is required for the CLT floors to be approved with about the same thickness as the RC floors. In step 4, it is controlled whether a larger thickness of the CLT floors without reinforcing can withstand the identical conditions of the RC floors. From the obtained results, effects of thickness of the CLT floors and span width are examined. The structural stability of the building with the CLT and RC floors is controlled in step 5. Further, the CLT and RC floors of the building are compared in terms of their stresses, utilisation ratios and weights. The results of this paper demonstrate advantages of using the CLT floors. The CLT floors show good strength properties compared with their low weights. It is uncovered that the building with both of the CLT and RC floors is stable. Obtained results of the building with the CLT and RC floors from the StruSoft FEM-Design software are compared with those from calculations based on Eurocode 2 and Eurocode 5, which reveal good agreements with each other regarding their accuracy. © 2021 by authors, all rights reserved.</v>
      </c>
      <c r="D112" s="103">
        <v>2</v>
      </c>
      <c r="E112" s="103">
        <v>3</v>
      </c>
      <c r="F112" s="103">
        <v>1</v>
      </c>
      <c r="G112" s="103">
        <v>4</v>
      </c>
      <c r="H112" s="103" t="s">
        <v>3192</v>
      </c>
      <c r="I112" s="103" t="s">
        <v>3192</v>
      </c>
      <c r="J112" s="103">
        <v>0</v>
      </c>
      <c r="K112" s="105"/>
      <c r="L112" s="103"/>
      <c r="M112" s="103"/>
      <c r="N112" s="21">
        <f t="shared" si="1"/>
        <v>0</v>
      </c>
    </row>
    <row r="113" spans="1:14" ht="208">
      <c r="A113" s="24"/>
      <c r="B113" s="20" t="str">
        <f>scopus[[#This Row],[Title]]</f>
        <v>Methodological approach to the in-situ monitoring system of cross-laminated timber basement walls</v>
      </c>
      <c r="C113" s="102" t="str">
        <f>scopus[[#This Row],[Abstract]]</f>
        <v>Cross-laminated timber (CLT) is a mass timber product initially developed in Europe as a substitute for concrete slabs and tilt-up walls. Over the past decade, it has been increasingly used in constructing record-breaking tall wood buildings worldwide, primarily as load-bearing wall and floor systems. However, research and applications of CLT in basement construction remain limited, leading to a knowledge gap in in-situ performance monitoring. This paper presents a methodological approach to a monitoring system designed to quantify the engineering performance of CLT panels used as basement walls in a field experiment. The basement, measuring 3 m by 6 m in plan and 2 m deep, was constructed in a cohesive soil site in Edmonton, Canada. A comprehensive monitoring system was developed to measure various parameters, including panel temperature, relative humidity, strain and deflection, soil lateral earth pressure, soil temperature, and water content. Field data were collected from June 2022 to June 2024. The insights gained from this health monitoring system are valuable for future research and practical applications in measuring the mechanical and hygrothermal properties of mass timber materials in large-scale boundary conditions. Results indicate that the moisture content in wood can be estimated using relative humidity and temperature data and that strain gages and linear variable differential transformers effectively capture CLT panels' swelling and shrinking phases under varying humidity conditions. One of the key challenges in monitoring large-scale experiments is selecting the most suitable sensors and determining the optimal locations for their installation. © Springer-Verlag GmbH Germany, part of Springer Nature 2025.</v>
      </c>
      <c r="D113" s="21">
        <v>3</v>
      </c>
      <c r="E113" s="21">
        <v>4</v>
      </c>
      <c r="F113" s="21">
        <v>1</v>
      </c>
      <c r="G113" s="21">
        <v>2</v>
      </c>
      <c r="H113" s="21" t="s">
        <v>3189</v>
      </c>
      <c r="I113" s="21" t="s">
        <v>3190</v>
      </c>
      <c r="J113" s="21">
        <v>0</v>
      </c>
      <c r="K113" s="20"/>
      <c r="L113" s="21"/>
      <c r="M113" s="21"/>
      <c r="N113" s="21">
        <f t="shared" si="1"/>
        <v>0</v>
      </c>
    </row>
    <row r="114" spans="1:14" ht="208">
      <c r="A114" s="24"/>
      <c r="B114" s="20" t="str">
        <f>scopus[[#This Row],[Title]]</f>
        <v>Structural performance of hybrid multi-storey buildings with massive timber-based floor elements loaded under extreme lateral loads</v>
      </c>
      <c r="C114" s="102" t="str">
        <f>scopus[[#This Row],[Abstract]]</f>
        <v>Massive timber plate elements, specifically cross laminated timber (CLT), has gained popularity recently in North America as major alternative construction material for building components offering competitive advantages relative to traditional reinforced concrete slab for medium rise applications. There are two major structural applications for this kind of timber plate, as floor slab or shear wall components of multi-storey buildings. The following study will be focused on the structural performance of hybrid multi-storey buildings constructed using CLT plate as the floor slab elements. The specific objective of this paper is to investigate lateral deformability of floor diaphragm that is composed of CLT slab in combination with reinforced concrete and steel floor framing loaded under seismic excitation. Critical irregular floor layouts of medium rise buildings are selected and modeled using computer structural and building analysis software ETABS. Major outputs including lateral floor deformation (drift), storey shear and dynamic characteristic analyses are analyzed and contrasted with the current design practices, i.e. building code application with respect to diaphragm assumption for seismic design. As in the reinforced concrete-based floor diaphragm, expected general outcome from this study is to provide input for design code provision regarding whether rigid, flexible, or in-between (semi-rigid) assumption of CLT-based diaphragm is adequate for performing design standard procedure for seismic design of hybrid multi-storey buildings. Structural analysis and modeling challenges for CLT-based diaphragm used in hybrid multi-storey buildings are presented and design recommendations will be given. © 2017 WIT Press.</v>
      </c>
      <c r="D114" s="21">
        <v>3</v>
      </c>
      <c r="E114" s="21">
        <v>3</v>
      </c>
      <c r="F114" s="21">
        <v>3</v>
      </c>
      <c r="G114" s="21">
        <v>1</v>
      </c>
      <c r="H114" s="21" t="s">
        <v>3189</v>
      </c>
      <c r="I114" s="21" t="s">
        <v>3192</v>
      </c>
      <c r="J114" s="21">
        <v>0</v>
      </c>
      <c r="K114" s="20" t="s">
        <v>3198</v>
      </c>
      <c r="L114" s="21"/>
      <c r="M114" s="21"/>
      <c r="N114" s="21">
        <f t="shared" si="1"/>
        <v>0</v>
      </c>
    </row>
    <row r="115" spans="1:14" ht="210.75" customHeight="1">
      <c r="A115" s="24"/>
      <c r="B115" s="20" t="str">
        <f>scopus[[#This Row],[Title]]</f>
        <v>Apparent impact sound insulation performance of raised discrete floating assemblies on mass timber floors</v>
      </c>
      <c r="C115" s="102" t="str">
        <f>scopus[[#This Row],[Abstract]]</f>
        <v>Mass timber panels are increasingly used in mass timber and hybrid construction projects for efficient off-site construction. Conventional continuous floating concrete toppings often struggle to achieve an apparent impact insulation class (AIIC) above 55 when tested according to ASTM standards. This study explores the impact sound insulation of raised discrete floating floor assemblies on cross-laminated timber (CLT) and dowel-laminated timber (DLT) floors through experimental testing. The study found that a raised discrete floating floor, constructed using commercially available dry materials such as oriented strand board (OSB), cement board, and gypsum board, significantly improved impact sound isolation and reduced the need for thick concrete layers. Interestingly, increasing the thickness of the floating concrete topping from 38 to 100 mm had minimal effect on sound insulation. Instead, cement boards provided an effective alternative, achieving an AIIC rating of 65 and offering a dry solution for improving sound insulation in timber construction.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v>
      </c>
      <c r="D115" s="21">
        <v>2</v>
      </c>
      <c r="E115" s="21">
        <v>5</v>
      </c>
      <c r="F115" s="21">
        <v>1</v>
      </c>
      <c r="G115" s="21">
        <v>2</v>
      </c>
      <c r="H115" s="21" t="s">
        <v>3189</v>
      </c>
      <c r="I115" s="21" t="s">
        <v>3190</v>
      </c>
      <c r="J115" s="21">
        <v>0</v>
      </c>
      <c r="K115" s="20"/>
      <c r="L115" s="21"/>
      <c r="M115" s="21"/>
      <c r="N115" s="21">
        <f t="shared" si="1"/>
        <v>0</v>
      </c>
    </row>
    <row r="116" spans="1:14" ht="153.75" customHeight="1">
      <c r="A116" s="24"/>
      <c r="B116" s="20" t="str">
        <f>scopus[[#This Row],[Title]]</f>
        <v>CLT-steel composite flooring a sustainable solution for South Africa?</v>
      </c>
      <c r="C116" s="102" t="str">
        <f>scopus[[#This Row],[Abstract]]</f>
        <v>Timber-steel composite flooring systems are being used in many countries around the world and can have numerous advantages for buildings, including reduced structural mass and reduced embodied carbon. Most slab systems in South Africa have traditionally been concrete, but as the CLT (cross laminate timber) starts to become more readily available, it is becoming a viable slab system option. The aim of this paper is to discuss the viability of using CLT-steel composite slab systems for the South African market, using CLT constructed with fast-growing varieties of timber such as South African Pine and Eucalyptus. To this end the properties of CLT constructed from South African Pine and Eucalyptus were tested, as well as the stiffness of composite connectors. The effect of varying the orien-tation of the CLT panel was considered by testing samples both parallel and perpendicular to the grain. © 2025 selection and editorial matter, Alphose Zingoni; individual chapters, the contributors. All rights reserved.</v>
      </c>
      <c r="D116" s="21">
        <v>4</v>
      </c>
      <c r="E116" s="21">
        <v>3</v>
      </c>
      <c r="F116" s="21">
        <v>1</v>
      </c>
      <c r="G116" s="21">
        <v>2</v>
      </c>
      <c r="H116" s="21" t="s">
        <v>3192</v>
      </c>
      <c r="I116" s="21" t="s">
        <v>3192</v>
      </c>
      <c r="J116" s="21">
        <v>0</v>
      </c>
      <c r="K116" s="20"/>
      <c r="L116" s="21"/>
      <c r="M116" s="21"/>
      <c r="N116" s="21">
        <f t="shared" si="1"/>
        <v>0</v>
      </c>
    </row>
    <row r="117" spans="1:14" ht="204" customHeight="1">
      <c r="A117" s="24"/>
      <c r="B117" s="20" t="str">
        <f>scopus[[#This Row],[Title]]</f>
        <v>ASSESSING THE STRUCTURAL BEHAVIOUR OF TIMBER-STEEL COMPOSITE BEAMS USING DISTRIBUTED FIBRE OPTIC SENSORS</v>
      </c>
      <c r="C117" s="102" t="str">
        <f>scopus[[#This Row],[Abstract]]</f>
        <v>This paper presents the results of an experimental program aimed at quantifying the structural behavior of CLT-steel composite beams for the application of timber-steel composite floor systems. In North America and globally, there has been a significant increase in the need for design and construction practices that maximize efficiency and minimize greenhouse gas emissions. This study investigates the use of cross-laminated timber (CLT) in place of conventional concrete in composite floor systems. The goals of this study were to investigate the performance of post-installed shear connections composed of self-tapping screws and to quantify the behaviour of CLT-steel composite beams using distributed sensing technology. To accomplish these objectives, direct shear tests were performed on self-tapping screw shear connections to quantify their load-slip response and failure modes. Full-scale composite beam specimens with self-tapping screw shear connections were then tested under monotonic loading to study their load-slip behaviour, stiffness, ultimate capacity, and governing failure modes. Composite beams were instrumented with distributed fibre optic strain sensors, which allowed for an in-depth analysis of the strain distribution throughout the composite section. Results of this study indicate that CLT-steel composite beams are an efficient and sustainable floor system with a ductile response, and that distributed fibre optic sensors offer unparalleled insight into the behaviour of CLT-steel composite beams. © (2025) WORLD CONFERENCE ON TIMBER ENGINEERING 2025 (WCTE 2025) All rights reserved.</v>
      </c>
      <c r="D117" s="21">
        <v>3</v>
      </c>
      <c r="E117" s="21">
        <v>3</v>
      </c>
      <c r="F117" s="21">
        <v>1</v>
      </c>
      <c r="G117" s="21">
        <v>3</v>
      </c>
      <c r="H117" s="21" t="s">
        <v>3192</v>
      </c>
      <c r="I117" s="21" t="s">
        <v>3192</v>
      </c>
      <c r="J117" s="21">
        <v>0</v>
      </c>
      <c r="K117" s="20"/>
      <c r="L117" s="21"/>
      <c r="M117" s="21"/>
      <c r="N117" s="21">
        <f t="shared" si="1"/>
        <v>0</v>
      </c>
    </row>
    <row r="118" spans="1:14" ht="158.25" customHeight="1">
      <c r="A118" s="24"/>
      <c r="B118" s="20" t="str">
        <f>scopus[[#This Row],[Title]]</f>
        <v>Analysis of acoustic behavior of bare CLT floors for the evaluation of impact sound insulation improvement</v>
      </c>
      <c r="C118" s="102" t="str">
        <f>scopus[[#This Row],[Abstract]]</f>
        <v>Estimation of the impact sound insulation of horizontal partitions, evaluated from the performance of basic components according to EN 12354-2, does not provide satisfactory results when applied to floors made of Cross-Laminated Timber (CLT) elements. One of the most interesting reasons for this limited match between predicted and measured impact noise values is the difficulty of correlating the reduction of the impact sound pressure level of the floor covering, measured in a laboratory on a concrete slab, with the actual behavior on a bare CLT floor. Reported here are the results of laboratory evaluations, independently carried out by various researchers on similar CLT structures. The purpose of this study is to identify the empirical spectrum of the normalized impact sound pressure level of a reference floor made according to CLT technology, to provide a simple and useful tool for estimating the noise insulation performances of this type of building element. © 2017 Acoustical Society of America.</v>
      </c>
      <c r="D118" s="21">
        <v>3</v>
      </c>
      <c r="E118" s="21">
        <v>4</v>
      </c>
      <c r="F118" s="21">
        <v>2</v>
      </c>
      <c r="G118" s="21">
        <v>1</v>
      </c>
      <c r="H118" s="21" t="s">
        <v>3192</v>
      </c>
      <c r="I118" s="21" t="s">
        <v>3192</v>
      </c>
      <c r="J118" s="21">
        <v>0</v>
      </c>
      <c r="K118" s="20"/>
      <c r="L118" s="21"/>
      <c r="M118" s="21"/>
      <c r="N118" s="21">
        <f t="shared" si="1"/>
        <v>0</v>
      </c>
    </row>
    <row r="119" spans="1:14" ht="148.5" customHeight="1">
      <c r="A119" s="24"/>
      <c r="B119" s="20" t="str">
        <f>scopus[[#This Row],[Title]]</f>
        <v>Full-scale static and dynamic experiments of hybrid CLT–concrete composite floor</v>
      </c>
      <c r="C119" s="102" t="str">
        <f>scopus[[#This Row],[Abstract]]</f>
        <v>The Cross-Laminated Timber (CLT) concrete composite floor can successfully address the issues of conventional wood product and become an attractive alternative material for conventional reinforced concrete floors in mid to high-rise building. The purpose of this research was to fully evaluate the capacity of this novel hybrid composite material under both dynamic and static conditions, before such this hybrid system becomes widely employed. This was achieved by performing a full-scale testing of five floor specimens. One specimen was designed according to Eurocode 5 to satisfy the design load for common office buildings, and four specimens were prepared with a concrete topping with different connector types, connector angles, and connector spacing. The test results illustrated that the CLT–concrete floor specimens had excellent structural performance in terms of strength capacity, 3 –5 times higher than the conventional CLT floor. The vibration performances of this composite floors were also enhanced, resulting in a remarkably effective use of this innovative materials. © 2018</v>
      </c>
      <c r="D119" s="21">
        <v>2</v>
      </c>
      <c r="E119" s="21">
        <v>5</v>
      </c>
      <c r="F119" s="21">
        <v>1</v>
      </c>
      <c r="G119" s="21">
        <v>2</v>
      </c>
      <c r="H119" s="21" t="s">
        <v>3192</v>
      </c>
      <c r="I119" s="21" t="s">
        <v>3192</v>
      </c>
      <c r="J119" s="21">
        <v>0</v>
      </c>
      <c r="K119" s="20"/>
      <c r="L119" s="21"/>
      <c r="M119" s="21"/>
      <c r="N119" s="21">
        <f t="shared" si="1"/>
        <v>0</v>
      </c>
    </row>
    <row r="120" spans="1:14" ht="191.25" customHeight="1">
      <c r="A120" s="24"/>
      <c r="B120" s="20" t="str">
        <f>scopus[[#This Row],[Title]]</f>
        <v>COMPARISON OF WIND INDUCED RESPONSE OF HIGH-RISE BUILDINGS WITH REINFORCED CONCRETE AND CROSS LAMINATED TIMBER</v>
      </c>
      <c r="C120" s="102" t="str">
        <f>scopus[[#This Row],[Abstract]]</f>
        <v>The main objective of this paper is to examine the wind-induced structural response of high–rise buildings constructed in the Kingdom of Saudi Arabia using reinforced concrete and lightweight cross-laminated timber (CLT) floor systems. Two major analyses were performed on two regular reinforced concrete (RC) buildings of 200 m height located in Dhahran and Jeddah. In the first instance, numerical simulations to obtain wind induced displacements and accelerations were conducted using computer software ETABS, SAP2000 and analytical model derived from building code. Then, another simulation of the building models was performed under similar wind conditions and same design criteria but by replacing the RC slabs of the buildings by cross laminated slabs. The wind data used for simulation was based on hourly wind data collection for the last 11 years (2009 – 2019). The results revealed higher story drift for both floor systems, whenever the wind speed is higher. The comparative analysis of the wind induced structural responses of traditional RC and CLT slabs showed greater accelerations at the top of the buildings with CLT floor system. However, the usage of CLT slab seems to be more feasible in the KSA considering adjusting designing lighter beam, column, and shear wall elements due to inherent CLT lightness. © 2022 ISEC Press.</v>
      </c>
      <c r="D120" s="21">
        <v>4</v>
      </c>
      <c r="E120" s="21">
        <v>2</v>
      </c>
      <c r="F120" s="21">
        <v>2</v>
      </c>
      <c r="G120" s="21">
        <v>2</v>
      </c>
      <c r="H120" s="21" t="s">
        <v>3192</v>
      </c>
      <c r="I120" s="21" t="s">
        <v>3192</v>
      </c>
      <c r="J120" s="21">
        <v>0</v>
      </c>
      <c r="K120" s="20"/>
      <c r="L120" s="21"/>
      <c r="M120" s="21"/>
      <c r="N120" s="21">
        <f t="shared" si="1"/>
        <v>0</v>
      </c>
    </row>
    <row r="121" spans="1:14" ht="258" customHeight="1">
      <c r="A121" s="24"/>
      <c r="B121" s="20" t="str">
        <f>scopus[[#This Row],[Title]]</f>
        <v>Flexural behavior of adhesively bonded cross-laminated timber-concrete composite (TCC) panel with glass-fiber textile mesh as reinforcement in concrete: Experimental studying and numerical simulation</v>
      </c>
      <c r="C121" s="102" t="str">
        <f>scopus[[#This Row],[Abstract]]</f>
        <v>Timber-concrete composite (TCC) structures offer higher stiffness and loading capacity compared to pure timber structures with similar dimensions. A more rigid adhesive interface between concrete and timber offers advantages over conventional connections (e.g., mechanical fasteners and notches) by ensuring strain compatibility between the two materials. Fiber-based textiles, such as alkali-resistant (AR) glass fiber fabric, provide electrochemical corrosion resistance when used as reinforcement in concrete. An innovative composite floor system was introduced in this study, comprising cross-laminated timber (CLT) and reinforced concrete embedded with lightweight AR glass textile reinforcement, rigidly bonded together through epoxy adhesive bonding. A comprehensive investigation on the flexural behavior of this composite structure panel was conducted. Instrumentation, like digital image correlation (DIC) and optical fiber sensors, was employed to record strain distribution and development during four-point bending tests on those panels. A nonlinear numerical model was developed to predict the flexural behavior of the panels using continuum damage evolution for timber, concrete damage plasticity (CDP) model, and cohesive contact behavior between timber layers, considering the non-glue edge in the transverse layer. Experimental results showed that the failure predominantly occurred in the transverse layer of the CLT in the TCC panels. Employing glass fabric reinforcement within the CLT-constituted TCC led to an increase in loading bearing capacity. Numerical simulation indicated that textile reinforcement embedded within TCC's concrete counteracted localized concrete tensile failure, preserving structural integrity, delaying cohesive failure between planks in CLT, and consequently amplifying ultimate loading capacity of TCC structure. © 2025 The Authors</v>
      </c>
      <c r="D121" s="21">
        <v>3</v>
      </c>
      <c r="E121" s="21">
        <v>2</v>
      </c>
      <c r="F121" s="21">
        <v>4</v>
      </c>
      <c r="G121" s="21">
        <v>0</v>
      </c>
      <c r="H121" s="21" t="s">
        <v>3192</v>
      </c>
      <c r="I121" s="21" t="s">
        <v>3192</v>
      </c>
      <c r="J121" s="21">
        <v>0</v>
      </c>
      <c r="K121" s="20" t="s">
        <v>3199</v>
      </c>
      <c r="L121" s="21"/>
      <c r="M121" s="21"/>
      <c r="N121" s="21">
        <f t="shared" si="1"/>
        <v>0</v>
      </c>
    </row>
    <row r="122" spans="1:14" ht="208">
      <c r="A122" s="24"/>
      <c r="B122" s="20" t="str">
        <f>scopus[[#This Row],[Title]]</f>
        <v>Influence of the inclination angle of self-tapping screws on the fire performance of CLT-concrete composite floor slabs</v>
      </c>
      <c r="C122" s="102" t="str">
        <f>scopus[[#This Row],[Abstract]]</f>
        <v>In this study, four full-size slab-type timber-concrete composite (TCC) floor assemblies were experimentally examined under standard fire exposure. The main objectives of the study are to investigate the influence of the inclination angles of the self-tapping screws (STS) utilized as shear connectors on the fire performance of TCC floor slabs, achieve a 2-h fire resistance as a result of the composite action between a supporting cross-laminated timber (CLT) panel and a top concrete layer, and ultimately verify the residual strength of the TCC slabs after 2-h standard fire exposure. Each slab specimen comprises a 143-mm thick, 5-ply CLT panel topped with a 90-mm thick normal-strength concrete layer. The overall dimensions of each test assembly were 5300 mm long and 900 mm wide, with a 5000 mm clear span. Screws were installed following the shear flow direction at two different inclination angles (i.e., 30° and 45°), with each specimen duplicated. TCC floor assemblies were exposed to elevated temperatures following the CAN/ULC-S101 standard fire time-temperature curve while subjected to four-point flexure. The experimental results show that all test assemblies surpassed the 2-h fire resistance time with an average residual wood thickness of 48 mm. However, after 2 h of standard fire exposure, the 30° STS installation angle resulted in better performance of the TCC floor slabs with lower midspan deflections than a 45° installation angle. In addition, the residual strength tests conducted after the 2-h standard fire exposure show that a TCC floor slab with STS installed at 30° may produce an ultimate moment as much as 12 % greater than when the STS are installed at 45°. © 2025 The Authors</v>
      </c>
      <c r="D122" s="21">
        <v>3</v>
      </c>
      <c r="E122" s="21">
        <v>3</v>
      </c>
      <c r="F122" s="21">
        <v>1</v>
      </c>
      <c r="G122" s="21">
        <v>2</v>
      </c>
      <c r="H122" s="21" t="s">
        <v>3192</v>
      </c>
      <c r="I122" s="21" t="s">
        <v>3192</v>
      </c>
      <c r="J122" s="21">
        <v>0</v>
      </c>
      <c r="K122" s="20"/>
      <c r="L122" s="21"/>
      <c r="M122" s="21"/>
      <c r="N122" s="21">
        <f t="shared" si="1"/>
        <v>0</v>
      </c>
    </row>
    <row r="123" spans="1:14" ht="195">
      <c r="A123" s="24"/>
      <c r="B123" s="20" t="str">
        <f>scopus[[#This Row],[Title]]</f>
        <v>Apparent impact sound insulation performance of cross laminated timber floors with floating concrete toppings</v>
      </c>
      <c r="C123" s="102" t="str">
        <f>scopus[[#This Row],[Abstract]]</f>
        <v>Mass timber buildings are gaining increasing popularity as a sustainable alternative to concrete and steel structures. Mass timber panels, especially cross-laminated timber (CLT), are often used as floors due to their dry and fast construction. CLT has poor impact sound insulation performance due to its lightweight and relatively high bending stiffness. Floating concrete toppings are often applied to increase both the airborne and impact sound insulation performance. However, the impact sound insulation performance of floating concrete toppings on CLT structural floors is affected by both the concrete thickness and resilient interlayer. This study investigated the efficiency of both continuous and discrete floating floor assemblies through mock-up building tests using small-scale concrete toppings according to ASTM E1007-16. It was found that the improvements by continuous floating floor assemblies are dependent on the concrete thicknesses and dynamic stiffness of resilient interlayers. Usually, thicker concrete mass topping and low dynamic stiffness elastic interlayers provide better improvement on single number ratings. The highest apparent impact sound insulation class (AIIC) achieved with continuous floating floor assemblies in this study was 53 dBA, while that of the discrete floating floor assemblies was up to 62 dBA. The discrete floating floor solution showed great potential for use in mass timber buildings due to its high performance with thinner concrete toppings. The impact sound improvements by floating concrete floors cannot be well predicted by the equations developed for concrete structural floors. © INTER-NOISE 2021 .All right reserved.</v>
      </c>
      <c r="D123" s="21">
        <v>3</v>
      </c>
      <c r="E123" s="21">
        <v>4</v>
      </c>
      <c r="F123" s="21">
        <v>1</v>
      </c>
      <c r="G123" s="21">
        <v>1</v>
      </c>
      <c r="H123" s="21" t="s">
        <v>3192</v>
      </c>
      <c r="I123" s="21" t="s">
        <v>3192</v>
      </c>
      <c r="J123" s="21">
        <v>0</v>
      </c>
      <c r="K123" s="20"/>
      <c r="L123" s="21"/>
      <c r="M123" s="21"/>
      <c r="N123" s="21">
        <f t="shared" si="1"/>
        <v>0</v>
      </c>
    </row>
    <row r="124" spans="1:14" ht="182">
      <c r="A124" s="24"/>
      <c r="B124" s="20" t="str">
        <f>scopus[[#This Row],[Title]]</f>
        <v>Evaluation of vibration properties of an 18-story mass timber–concrete hybrid building by on-site vibration tests</v>
      </c>
      <c r="C124" s="102" t="str">
        <f>scopus[[#This Row],[Abstract]]</f>
        <v>Timber–concrete hybrid structural systems are a practical option to provide tall mass timber buildings with a lateral load-resisting system. This paper discusses the dynamic behavior of an 18-story timber–concrete hybrid building based on the vibration properties evaluated by on-site vibration tests. First, microtremor measurements and human-powered excitation tests were carried out and the obtained vibration data were analyzed using a stochastic subspace identification method to derive natural frequencies, damping ratios, and mode shapes. Then, a finite-element (FE) model was developed based on detailed structural design information, and its eigenvalues and eigenvectors were compared with the test results. The vibration test results showed various mode shapes, including in-plane deformation of the floor diaphragm composed of cross-laminated timber (CLT) panels. The damping ratios in all the modes were scattered between 1 and 3%, and no frequency dependency was observed. The modal properties of the FE model agreed well with the test results by considering the additional stiffness of non-structural components. In order to simulate the in-plane deformation of the CLT floor diaphragm, detailed modeling of the connection between each CLT floor panel and the connection between CLT floor panels and concrete cores is recommended. The findings provide practitioners with an insight into dynamic properties and FE modeling methods of tall timber–concrete hybrid buildings. © The Author(s) 2024.</v>
      </c>
      <c r="D124" s="21">
        <v>3</v>
      </c>
      <c r="E124" s="21">
        <v>2</v>
      </c>
      <c r="F124" s="21">
        <v>1</v>
      </c>
      <c r="G124" s="21">
        <v>3</v>
      </c>
      <c r="H124" s="21" t="s">
        <v>3192</v>
      </c>
      <c r="I124" s="21" t="s">
        <v>3192</v>
      </c>
      <c r="J124" s="21">
        <v>0</v>
      </c>
      <c r="K124" s="20"/>
      <c r="L124" s="21"/>
      <c r="M124" s="21"/>
      <c r="N124" s="21">
        <f t="shared" si="1"/>
        <v>0</v>
      </c>
    </row>
    <row r="125" spans="1:14" ht="156">
      <c r="A125" s="24"/>
      <c r="B125" s="20" t="str">
        <f>scopus[[#This Row],[Title]]</f>
        <v>Mortise-and-tenon joinery for modern timber construction: Quantifying the embodied carbon of an alternative structural connection</v>
      </c>
      <c r="C125" s="102" t="str">
        <f>scopus[[#This Row],[Abstract]]</f>
        <v>The mass timber industry offers a compelling pathway for low-carbon structural systems in buildings, replacing carbon-intensive materials like concrete and steel with sustainably forested wood. However, conventional structural connections in mass timber construction are largely made of metallic materials, such as screws, nails, and plates. In contrast, joinery, or geometrically interlocking all-timber connections, is globally prevalent in historic timber construction. This paper investigates the potential of applying joinery, specifically the “Nuki” mortise-and-tenon joinery connection, to contemporary mass timber construction from perspectives of structural behavior and carbon savings. Considering single spans supporting one-way cross-laminated timber (CLT) floor systems at the mid-rise residential scale, carbon savings ranging from 7 to 40% are possible at the beam-joint scale by using Nuki joints instead of steel concealed beam hangers, a more conventional mass timber connection. While these savings are smaller at the building scale, the paper nevertheless demonstrates a methodology and results for quantitatively comparing the scale of savings achieved by implementing this historic but contemporarily alternative connection type. © The Author(s), under exclusive licence to Springer Nature Switzerland AG 2021.</v>
      </c>
      <c r="D125" s="21">
        <v>2</v>
      </c>
      <c r="E125" s="21">
        <v>4</v>
      </c>
      <c r="F125" s="21">
        <v>1</v>
      </c>
      <c r="G125" s="21">
        <v>1</v>
      </c>
      <c r="H125" s="21" t="s">
        <v>3192</v>
      </c>
      <c r="I125" s="21" t="s">
        <v>3192</v>
      </c>
      <c r="J125" s="21">
        <v>0</v>
      </c>
      <c r="K125" s="20"/>
      <c r="L125" s="21"/>
      <c r="M125" s="21"/>
      <c r="N125" s="21">
        <f t="shared" si="1"/>
        <v>0</v>
      </c>
    </row>
    <row r="126" spans="1:14" ht="143">
      <c r="A126" s="24"/>
      <c r="B126" s="20" t="str">
        <f>scopus[[#This Row],[Title]]</f>
        <v>Comparison of the direct sound insulation for wooden joist, CLT and timber hollow box floors</v>
      </c>
      <c r="C126" s="102" t="str">
        <f>scopus[[#This Row],[Abstract]]</f>
        <v>Timber buildings are now present worldwide, and their market is growing rapidly, pushed by sustainability and environmental arguments. Several technological options for engineered wood systems are available and well developed, the most common being wooden joist, CLT and timber hollow box. In this paper, we present a comparative study of impact sound insulation of the three options. The analysis is based on data collected from laboratory measurements. The results include the comparison of the bare floor construction and examples of assemblies with additional floating floor, suspended ceiling or a combination of the two. We identify the characteristic trends and highlight the effect of selected parameters as for instance mass per unit area, assembly thickness and properties of the resilient layers. The comparison attempts to show the constructive consequences of the different options on the sound insulation properties. It could help selecting the most suitable floor system in future projects and contribute making timber construction more efficient and affordable. © 2022 Internoise 2022 - 51st International Congress and Exposition on Noise Control Engineering. All rights reserved.</v>
      </c>
      <c r="D126" s="21">
        <v>3</v>
      </c>
      <c r="E126" s="21">
        <v>2</v>
      </c>
      <c r="F126" s="21">
        <v>1</v>
      </c>
      <c r="G126" s="21">
        <v>2</v>
      </c>
      <c r="H126" s="21" t="s">
        <v>3192</v>
      </c>
      <c r="I126" s="21" t="s">
        <v>3192</v>
      </c>
      <c r="J126" s="21">
        <v>0</v>
      </c>
      <c r="K126" s="20"/>
      <c r="L126" s="21"/>
      <c r="M126" s="21"/>
      <c r="N126" s="21">
        <f t="shared" si="1"/>
        <v>0</v>
      </c>
    </row>
    <row r="127" spans="1:14" ht="273">
      <c r="A127" s="24"/>
      <c r="B127" s="20" t="str">
        <f>scopus[[#This Row],[Title]]</f>
        <v>Reliability framework for CLT floors in out-of-plane bending using Monte Carlo simulation</v>
      </c>
      <c r="C127" s="102" t="str">
        <f>scopus[[#This Row],[Abstract]]</f>
        <v>Sustainably sourced engineered wood products (EWP) such as cross-laminated timber (CLT) floor panels are viable alternatives to conventional concrete and steel, however their inherent natural variability increases perceived risks and limits wide-spread adoption. The reliability index (β) is the metric used by design standards to communicate allowable structural risk. Although not included directly in any structural capacity equations, it governs all the partial resistance factors and load amplification factors that inform those design code calculations. CLT floors have significant partial resistance factors due to the natural variability of the material that effectively penalise the calculated design strength of those products. By exploring their reliability there is the potential to allow these products to be designed more efficiently, leading to increased competitiveness among traditional materials and less waste. A novel statistical capacity prediction model that goes beyond a simple averaged-value strength assumption to include consideration of the variability between individual boards within a panel was validated against experimental data. A CLT database of 237 out-of-plane bending test results was collected for the first time to inform an appropriate model error factor. Monte Carlo simulation (MCS) approaches were adopted to predict the reliability levels of CLT panels by defining the material, geometrical and loading parameters as random variables and assigning each a mean, coefficient of variation and appropriate distribution. The target and calculated reliability levels were compared across both Eurocode 5 and the North American codes ANSI/APA PRG 320 and CSA O86 as the preeminent CLT design codes internationally. This study found that the calculated reliability levels met or exceeded both codes in most scenarios. The impacts of width, load ratio, material strength distribution, and CLT layups on the expected failure probabilities were explored with sensitivity analyses. The MCS framework was also applied to the calibration of an appropriate resistance factor for CLT design to inform the potential creation of an Australian CLT design code. A resistance factor of 0.85 was calibrated which falls between the equivalent European and North American code resistance factors. © 2024 The Authors</v>
      </c>
      <c r="D127" s="21">
        <v>3</v>
      </c>
      <c r="E127" s="21">
        <v>3</v>
      </c>
      <c r="F127" s="21">
        <v>1</v>
      </c>
      <c r="G127" s="21">
        <v>1</v>
      </c>
      <c r="H127" s="21" t="s">
        <v>3192</v>
      </c>
      <c r="I127" s="21" t="s">
        <v>3192</v>
      </c>
      <c r="J127" s="21">
        <v>0</v>
      </c>
      <c r="K127" s="20"/>
      <c r="L127" s="21"/>
      <c r="M127" s="21"/>
      <c r="N127" s="21">
        <f t="shared" si="1"/>
        <v>0</v>
      </c>
    </row>
    <row r="128" spans="1:14" ht="208">
      <c r="A128" s="24"/>
      <c r="B128" s="20" t="str">
        <f>scopus[[#This Row],[Title]]</f>
        <v>Analysis of Seismic Responses and Vibration Serviceability in a High-Rise Timber–Concrete Hybrid Building</v>
      </c>
      <c r="C128" s="102" t="str">
        <f>scopus[[#This Row],[Abstract]]</f>
        <v>Timber–concrete hybrid structures are commonly employed in multi-story timber buildings; however, further research is necessary to fully understand the seismic performance of these structures as well as the dynamic properties of the floor. The two dynamic concerns, seismic effects and the vibration of floors in hybrid structures, are key issues, in view of which this study aimed to investigate the small-seismic-response spectra and elastic time histories in a high-rise timber hybrid building, specifically the medical technology building of Jiangsu Provincial Rehabilitation Hospital in China. The dynamic characteristics of a localized cross-laminated timber (CLT) floor were tested in situ, and the impacts of human-induced vibration were quantified. Comprehensive theoretical analysis results reveal that the basic vibration pattern of the structure was mainly translational in nature and that the period ratio, inter-story displacement angle, and shear-to-weight ratio all met the demands of the Chinese timber building design code. The experimental test results show that the vertical natural frequency of the CLT floor was about 15.96 Hz and thus met appropriate requirements with respect to natural frequency. However, peak floor acceleration was found to be high under the conditions of a single person walking quickly, a single person trotting, and multiple persons walking randomly. In light of these findings, the floor should be paved with a fine-grained concrete building surface, according to design requirements, so that its serviceability might be improved. Overall, the relevant analytical methods presented in this paper provide guidance and practical reference for the seismic analysis of timber hybrid structures, as well as vibration serviceability analysis for CLT floors. © 2024 by the authors.</v>
      </c>
      <c r="D128" s="21">
        <v>2</v>
      </c>
      <c r="E128" s="21">
        <v>3</v>
      </c>
      <c r="F128" s="21">
        <v>1</v>
      </c>
      <c r="G128" s="21">
        <v>1</v>
      </c>
      <c r="H128" s="21" t="s">
        <v>3192</v>
      </c>
      <c r="I128" s="21" t="s">
        <v>3192</v>
      </c>
      <c r="J128" s="21">
        <v>0</v>
      </c>
      <c r="K128" s="20"/>
      <c r="L128" s="21"/>
      <c r="M128" s="21"/>
      <c r="N128" s="21">
        <f t="shared" si="1"/>
        <v>0</v>
      </c>
    </row>
    <row r="129" spans="1:14" ht="221">
      <c r="A129" s="24"/>
      <c r="B129" s="20" t="str">
        <f>scopus[[#This Row],[Title]]</f>
        <v>Experimental Testing of the Shear Strength of CLT-Concrete Composite Sections Utilizing Adhesive for Shear Connections</v>
      </c>
      <c r="C129" s="102" t="str">
        <f>scopus[[#This Row],[Abstract]]</f>
        <v>Timber-Concrete Composite (TCC) floor systems are increasingly being used in tall mass timber buildings worldwide. In such floor composite systems, the advantageous mechanical properties of both materials (timber and concrete) are efficiently utilized. The shear connections in TCC systems can be achieved using either discrete or continuous shear connectors that are located where the maximum shear forces are expected. The primary technique of shear connections in TCC systems is a wide variety of metal connectors, grooved connections, and adhesive connections. Usually, TCC systems with adhesive connections can be produced in two ways: cured concrete slabs can be glued to mass timber panels and then shipped to construction sites; or more advantageously a wet-on-wet process can be used. In the study presented in this paper, the shear characteristics of CLT-Concrete composite sections that utilized adhesive for shear connections have been experimentally investigated. The wet-on-wet process using a commercially available industrial adhesive was applied to fabricate four identical composite sections, each with 600 × 1000 mm shear interface between the CLT panel and concrete layer. Test specimens were experimentally examined under direct shear forces until failure. Experimental results show that all test specimens failed due to crushing of the loaded edge of the CLT panel as there was almost no slip at the interface between the CLT panel and concrete layer occurred in any of the four specimens. Outcomes of this experimental study confirmed the assumption of the rigid connection between the CLT panel and concrete layer in such TCC glued sections as all four specimens were able to attain more than 530 kN load without any shear interface failure observed. © 2022, Canadian Society for Civil Engineering.</v>
      </c>
      <c r="D129" s="21">
        <v>2</v>
      </c>
      <c r="E129" s="21">
        <v>3</v>
      </c>
      <c r="F129" s="21">
        <v>1</v>
      </c>
      <c r="G129" s="21">
        <v>1</v>
      </c>
      <c r="H129" s="21" t="s">
        <v>3192</v>
      </c>
      <c r="I129" s="21" t="s">
        <v>3192</v>
      </c>
      <c r="J129" s="21">
        <v>0</v>
      </c>
      <c r="K129" s="20"/>
      <c r="L129" s="21"/>
      <c r="M129" s="21"/>
      <c r="N129" s="21">
        <f t="shared" si="1"/>
        <v>0</v>
      </c>
    </row>
    <row r="130" spans="1:14" ht="156">
      <c r="A130" s="24"/>
      <c r="B130" s="20" t="str">
        <f>scopus[[#This Row],[Title]]</f>
        <v>Optimizing composite floors for sustainability and efficiency: Cross laminated timber, concrete types, and ductile notch connectors with enhanced shape</v>
      </c>
      <c r="C130" s="102" t="str">
        <f>scopus[[#This Row],[Abstract]]</f>
        <v>Timber-concrete composite (TCC) structures allow designing efficient building floors in terms of lightness, slenderness, and acoustic insulation. The late development of ductile notch connectors has further advanced TCC structures. This work aims to further optimize the shape of ductile notch connections and to optimally design TCC floors with minimum embodied carbon, floor thickness, self-weight and cost. Firstly, an experimental campaign was carried out to characterize the shear behavior of ductile notch connectors with different shapes, which varied from rectangular to trapezoidal to avoid the use of screws, and concrete types, which varied from normal concrete to ultra-high performance fiber reinforced concrete. For the sake of comparison, a glued connection was also considered. Then, a multi-criteria optimization method was performed to optimally design TCC floor with the developed notch connectors and concrete types. The latest design recommendations for TCC floors developed in Canada were considered. A Non-Linear Finite Element Analysis (NLFEA) was carried out for validation. The presented results push the current design limits in terms of embodied carbon and volume of construction materials towards climate-positive floors. © 2023 The Authors</v>
      </c>
      <c r="D130" s="21">
        <v>2</v>
      </c>
      <c r="E130" s="21">
        <v>2</v>
      </c>
      <c r="F130" s="21">
        <v>1</v>
      </c>
      <c r="G130" s="21">
        <v>1</v>
      </c>
      <c r="H130" s="21" t="s">
        <v>3189</v>
      </c>
      <c r="I130" s="21" t="s">
        <v>3192</v>
      </c>
      <c r="J130" s="21">
        <v>0</v>
      </c>
      <c r="K130" s="20"/>
      <c r="L130" s="21"/>
      <c r="M130" s="21"/>
      <c r="N130" s="21">
        <f t="shared" ref="N130:N193" si="2">SUM(D130:G130)*J130</f>
        <v>0</v>
      </c>
    </row>
    <row r="131" spans="1:14" ht="273">
      <c r="A131" s="24"/>
      <c r="B131" s="20" t="str">
        <f>scopus[[#This Row],[Title]]</f>
        <v>Risk-based wind design of tall mass-timber buildings</v>
      </c>
      <c r="C131" s="102" t="str">
        <f>scopus[[#This Row],[Abstract]]</f>
        <v>The rapid growth of urban population and the associated environmental concerns are partly influencing city planners and construction stakeholders to consider "Sustainable Urbanization" alternatives. In this regard, recent urban design strategies are entertaining the use of"tall timber buildings". Generally, tall mass-timber buildings (MTBs) utilize pre-engineered wood panels to form their main gravity and lateral load resisting systems, which makes them lighter and more flexible than buildings made from concrete, masonry or steel. As a result, frequent exposure to excessive wind induced vibrations can cause occupant discomfort and possible inhabitability of the buildings. This paper attempts to apply a risk-based procedure to design a 102 meter tall MTB by adapting and extending the Alan G. Davenport Wind Loading Chain as a probabilistic performance-based wind engineering framework. The structural systems of the study building are composed of Cross Laminated Timber (CLT) shear walls, CLT floors, glulam columns and reinforced-concrete link beams. Initially, aerodynamic wind tunnel tests were carried out at the Boundary Layer Wind Tunnel Laboratory of Western University on the 1:200 scale MTB model to obtain transient wind loads. Subsequently, using the wind tunnel data, the study MTB was structurally designed. In the risk-based performance assessment, uncertainties were incorporated at each step of the Wind Loading Chain, i.e., local wind, exposure, aerodynamics, dynamic effects, and criteria. These uncertainties were explicitly modeled as random variables. Dynamic structural analyses were carried out in the frequency-domain to include the amplification due to the resonance component of the excitation. Structural reliability analysis through Monte Carlo sampling was used to propagate the uncertainties through the Wind Loading Chain to quantify the risk of inhabitability and excessive deflection. The results of reliability analysis were used to develop fragility curves for wind vulnerability estimations. Based on the results, the effects of various uncertainties are discussed, and risk-based design decisions are forwarded. © 6th International Structural Specialty Conference 2018, Held as Part of the Canadian Society for Civil Engineering Annual Conference 2018. All rights reserved.</v>
      </c>
      <c r="D131" s="21">
        <v>3</v>
      </c>
      <c r="E131" s="21">
        <v>1</v>
      </c>
      <c r="F131" s="21">
        <v>1</v>
      </c>
      <c r="G131" s="21">
        <v>1</v>
      </c>
      <c r="H131" s="21" t="s">
        <v>3192</v>
      </c>
      <c r="I131" s="21" t="s">
        <v>3192</v>
      </c>
      <c r="J131" s="21">
        <v>0</v>
      </c>
      <c r="K131" s="20"/>
      <c r="L131" s="21"/>
      <c r="M131" s="21"/>
      <c r="N131" s="21">
        <f t="shared" si="2"/>
        <v>0</v>
      </c>
    </row>
    <row r="132" spans="1:14" ht="195">
      <c r="A132" s="24"/>
      <c r="B132" s="20" t="str">
        <f>scopus[[#This Row],[Title]]</f>
        <v>STRUCTURAL LIMITATIONS IN THE USE OF EARTHQUAKE-RESISTANT PROPRIETARY CONNECTIONS IN MULTI-STOREY CLT BUILDINGS: A MULTI-PARAMETRIC NUMERICAL STUDY</v>
      </c>
      <c r="C132" s="102" t="str">
        <f>scopus[[#This Row],[Abstract]]</f>
        <v>Cross-Laminated timber (CLT) structures have gained popularity in the last two decades thanks to the evolution of timber and connection technologies that aims to reach ever taller buildings. Nowadays mid-rise and high-rise CLT construction, thanks their seismic performance, represent a sustainable alternative to buildings realized with traditional building materials (e.g., steel and concrete). Connections have a crucial role in seismic behaviour of CLT buildings by means a right assurance of ductility and dissipative capacity of the entire system which guarantee the application of the capacity design roles in design stage. This paper analyses the structural limitations of earthquake-resistant proprietary connections (e.g. hold-downs, angle brackets) used in multi-story CLT building. A multi-parametric analysis on selected CLT building was performed paying particular attention to the characterisation of the connections used in the numerical modelling. The influence of different parameters, such as: seismic intensity, number of floors and values of the total shear-walls length per floor unit area was assessed by means of a non-linear elastic analysis. Results of numerical simulations carried out on different configurations or archetype were compared in terms of shear forces affecting the CLT shear-walls in the ground floor. Results obtained in this works provide an important insight for both academics and practicing engineers, showing how the structural limitations of the proprietary earthquake-resistant connections systems affected the seismic behaviour of CLT buildings. © 2024, International Association for Earthquake Engineering. All rights reserved.</v>
      </c>
      <c r="D132" s="21">
        <v>2</v>
      </c>
      <c r="E132" s="21">
        <v>2</v>
      </c>
      <c r="F132" s="21">
        <v>1</v>
      </c>
      <c r="G132" s="21">
        <v>0</v>
      </c>
      <c r="H132" s="21" t="s">
        <v>3192</v>
      </c>
      <c r="I132" s="21" t="s">
        <v>3192</v>
      </c>
      <c r="J132" s="21">
        <v>0</v>
      </c>
      <c r="K132" s="20"/>
      <c r="L132" s="21"/>
      <c r="M132" s="21"/>
      <c r="N132" s="21">
        <f t="shared" si="2"/>
        <v>0</v>
      </c>
    </row>
    <row r="133" spans="1:14" ht="169">
      <c r="A133" s="24"/>
      <c r="B133" s="20" t="str">
        <f>scopus[[#This Row],[Title]]</f>
        <v>Floor airborne and impact sound insulation performance of cross laminated timber vs. timber joist and concrete systems</v>
      </c>
      <c r="C133" s="102" t="str">
        <f>scopus[[#This Row],[Abstract]]</f>
        <v>Cross laminated timber (CLT) is a modern building material which is gaining increasing application in Australian and New Zealand building developments. It is used as a structural wall and floor element, and has certain advantages over traditional building methods utilising concrete floors, particularly relating to the speed with which CLT structures can be constructed on-site. One disadvantage of CLT is that the base timber floor panel has less mass per square meter than concrete. Therefore, CLT typically requires additional layers of material (ceilings and raised floors) to achieve airborne and impact sound insulation performance similar to that of concrete floors and, indeed, to meet Building Code requirements. This paper explores a range of on-site test results obtained from two similar CLT apartment buildings. Standard airborne and impact sound insulation results (DnT,w, FSTC, LnT,w and FIIC) are presented, as well as heavy impact results obtained using a “Japanese ball drop” method (LiA,Fmax) to assess the low-frequency performance of the CLT floors. Various flooring upgrades were tested with the aim of improving the sound insulation performance of the floors. Test results from other apartment buildings with a mixture of concrete floors and timber joist floors are also presented and compared to the CLT floor results. © 2019 Australian Acoustical Society Annual Conference, AAS 2018. All rights reserved.</v>
      </c>
      <c r="D133" s="21">
        <v>0</v>
      </c>
      <c r="E133" s="21">
        <v>0</v>
      </c>
      <c r="F133" s="21">
        <v>0</v>
      </c>
      <c r="G133" s="21">
        <v>0</v>
      </c>
      <c r="H133" s="21" t="s">
        <v>3192</v>
      </c>
      <c r="I133" s="21" t="s">
        <v>3192</v>
      </c>
      <c r="J133" s="21">
        <v>0</v>
      </c>
      <c r="K133" s="20"/>
      <c r="L133" s="21"/>
      <c r="M133" s="21"/>
      <c r="N133" s="21">
        <f t="shared" si="2"/>
        <v>0</v>
      </c>
    </row>
    <row r="134" spans="1:14">
      <c r="A134" s="24"/>
      <c r="B134" s="20"/>
      <c r="C134" s="102"/>
      <c r="D134" s="21"/>
      <c r="E134" s="21"/>
      <c r="F134" s="21"/>
      <c r="G134" s="21"/>
      <c r="H134" s="21"/>
      <c r="I134" s="21"/>
      <c r="J134" s="21"/>
      <c r="K134" s="20"/>
      <c r="L134" s="21"/>
      <c r="M134" s="21"/>
      <c r="N134" s="21">
        <f t="shared" si="2"/>
        <v>0</v>
      </c>
    </row>
    <row r="135" spans="1:14">
      <c r="A135" s="24"/>
      <c r="B135" s="20"/>
      <c r="C135" s="102"/>
      <c r="D135" s="21"/>
      <c r="E135" s="21"/>
      <c r="F135" s="21"/>
      <c r="G135" s="21"/>
      <c r="H135" s="21"/>
      <c r="I135" s="21"/>
      <c r="J135" s="21"/>
      <c r="K135" s="20"/>
      <c r="L135" s="21"/>
      <c r="M135" s="21"/>
      <c r="N135" s="21">
        <f t="shared" si="2"/>
        <v>0</v>
      </c>
    </row>
    <row r="136" spans="1:14">
      <c r="A136" s="24"/>
      <c r="B136" s="20"/>
      <c r="C136" s="102"/>
      <c r="D136" s="21"/>
      <c r="E136" s="21"/>
      <c r="F136" s="21"/>
      <c r="G136" s="21"/>
      <c r="H136" s="21"/>
      <c r="I136" s="21"/>
      <c r="J136" s="21"/>
      <c r="K136" s="20"/>
      <c r="L136" s="21"/>
      <c r="M136" s="21"/>
      <c r="N136" s="21">
        <f t="shared" si="2"/>
        <v>0</v>
      </c>
    </row>
    <row r="137" spans="1:14">
      <c r="A137" s="24"/>
      <c r="B137" s="20"/>
      <c r="C137" s="102"/>
      <c r="D137" s="21"/>
      <c r="E137" s="21"/>
      <c r="F137" s="21"/>
      <c r="G137" s="21"/>
      <c r="H137" s="21"/>
      <c r="I137" s="21" t="s">
        <v>3200</v>
      </c>
      <c r="J137" s="21">
        <f>SUM(J2:J133)</f>
        <v>63</v>
      </c>
      <c r="K137" s="20"/>
      <c r="L137" s="21"/>
      <c r="M137" s="21"/>
      <c r="N137" s="21">
        <f t="shared" si="2"/>
        <v>0</v>
      </c>
    </row>
    <row r="138" spans="1:14">
      <c r="A138" s="24"/>
      <c r="B138" s="20"/>
      <c r="C138" s="102"/>
      <c r="D138" s="21"/>
      <c r="E138" s="21"/>
      <c r="F138" s="21"/>
      <c r="G138" s="21"/>
      <c r="H138" s="21"/>
      <c r="I138" s="21"/>
      <c r="J138" s="21"/>
      <c r="K138" s="20"/>
      <c r="L138" s="21"/>
      <c r="M138" s="21"/>
      <c r="N138" s="21">
        <f t="shared" si="2"/>
        <v>0</v>
      </c>
    </row>
    <row r="139" spans="1:14">
      <c r="A139" s="24"/>
      <c r="B139" s="20"/>
      <c r="C139" s="102"/>
      <c r="D139" s="21"/>
      <c r="E139" s="21"/>
      <c r="F139" s="21"/>
      <c r="G139" s="21"/>
      <c r="H139" s="21"/>
      <c r="I139" s="21"/>
      <c r="J139" s="21"/>
      <c r="K139" s="20"/>
      <c r="L139" s="21"/>
      <c r="M139" s="21"/>
      <c r="N139" s="21">
        <f t="shared" si="2"/>
        <v>0</v>
      </c>
    </row>
    <row r="140" spans="1:14">
      <c r="A140" s="24"/>
      <c r="B140" s="20"/>
      <c r="C140" s="102"/>
      <c r="D140" s="21"/>
      <c r="E140" s="21"/>
      <c r="F140" s="21"/>
      <c r="G140" s="21"/>
      <c r="H140" s="21"/>
      <c r="I140" s="21"/>
      <c r="J140" s="21"/>
      <c r="K140" s="20"/>
      <c r="L140" s="21"/>
      <c r="M140" s="21"/>
      <c r="N140" s="21">
        <f t="shared" si="2"/>
        <v>0</v>
      </c>
    </row>
    <row r="141" spans="1:14">
      <c r="A141" s="24"/>
      <c r="B141" s="20"/>
      <c r="C141" s="102"/>
      <c r="D141" s="21"/>
      <c r="E141" s="21"/>
      <c r="F141" s="21"/>
      <c r="G141" s="21"/>
      <c r="H141" s="21"/>
      <c r="I141" s="21"/>
      <c r="J141" s="21"/>
      <c r="K141" s="20"/>
      <c r="L141" s="21"/>
      <c r="M141" s="21"/>
      <c r="N141" s="21">
        <f t="shared" si="2"/>
        <v>0</v>
      </c>
    </row>
    <row r="142" spans="1:14">
      <c r="A142" s="24"/>
      <c r="B142" s="20"/>
      <c r="C142" s="102"/>
      <c r="D142" s="21"/>
      <c r="E142" s="21"/>
      <c r="F142" s="21"/>
      <c r="G142" s="21"/>
      <c r="H142" s="21"/>
      <c r="I142" s="21"/>
      <c r="J142" s="21"/>
      <c r="K142" s="20"/>
      <c r="L142" s="21"/>
      <c r="M142" s="21"/>
      <c r="N142" s="21">
        <f t="shared" si="2"/>
        <v>0</v>
      </c>
    </row>
    <row r="143" spans="1:14">
      <c r="A143" s="24"/>
      <c r="B143" s="20"/>
      <c r="C143" s="102"/>
      <c r="D143" s="21"/>
      <c r="E143" s="21"/>
      <c r="F143" s="21"/>
      <c r="G143" s="21"/>
      <c r="H143" s="21"/>
      <c r="I143" s="21"/>
      <c r="J143" s="21"/>
      <c r="K143" s="20"/>
      <c r="L143" s="21"/>
      <c r="M143" s="21"/>
      <c r="N143" s="21">
        <f t="shared" si="2"/>
        <v>0</v>
      </c>
    </row>
    <row r="144" spans="1:14">
      <c r="A144" s="24"/>
      <c r="B144" s="20"/>
      <c r="C144" s="102"/>
      <c r="D144" s="21"/>
      <c r="E144" s="21"/>
      <c r="F144" s="21"/>
      <c r="G144" s="21"/>
      <c r="H144" s="21"/>
      <c r="I144" s="21"/>
      <c r="J144" s="21"/>
      <c r="K144" s="20"/>
      <c r="L144" s="21"/>
      <c r="M144" s="21"/>
      <c r="N144" s="21">
        <f t="shared" si="2"/>
        <v>0</v>
      </c>
    </row>
    <row r="145" spans="1:14">
      <c r="A145" s="24"/>
      <c r="B145" s="20"/>
      <c r="C145" s="102"/>
      <c r="D145" s="21"/>
      <c r="E145" s="21"/>
      <c r="F145" s="21"/>
      <c r="G145" s="21"/>
      <c r="H145" s="21"/>
      <c r="I145" s="21"/>
      <c r="J145" s="21"/>
      <c r="K145" s="20"/>
      <c r="L145" s="21"/>
      <c r="M145" s="21"/>
      <c r="N145" s="21">
        <f t="shared" si="2"/>
        <v>0</v>
      </c>
    </row>
    <row r="146" spans="1:14">
      <c r="A146" s="24"/>
      <c r="B146" s="20"/>
      <c r="C146" s="102"/>
      <c r="D146" s="21"/>
      <c r="E146" s="21"/>
      <c r="F146" s="21"/>
      <c r="G146" s="21"/>
      <c r="H146" s="21"/>
      <c r="I146" s="21"/>
      <c r="J146" s="21"/>
      <c r="K146" s="20"/>
      <c r="L146" s="21"/>
      <c r="M146" s="21"/>
      <c r="N146" s="21">
        <f t="shared" si="2"/>
        <v>0</v>
      </c>
    </row>
    <row r="147" spans="1:14">
      <c r="A147" s="24"/>
      <c r="B147" s="20"/>
      <c r="C147" s="102"/>
      <c r="D147" s="21"/>
      <c r="E147" s="21"/>
      <c r="F147" s="21"/>
      <c r="G147" s="21"/>
      <c r="H147" s="21"/>
      <c r="I147" s="21"/>
      <c r="J147" s="21"/>
      <c r="K147" s="20"/>
      <c r="L147" s="21"/>
      <c r="M147" s="21"/>
      <c r="N147" s="21">
        <f t="shared" si="2"/>
        <v>0</v>
      </c>
    </row>
    <row r="148" spans="1:14">
      <c r="A148" s="24"/>
      <c r="B148" s="20"/>
      <c r="C148" s="102"/>
      <c r="D148" s="21"/>
      <c r="E148" s="21"/>
      <c r="F148" s="21"/>
      <c r="G148" s="21"/>
      <c r="H148" s="21"/>
      <c r="I148" s="21"/>
      <c r="J148" s="21"/>
      <c r="K148" s="20"/>
      <c r="L148" s="21"/>
      <c r="M148" s="21"/>
      <c r="N148" s="21">
        <f t="shared" si="2"/>
        <v>0</v>
      </c>
    </row>
    <row r="149" spans="1:14">
      <c r="A149" s="24"/>
      <c r="B149" s="20"/>
      <c r="C149" s="102"/>
      <c r="D149" s="21"/>
      <c r="E149" s="21"/>
      <c r="F149" s="21"/>
      <c r="G149" s="21"/>
      <c r="H149" s="21"/>
      <c r="I149" s="21"/>
      <c r="J149" s="21"/>
      <c r="K149" s="20"/>
      <c r="L149" s="21"/>
      <c r="M149" s="21"/>
      <c r="N149" s="21">
        <f t="shared" si="2"/>
        <v>0</v>
      </c>
    </row>
    <row r="150" spans="1:14">
      <c r="A150" s="24"/>
      <c r="B150" s="20"/>
      <c r="C150" s="102"/>
      <c r="D150" s="21"/>
      <c r="E150" s="21"/>
      <c r="F150" s="21"/>
      <c r="G150" s="21"/>
      <c r="H150" s="21"/>
      <c r="I150" s="21"/>
      <c r="J150" s="21"/>
      <c r="K150" s="20"/>
      <c r="L150" s="21"/>
      <c r="M150" s="21"/>
      <c r="N150" s="21">
        <f t="shared" si="2"/>
        <v>0</v>
      </c>
    </row>
    <row r="151" spans="1:14">
      <c r="A151" s="24"/>
      <c r="B151" s="20"/>
      <c r="C151" s="102"/>
      <c r="D151" s="21"/>
      <c r="E151" s="21"/>
      <c r="F151" s="21"/>
      <c r="G151" s="21"/>
      <c r="H151" s="21"/>
      <c r="I151" s="21"/>
      <c r="J151" s="21"/>
      <c r="K151" s="20"/>
      <c r="L151" s="21"/>
      <c r="M151" s="21"/>
      <c r="N151" s="21">
        <f t="shared" si="2"/>
        <v>0</v>
      </c>
    </row>
    <row r="152" spans="1:14">
      <c r="A152" s="24"/>
      <c r="B152" s="20"/>
      <c r="C152" s="102"/>
      <c r="D152" s="21"/>
      <c r="E152" s="21"/>
      <c r="F152" s="21"/>
      <c r="G152" s="21"/>
      <c r="H152" s="21"/>
      <c r="I152" s="21"/>
      <c r="J152" s="21"/>
      <c r="K152" s="20"/>
      <c r="L152" s="21"/>
      <c r="M152" s="21"/>
      <c r="N152" s="21">
        <f t="shared" si="2"/>
        <v>0</v>
      </c>
    </row>
    <row r="153" spans="1:14">
      <c r="A153" s="24"/>
      <c r="B153" s="20"/>
      <c r="C153" s="102"/>
      <c r="D153" s="21"/>
      <c r="E153" s="21"/>
      <c r="F153" s="21"/>
      <c r="G153" s="21"/>
      <c r="H153" s="21"/>
      <c r="I153" s="21"/>
      <c r="J153" s="21"/>
      <c r="K153" s="20"/>
      <c r="L153" s="21"/>
      <c r="M153" s="21"/>
      <c r="N153" s="21">
        <f t="shared" si="2"/>
        <v>0</v>
      </c>
    </row>
    <row r="154" spans="1:14">
      <c r="A154" s="24"/>
      <c r="B154" s="20"/>
      <c r="C154" s="102"/>
      <c r="D154" s="21"/>
      <c r="E154" s="21"/>
      <c r="F154" s="21"/>
      <c r="G154" s="21"/>
      <c r="H154" s="21"/>
      <c r="I154" s="21"/>
      <c r="J154" s="21"/>
      <c r="K154" s="20"/>
      <c r="L154" s="21"/>
      <c r="M154" s="21"/>
      <c r="N154" s="21">
        <f t="shared" si="2"/>
        <v>0</v>
      </c>
    </row>
    <row r="155" spans="1:14">
      <c r="A155" s="24"/>
      <c r="B155" s="20"/>
      <c r="C155" s="102"/>
      <c r="D155" s="21"/>
      <c r="E155" s="21"/>
      <c r="F155" s="21"/>
      <c r="G155" s="21"/>
      <c r="H155" s="21"/>
      <c r="I155" s="21"/>
      <c r="J155" s="21"/>
      <c r="K155" s="20"/>
      <c r="L155" s="21"/>
      <c r="M155" s="21"/>
      <c r="N155" s="21">
        <f t="shared" si="2"/>
        <v>0</v>
      </c>
    </row>
    <row r="156" spans="1:14">
      <c r="A156" s="24"/>
      <c r="B156" s="20"/>
      <c r="C156" s="102"/>
      <c r="D156" s="21"/>
      <c r="E156" s="21"/>
      <c r="F156" s="21"/>
      <c r="G156" s="21"/>
      <c r="H156" s="21"/>
      <c r="I156" s="21"/>
      <c r="J156" s="21"/>
      <c r="K156" s="20"/>
      <c r="L156" s="21"/>
      <c r="M156" s="21"/>
      <c r="N156" s="21">
        <f t="shared" si="2"/>
        <v>0</v>
      </c>
    </row>
    <row r="157" spans="1:14">
      <c r="A157" s="24"/>
      <c r="B157" s="20"/>
      <c r="C157" s="102"/>
      <c r="D157" s="21"/>
      <c r="E157" s="21"/>
      <c r="F157" s="21"/>
      <c r="G157" s="21"/>
      <c r="H157" s="21"/>
      <c r="I157" s="21"/>
      <c r="J157" s="21"/>
      <c r="K157" s="20"/>
      <c r="L157" s="21"/>
      <c r="M157" s="21"/>
      <c r="N157" s="21">
        <f t="shared" si="2"/>
        <v>0</v>
      </c>
    </row>
    <row r="158" spans="1:14">
      <c r="A158" s="24"/>
      <c r="B158" s="20"/>
      <c r="C158" s="102"/>
      <c r="D158" s="21"/>
      <c r="E158" s="21"/>
      <c r="F158" s="21"/>
      <c r="G158" s="21"/>
      <c r="H158" s="21"/>
      <c r="I158" s="21"/>
      <c r="J158" s="21"/>
      <c r="K158" s="20"/>
      <c r="L158" s="21"/>
      <c r="M158" s="21"/>
      <c r="N158" s="21">
        <f t="shared" si="2"/>
        <v>0</v>
      </c>
    </row>
    <row r="159" spans="1:14">
      <c r="A159" s="24"/>
      <c r="B159" s="20"/>
      <c r="C159" s="102"/>
      <c r="D159" s="21"/>
      <c r="E159" s="21"/>
      <c r="F159" s="21"/>
      <c r="G159" s="21"/>
      <c r="H159" s="21"/>
      <c r="I159" s="21"/>
      <c r="J159" s="21"/>
      <c r="K159" s="20"/>
      <c r="L159" s="21"/>
      <c r="M159" s="21"/>
      <c r="N159" s="21">
        <f t="shared" si="2"/>
        <v>0</v>
      </c>
    </row>
    <row r="160" spans="1:14">
      <c r="A160" s="24"/>
      <c r="B160" s="20"/>
      <c r="C160" s="102"/>
      <c r="D160" s="21"/>
      <c r="E160" s="21"/>
      <c r="F160" s="21"/>
      <c r="G160" s="21"/>
      <c r="H160" s="21"/>
      <c r="I160" s="21"/>
      <c r="J160" s="21"/>
      <c r="K160" s="20"/>
      <c r="L160" s="21"/>
      <c r="M160" s="21"/>
      <c r="N160" s="21">
        <f t="shared" si="2"/>
        <v>0</v>
      </c>
    </row>
    <row r="161" spans="1:14">
      <c r="A161" s="24"/>
      <c r="B161" s="20"/>
      <c r="C161" s="102"/>
      <c r="D161" s="21"/>
      <c r="E161" s="21"/>
      <c r="F161" s="21"/>
      <c r="G161" s="21"/>
      <c r="H161" s="21"/>
      <c r="I161" s="21"/>
      <c r="J161" s="21"/>
      <c r="K161" s="20"/>
      <c r="L161" s="21"/>
      <c r="M161" s="21"/>
      <c r="N161" s="21">
        <f t="shared" si="2"/>
        <v>0</v>
      </c>
    </row>
    <row r="162" spans="1:14">
      <c r="A162" s="24"/>
      <c r="B162" s="20"/>
      <c r="C162" s="102"/>
      <c r="D162" s="21"/>
      <c r="E162" s="21"/>
      <c r="F162" s="21"/>
      <c r="G162" s="21"/>
      <c r="H162" s="21"/>
      <c r="I162" s="21"/>
      <c r="J162" s="21"/>
      <c r="K162" s="20"/>
      <c r="L162" s="21"/>
      <c r="M162" s="21"/>
      <c r="N162" s="21">
        <f t="shared" si="2"/>
        <v>0</v>
      </c>
    </row>
    <row r="163" spans="1:14">
      <c r="A163" s="24"/>
      <c r="B163" s="20"/>
      <c r="C163" s="102"/>
      <c r="D163" s="21"/>
      <c r="E163" s="21"/>
      <c r="F163" s="21"/>
      <c r="G163" s="21"/>
      <c r="H163" s="21"/>
      <c r="I163" s="21"/>
      <c r="J163" s="21"/>
      <c r="K163" s="20"/>
      <c r="L163" s="21"/>
      <c r="M163" s="21"/>
      <c r="N163" s="21">
        <f t="shared" si="2"/>
        <v>0</v>
      </c>
    </row>
    <row r="164" spans="1:14">
      <c r="A164" s="24"/>
      <c r="B164" s="20"/>
      <c r="C164" s="102"/>
      <c r="D164" s="21"/>
      <c r="E164" s="21"/>
      <c r="F164" s="21"/>
      <c r="G164" s="21"/>
      <c r="H164" s="21"/>
      <c r="I164" s="21"/>
      <c r="J164" s="21"/>
      <c r="K164" s="20"/>
      <c r="L164" s="21"/>
      <c r="M164" s="21"/>
      <c r="N164" s="21">
        <f t="shared" si="2"/>
        <v>0</v>
      </c>
    </row>
    <row r="165" spans="1:14">
      <c r="A165" s="24"/>
      <c r="B165" s="20"/>
      <c r="C165" s="102"/>
      <c r="D165" s="21"/>
      <c r="E165" s="21"/>
      <c r="F165" s="21"/>
      <c r="G165" s="21"/>
      <c r="H165" s="21"/>
      <c r="I165" s="21"/>
      <c r="J165" s="21"/>
      <c r="K165" s="20"/>
      <c r="L165" s="21"/>
      <c r="M165" s="21"/>
      <c r="N165" s="21">
        <f t="shared" si="2"/>
        <v>0</v>
      </c>
    </row>
    <row r="166" spans="1:14">
      <c r="A166" s="24"/>
      <c r="B166" s="20"/>
      <c r="C166" s="102"/>
      <c r="D166" s="21"/>
      <c r="E166" s="21"/>
      <c r="F166" s="21"/>
      <c r="G166" s="21"/>
      <c r="H166" s="21"/>
      <c r="I166" s="21"/>
      <c r="J166" s="21"/>
      <c r="K166" s="20"/>
      <c r="L166" s="21"/>
      <c r="M166" s="21"/>
      <c r="N166" s="21">
        <f t="shared" si="2"/>
        <v>0</v>
      </c>
    </row>
    <row r="167" spans="1:14">
      <c r="A167" s="24"/>
      <c r="B167" s="20"/>
      <c r="C167" s="102"/>
      <c r="D167" s="21"/>
      <c r="E167" s="21"/>
      <c r="F167" s="21"/>
      <c r="G167" s="21"/>
      <c r="H167" s="21"/>
      <c r="I167" s="21"/>
      <c r="J167" s="21"/>
      <c r="K167" s="20"/>
      <c r="L167" s="21"/>
      <c r="M167" s="21"/>
      <c r="N167" s="21">
        <f t="shared" si="2"/>
        <v>0</v>
      </c>
    </row>
    <row r="168" spans="1:14">
      <c r="A168" s="24"/>
      <c r="B168" s="20"/>
      <c r="C168" s="102"/>
      <c r="D168" s="21"/>
      <c r="E168" s="21"/>
      <c r="F168" s="21"/>
      <c r="G168" s="21"/>
      <c r="H168" s="21"/>
      <c r="I168" s="21"/>
      <c r="J168" s="21"/>
      <c r="K168" s="20"/>
      <c r="L168" s="21"/>
      <c r="M168" s="21"/>
      <c r="N168" s="21">
        <f t="shared" si="2"/>
        <v>0</v>
      </c>
    </row>
    <row r="169" spans="1:14">
      <c r="A169" s="24"/>
      <c r="B169" s="20"/>
      <c r="C169" s="102"/>
      <c r="D169" s="21"/>
      <c r="E169" s="21"/>
      <c r="F169" s="21"/>
      <c r="G169" s="21"/>
      <c r="H169" s="21"/>
      <c r="I169" s="21"/>
      <c r="J169" s="21"/>
      <c r="K169" s="20"/>
      <c r="L169" s="21"/>
      <c r="M169" s="21"/>
      <c r="N169" s="21">
        <f t="shared" si="2"/>
        <v>0</v>
      </c>
    </row>
    <row r="170" spans="1:14">
      <c r="A170" s="24"/>
      <c r="B170" s="20"/>
      <c r="C170" s="102"/>
      <c r="D170" s="21"/>
      <c r="E170" s="21"/>
      <c r="F170" s="21"/>
      <c r="G170" s="21"/>
      <c r="H170" s="21"/>
      <c r="I170" s="21"/>
      <c r="J170" s="21"/>
      <c r="K170" s="20"/>
      <c r="L170" s="21"/>
      <c r="M170" s="21"/>
      <c r="N170" s="21">
        <f t="shared" si="2"/>
        <v>0</v>
      </c>
    </row>
    <row r="171" spans="1:14">
      <c r="A171" s="24"/>
      <c r="B171" s="20"/>
      <c r="C171" s="102"/>
      <c r="D171" s="21"/>
      <c r="E171" s="21"/>
      <c r="F171" s="21"/>
      <c r="G171" s="21"/>
      <c r="H171" s="21"/>
      <c r="I171" s="21"/>
      <c r="J171" s="21"/>
      <c r="K171" s="20"/>
      <c r="L171" s="21"/>
      <c r="M171" s="21"/>
      <c r="N171" s="21">
        <f t="shared" si="2"/>
        <v>0</v>
      </c>
    </row>
    <row r="172" spans="1:14">
      <c r="A172" s="24"/>
      <c r="B172" s="20"/>
      <c r="C172" s="102"/>
      <c r="D172" s="21"/>
      <c r="E172" s="21"/>
      <c r="F172" s="21"/>
      <c r="G172" s="21"/>
      <c r="H172" s="21"/>
      <c r="I172" s="21"/>
      <c r="J172" s="21"/>
      <c r="K172" s="20"/>
      <c r="L172" s="21"/>
      <c r="M172" s="21"/>
      <c r="N172" s="21">
        <f t="shared" si="2"/>
        <v>0</v>
      </c>
    </row>
    <row r="173" spans="1:14">
      <c r="A173" s="24"/>
      <c r="B173" s="20"/>
      <c r="C173" s="102"/>
      <c r="D173" s="21"/>
      <c r="E173" s="21"/>
      <c r="F173" s="21"/>
      <c r="G173" s="21"/>
      <c r="H173" s="21"/>
      <c r="I173" s="21"/>
      <c r="J173" s="21"/>
      <c r="K173" s="20"/>
      <c r="L173" s="21"/>
      <c r="M173" s="21"/>
      <c r="N173" s="21">
        <f t="shared" si="2"/>
        <v>0</v>
      </c>
    </row>
    <row r="174" spans="1:14">
      <c r="A174" s="24"/>
      <c r="B174" s="20"/>
      <c r="C174" s="102"/>
      <c r="D174" s="21"/>
      <c r="E174" s="21"/>
      <c r="F174" s="21"/>
      <c r="G174" s="21"/>
      <c r="H174" s="21"/>
      <c r="I174" s="21"/>
      <c r="J174" s="21"/>
      <c r="K174" s="20"/>
      <c r="L174" s="21"/>
      <c r="M174" s="21"/>
      <c r="N174" s="21">
        <f t="shared" si="2"/>
        <v>0</v>
      </c>
    </row>
    <row r="175" spans="1:14">
      <c r="A175" s="24"/>
      <c r="B175" s="20"/>
      <c r="C175" s="102"/>
      <c r="D175" s="21"/>
      <c r="E175" s="21"/>
      <c r="F175" s="21"/>
      <c r="G175" s="21"/>
      <c r="H175" s="21"/>
      <c r="I175" s="21"/>
      <c r="J175" s="21"/>
      <c r="K175" s="20"/>
      <c r="L175" s="21"/>
      <c r="M175" s="21"/>
      <c r="N175" s="21">
        <f t="shared" si="2"/>
        <v>0</v>
      </c>
    </row>
    <row r="176" spans="1:14">
      <c r="A176" s="24"/>
      <c r="B176" s="20"/>
      <c r="C176" s="102"/>
      <c r="D176" s="21"/>
      <c r="E176" s="21"/>
      <c r="F176" s="21"/>
      <c r="G176" s="21"/>
      <c r="H176" s="21"/>
      <c r="I176" s="21"/>
      <c r="J176" s="21"/>
      <c r="K176" s="20"/>
      <c r="L176" s="21"/>
      <c r="M176" s="21"/>
      <c r="N176" s="21">
        <f t="shared" si="2"/>
        <v>0</v>
      </c>
    </row>
    <row r="177" spans="1:14">
      <c r="A177" s="24"/>
      <c r="B177" s="20"/>
      <c r="C177" s="102"/>
      <c r="D177" s="21"/>
      <c r="E177" s="21"/>
      <c r="F177" s="21"/>
      <c r="G177" s="21"/>
      <c r="H177" s="21"/>
      <c r="I177" s="21"/>
      <c r="J177" s="21"/>
      <c r="K177" s="20"/>
      <c r="L177" s="21"/>
      <c r="M177" s="21"/>
      <c r="N177" s="21">
        <f t="shared" si="2"/>
        <v>0</v>
      </c>
    </row>
    <row r="178" spans="1:14">
      <c r="A178" s="24"/>
      <c r="B178" s="20"/>
      <c r="C178" s="102"/>
      <c r="D178" s="21"/>
      <c r="E178" s="21"/>
      <c r="F178" s="21"/>
      <c r="G178" s="21"/>
      <c r="H178" s="21"/>
      <c r="I178" s="21"/>
      <c r="J178" s="21"/>
      <c r="K178" s="20"/>
      <c r="L178" s="21"/>
      <c r="M178" s="21"/>
      <c r="N178" s="21">
        <f t="shared" si="2"/>
        <v>0</v>
      </c>
    </row>
    <row r="179" spans="1:14">
      <c r="A179" s="24"/>
      <c r="B179" s="20"/>
      <c r="C179" s="102"/>
      <c r="D179" s="21"/>
      <c r="E179" s="21"/>
      <c r="F179" s="21"/>
      <c r="G179" s="21"/>
      <c r="H179" s="21"/>
      <c r="I179" s="21"/>
      <c r="J179" s="21"/>
      <c r="K179" s="20"/>
      <c r="L179" s="21"/>
      <c r="M179" s="21"/>
      <c r="N179" s="21">
        <f t="shared" si="2"/>
        <v>0</v>
      </c>
    </row>
    <row r="180" spans="1:14">
      <c r="A180" s="24"/>
      <c r="B180" s="20"/>
      <c r="C180" s="102"/>
      <c r="D180" s="21"/>
      <c r="E180" s="21"/>
      <c r="F180" s="21"/>
      <c r="G180" s="21"/>
      <c r="H180" s="21"/>
      <c r="I180" s="21"/>
      <c r="J180" s="21"/>
      <c r="K180" s="20"/>
      <c r="L180" s="21"/>
      <c r="M180" s="21"/>
      <c r="N180" s="21">
        <f t="shared" si="2"/>
        <v>0</v>
      </c>
    </row>
    <row r="181" spans="1:14">
      <c r="A181" s="24"/>
      <c r="B181" s="20"/>
      <c r="C181" s="102"/>
      <c r="D181" s="21"/>
      <c r="E181" s="21"/>
      <c r="F181" s="21"/>
      <c r="G181" s="21"/>
      <c r="H181" s="21"/>
      <c r="I181" s="21"/>
      <c r="J181" s="21"/>
      <c r="K181" s="20"/>
      <c r="L181" s="21"/>
      <c r="M181" s="21"/>
      <c r="N181" s="21">
        <f t="shared" si="2"/>
        <v>0</v>
      </c>
    </row>
    <row r="182" spans="1:14">
      <c r="A182" s="24"/>
      <c r="B182" s="20"/>
      <c r="C182" s="102"/>
      <c r="D182" s="21"/>
      <c r="E182" s="21"/>
      <c r="F182" s="21"/>
      <c r="G182" s="21"/>
      <c r="H182" s="21"/>
      <c r="I182" s="21"/>
      <c r="J182" s="21"/>
      <c r="K182" s="20"/>
      <c r="L182" s="21"/>
      <c r="M182" s="21"/>
      <c r="N182" s="21">
        <f t="shared" si="2"/>
        <v>0</v>
      </c>
    </row>
    <row r="183" spans="1:14">
      <c r="A183" s="24"/>
      <c r="B183" s="20"/>
      <c r="C183" s="102"/>
      <c r="D183" s="21"/>
      <c r="E183" s="21"/>
      <c r="F183" s="21"/>
      <c r="G183" s="21"/>
      <c r="H183" s="21"/>
      <c r="I183" s="21"/>
      <c r="J183" s="21"/>
      <c r="K183" s="20"/>
      <c r="L183" s="21"/>
      <c r="M183" s="21"/>
      <c r="N183" s="21">
        <f t="shared" si="2"/>
        <v>0</v>
      </c>
    </row>
    <row r="184" spans="1:14">
      <c r="A184" s="24"/>
      <c r="B184" s="20"/>
      <c r="C184" s="102"/>
      <c r="D184" s="21"/>
      <c r="E184" s="21"/>
      <c r="F184" s="21"/>
      <c r="G184" s="21"/>
      <c r="H184" s="21"/>
      <c r="I184" s="21"/>
      <c r="J184" s="21"/>
      <c r="K184" s="20"/>
      <c r="L184" s="21"/>
      <c r="M184" s="21"/>
      <c r="N184" s="21">
        <f t="shared" si="2"/>
        <v>0</v>
      </c>
    </row>
    <row r="185" spans="1:14">
      <c r="A185" s="24"/>
      <c r="B185" s="20"/>
      <c r="C185" s="102"/>
      <c r="D185" s="21"/>
      <c r="E185" s="21"/>
      <c r="F185" s="21"/>
      <c r="G185" s="21"/>
      <c r="H185" s="21"/>
      <c r="I185" s="21"/>
      <c r="J185" s="21"/>
      <c r="K185" s="20"/>
      <c r="L185" s="21"/>
      <c r="M185" s="21"/>
      <c r="N185" s="21">
        <f t="shared" si="2"/>
        <v>0</v>
      </c>
    </row>
    <row r="186" spans="1:14">
      <c r="A186" s="24"/>
      <c r="B186" s="20"/>
      <c r="C186" s="102"/>
      <c r="D186" s="21"/>
      <c r="E186" s="21"/>
      <c r="F186" s="21"/>
      <c r="G186" s="21"/>
      <c r="H186" s="21"/>
      <c r="I186" s="21"/>
      <c r="J186" s="21"/>
      <c r="K186" s="20"/>
      <c r="L186" s="21"/>
      <c r="M186" s="21"/>
      <c r="N186" s="21">
        <f t="shared" si="2"/>
        <v>0</v>
      </c>
    </row>
    <row r="187" spans="1:14">
      <c r="A187" s="24"/>
      <c r="B187" s="20"/>
      <c r="C187" s="102"/>
      <c r="D187" s="21"/>
      <c r="E187" s="21"/>
      <c r="F187" s="21"/>
      <c r="G187" s="21"/>
      <c r="H187" s="21"/>
      <c r="I187" s="21"/>
      <c r="J187" s="21"/>
      <c r="K187" s="20"/>
      <c r="L187" s="21"/>
      <c r="M187" s="21"/>
      <c r="N187" s="21">
        <f t="shared" si="2"/>
        <v>0</v>
      </c>
    </row>
    <row r="188" spans="1:14">
      <c r="A188" s="24"/>
      <c r="B188" s="20"/>
      <c r="C188" s="102"/>
      <c r="D188" s="21"/>
      <c r="E188" s="21"/>
      <c r="F188" s="21"/>
      <c r="G188" s="21"/>
      <c r="H188" s="21"/>
      <c r="I188" s="21"/>
      <c r="J188" s="21"/>
      <c r="K188" s="20"/>
      <c r="L188" s="21"/>
      <c r="M188" s="21"/>
      <c r="N188" s="21">
        <f t="shared" si="2"/>
        <v>0</v>
      </c>
    </row>
    <row r="189" spans="1:14">
      <c r="A189" s="24"/>
      <c r="B189" s="20"/>
      <c r="C189" s="102"/>
      <c r="D189" s="21"/>
      <c r="E189" s="21"/>
      <c r="F189" s="21"/>
      <c r="G189" s="21"/>
      <c r="H189" s="21"/>
      <c r="I189" s="21"/>
      <c r="J189" s="21"/>
      <c r="K189" s="20"/>
      <c r="L189" s="21"/>
      <c r="M189" s="21"/>
      <c r="N189" s="21">
        <f t="shared" si="2"/>
        <v>0</v>
      </c>
    </row>
    <row r="190" spans="1:14">
      <c r="A190" s="24"/>
      <c r="B190" s="20"/>
      <c r="C190" s="102"/>
      <c r="D190" s="21"/>
      <c r="E190" s="21"/>
      <c r="F190" s="21"/>
      <c r="G190" s="21"/>
      <c r="H190" s="21"/>
      <c r="I190" s="21"/>
      <c r="J190" s="21"/>
      <c r="K190" s="20"/>
      <c r="L190" s="21"/>
      <c r="M190" s="21"/>
      <c r="N190" s="21">
        <f t="shared" si="2"/>
        <v>0</v>
      </c>
    </row>
    <row r="191" spans="1:14">
      <c r="A191" s="24"/>
      <c r="B191" s="20"/>
      <c r="C191" s="102"/>
      <c r="D191" s="21"/>
      <c r="E191" s="21"/>
      <c r="F191" s="21"/>
      <c r="G191" s="21"/>
      <c r="H191" s="21"/>
      <c r="I191" s="21"/>
      <c r="J191" s="21"/>
      <c r="K191" s="20"/>
      <c r="L191" s="21"/>
      <c r="M191" s="21"/>
      <c r="N191" s="21">
        <f t="shared" si="2"/>
        <v>0</v>
      </c>
    </row>
    <row r="192" spans="1:14">
      <c r="A192" s="24"/>
      <c r="B192" s="20"/>
      <c r="C192" s="102"/>
      <c r="D192" s="21"/>
      <c r="E192" s="21"/>
      <c r="F192" s="21"/>
      <c r="G192" s="21"/>
      <c r="H192" s="21"/>
      <c r="I192" s="21"/>
      <c r="J192" s="21"/>
      <c r="K192" s="20"/>
      <c r="L192" s="21"/>
      <c r="M192" s="21"/>
      <c r="N192" s="21">
        <f t="shared" si="2"/>
        <v>0</v>
      </c>
    </row>
    <row r="193" spans="1:14">
      <c r="A193" s="24"/>
      <c r="B193" s="20"/>
      <c r="C193" s="102"/>
      <c r="D193" s="21"/>
      <c r="E193" s="21"/>
      <c r="F193" s="21"/>
      <c r="G193" s="21"/>
      <c r="H193" s="21"/>
      <c r="I193" s="21"/>
      <c r="J193" s="21"/>
      <c r="K193" s="20"/>
      <c r="L193" s="21"/>
      <c r="M193" s="21"/>
      <c r="N193" s="21">
        <f t="shared" si="2"/>
        <v>0</v>
      </c>
    </row>
    <row r="194" spans="1:14">
      <c r="A194" s="24"/>
      <c r="B194" s="20"/>
      <c r="C194" s="102"/>
      <c r="D194" s="21"/>
      <c r="E194" s="21"/>
      <c r="F194" s="21"/>
      <c r="G194" s="21"/>
      <c r="H194" s="21"/>
      <c r="I194" s="21"/>
      <c r="J194" s="21"/>
      <c r="K194" s="20"/>
      <c r="L194" s="21"/>
      <c r="M194" s="21"/>
      <c r="N194" s="21">
        <f t="shared" ref="N194:N251" si="3">SUM(D194:G194)*J194</f>
        <v>0</v>
      </c>
    </row>
    <row r="195" spans="1:14">
      <c r="A195" s="24"/>
      <c r="B195" s="20"/>
      <c r="C195" s="102"/>
      <c r="D195" s="21"/>
      <c r="E195" s="21"/>
      <c r="F195" s="21"/>
      <c r="G195" s="21"/>
      <c r="H195" s="21"/>
      <c r="I195" s="21"/>
      <c r="J195" s="21"/>
      <c r="K195" s="20"/>
      <c r="L195" s="21"/>
      <c r="M195" s="21"/>
      <c r="N195" s="21">
        <f t="shared" si="3"/>
        <v>0</v>
      </c>
    </row>
    <row r="196" spans="1:14">
      <c r="A196" s="24"/>
      <c r="B196" s="20"/>
      <c r="C196" s="102"/>
      <c r="D196" s="21"/>
      <c r="E196" s="21"/>
      <c r="F196" s="21"/>
      <c r="G196" s="21"/>
      <c r="H196" s="21"/>
      <c r="I196" s="21"/>
      <c r="J196" s="21"/>
      <c r="K196" s="20"/>
      <c r="L196" s="21"/>
      <c r="M196" s="21"/>
      <c r="N196" s="21">
        <f t="shared" si="3"/>
        <v>0</v>
      </c>
    </row>
    <row r="197" spans="1:14">
      <c r="A197" s="24"/>
      <c r="B197" s="20"/>
      <c r="C197" s="102"/>
      <c r="D197" s="21"/>
      <c r="E197" s="21"/>
      <c r="F197" s="21"/>
      <c r="G197" s="21"/>
      <c r="H197" s="21"/>
      <c r="I197" s="21"/>
      <c r="J197" s="21"/>
      <c r="K197" s="20"/>
      <c r="L197" s="21"/>
      <c r="M197" s="21"/>
      <c r="N197" s="21">
        <f t="shared" si="3"/>
        <v>0</v>
      </c>
    </row>
    <row r="198" spans="1:14">
      <c r="A198" s="24"/>
      <c r="B198" s="20"/>
      <c r="C198" s="102"/>
      <c r="D198" s="21"/>
      <c r="E198" s="21"/>
      <c r="F198" s="21"/>
      <c r="G198" s="21"/>
      <c r="H198" s="21"/>
      <c r="I198" s="21"/>
      <c r="J198" s="21"/>
      <c r="K198" s="20"/>
      <c r="L198" s="21"/>
      <c r="M198" s="21"/>
      <c r="N198" s="21">
        <f t="shared" si="3"/>
        <v>0</v>
      </c>
    </row>
    <row r="199" spans="1:14">
      <c r="A199" s="24"/>
      <c r="B199" s="20"/>
      <c r="C199" s="102"/>
      <c r="D199" s="21"/>
      <c r="E199" s="21"/>
      <c r="F199" s="21"/>
      <c r="G199" s="21"/>
      <c r="H199" s="21"/>
      <c r="I199" s="21"/>
      <c r="J199" s="21"/>
      <c r="K199" s="20"/>
      <c r="L199" s="21"/>
      <c r="M199" s="21"/>
      <c r="N199" s="21">
        <f t="shared" si="3"/>
        <v>0</v>
      </c>
    </row>
    <row r="200" spans="1:14">
      <c r="A200" s="24"/>
      <c r="B200" s="20"/>
      <c r="C200" s="102"/>
      <c r="D200" s="21"/>
      <c r="E200" s="21"/>
      <c r="F200" s="21"/>
      <c r="G200" s="21"/>
      <c r="H200" s="21"/>
      <c r="I200" s="21"/>
      <c r="J200" s="21"/>
      <c r="K200" s="20"/>
      <c r="L200" s="21"/>
      <c r="M200" s="21"/>
      <c r="N200" s="21">
        <f t="shared" si="3"/>
        <v>0</v>
      </c>
    </row>
    <row r="201" spans="1:14">
      <c r="A201" s="24"/>
      <c r="B201" s="20"/>
      <c r="C201" s="102"/>
      <c r="D201" s="21"/>
      <c r="E201" s="21"/>
      <c r="F201" s="21"/>
      <c r="G201" s="21"/>
      <c r="H201" s="21"/>
      <c r="I201" s="21"/>
      <c r="J201" s="21"/>
      <c r="K201" s="20"/>
      <c r="L201" s="21"/>
      <c r="M201" s="21"/>
      <c r="N201" s="21">
        <f t="shared" si="3"/>
        <v>0</v>
      </c>
    </row>
    <row r="202" spans="1:14">
      <c r="A202" s="24"/>
      <c r="B202" s="20"/>
      <c r="C202" s="102"/>
      <c r="D202" s="21"/>
      <c r="E202" s="21"/>
      <c r="F202" s="21"/>
      <c r="G202" s="21"/>
      <c r="H202" s="21"/>
      <c r="I202" s="21"/>
      <c r="J202" s="21"/>
      <c r="K202" s="20"/>
      <c r="L202" s="21"/>
      <c r="M202" s="21"/>
      <c r="N202" s="21">
        <f t="shared" si="3"/>
        <v>0</v>
      </c>
    </row>
    <row r="203" spans="1:14">
      <c r="A203" s="24"/>
      <c r="B203" s="20"/>
      <c r="C203" s="102"/>
      <c r="D203" s="21"/>
      <c r="E203" s="21"/>
      <c r="F203" s="21"/>
      <c r="G203" s="21"/>
      <c r="H203" s="21"/>
      <c r="I203" s="21"/>
      <c r="J203" s="21"/>
      <c r="K203" s="20"/>
      <c r="L203" s="21"/>
      <c r="M203" s="21"/>
      <c r="N203" s="21">
        <f t="shared" si="3"/>
        <v>0</v>
      </c>
    </row>
    <row r="204" spans="1:14">
      <c r="A204" s="24"/>
      <c r="B204" s="20"/>
      <c r="C204" s="102"/>
      <c r="D204" s="21"/>
      <c r="E204" s="21"/>
      <c r="F204" s="21"/>
      <c r="G204" s="21"/>
      <c r="H204" s="21"/>
      <c r="I204" s="21"/>
      <c r="J204" s="21"/>
      <c r="K204" s="20"/>
      <c r="L204" s="21"/>
      <c r="M204" s="21"/>
      <c r="N204" s="21">
        <f t="shared" si="3"/>
        <v>0</v>
      </c>
    </row>
    <row r="205" spans="1:14">
      <c r="A205" s="24"/>
      <c r="B205" s="20"/>
      <c r="C205" s="102"/>
      <c r="D205" s="21"/>
      <c r="E205" s="21"/>
      <c r="F205" s="21"/>
      <c r="G205" s="21"/>
      <c r="H205" s="21"/>
      <c r="I205" s="21"/>
      <c r="J205" s="21"/>
      <c r="K205" s="20"/>
      <c r="L205" s="21"/>
      <c r="M205" s="21"/>
      <c r="N205" s="21">
        <f t="shared" si="3"/>
        <v>0</v>
      </c>
    </row>
    <row r="206" spans="1:14">
      <c r="A206" s="24"/>
      <c r="B206" s="20"/>
      <c r="C206" s="102"/>
      <c r="D206" s="21"/>
      <c r="E206" s="21"/>
      <c r="F206" s="21"/>
      <c r="G206" s="21"/>
      <c r="H206" s="21"/>
      <c r="I206" s="21"/>
      <c r="J206" s="21"/>
      <c r="K206" s="20"/>
      <c r="L206" s="21"/>
      <c r="M206" s="21"/>
      <c r="N206" s="21">
        <f t="shared" si="3"/>
        <v>0</v>
      </c>
    </row>
    <row r="207" spans="1:14">
      <c r="A207" s="24"/>
      <c r="B207" s="20"/>
      <c r="C207" s="102"/>
      <c r="D207" s="21"/>
      <c r="E207" s="21"/>
      <c r="F207" s="21"/>
      <c r="G207" s="21"/>
      <c r="H207" s="21"/>
      <c r="I207" s="21"/>
      <c r="J207" s="21"/>
      <c r="K207" s="20"/>
      <c r="L207" s="21"/>
      <c r="M207" s="21"/>
      <c r="N207" s="21">
        <f t="shared" si="3"/>
        <v>0</v>
      </c>
    </row>
    <row r="208" spans="1:14">
      <c r="A208" s="24"/>
      <c r="B208" s="20"/>
      <c r="C208" s="102"/>
      <c r="D208" s="21"/>
      <c r="E208" s="21"/>
      <c r="F208" s="21"/>
      <c r="G208" s="21"/>
      <c r="H208" s="21"/>
      <c r="I208" s="21"/>
      <c r="J208" s="21"/>
      <c r="K208" s="20"/>
      <c r="L208" s="21"/>
      <c r="M208" s="21"/>
      <c r="N208" s="21">
        <f t="shared" si="3"/>
        <v>0</v>
      </c>
    </row>
    <row r="209" spans="1:14">
      <c r="A209" s="24"/>
      <c r="B209" s="20"/>
      <c r="C209" s="102"/>
      <c r="D209" s="21"/>
      <c r="E209" s="21"/>
      <c r="F209" s="21"/>
      <c r="G209" s="21"/>
      <c r="H209" s="21"/>
      <c r="I209" s="21"/>
      <c r="J209" s="21"/>
      <c r="K209" s="20"/>
      <c r="L209" s="21"/>
      <c r="M209" s="21"/>
      <c r="N209" s="21">
        <f t="shared" si="3"/>
        <v>0</v>
      </c>
    </row>
    <row r="210" spans="1:14">
      <c r="A210" s="24"/>
      <c r="B210" s="20"/>
      <c r="C210" s="102"/>
      <c r="D210" s="21"/>
      <c r="E210" s="21"/>
      <c r="F210" s="21"/>
      <c r="G210" s="21"/>
      <c r="H210" s="21"/>
      <c r="I210" s="21"/>
      <c r="J210" s="21"/>
      <c r="K210" s="20"/>
      <c r="L210" s="21"/>
      <c r="M210" s="21"/>
      <c r="N210" s="21">
        <f t="shared" si="3"/>
        <v>0</v>
      </c>
    </row>
    <row r="211" spans="1:14">
      <c r="A211" s="24"/>
      <c r="B211" s="20"/>
      <c r="C211" s="102"/>
      <c r="D211" s="21"/>
      <c r="E211" s="21"/>
      <c r="F211" s="21"/>
      <c r="G211" s="21"/>
      <c r="H211" s="21"/>
      <c r="I211" s="21"/>
      <c r="J211" s="21"/>
      <c r="K211" s="20"/>
      <c r="L211" s="21"/>
      <c r="M211" s="21"/>
      <c r="N211" s="21">
        <f t="shared" si="3"/>
        <v>0</v>
      </c>
    </row>
    <row r="212" spans="1:14">
      <c r="A212" s="24"/>
      <c r="B212" s="20"/>
      <c r="C212" s="102"/>
      <c r="D212" s="21"/>
      <c r="E212" s="21"/>
      <c r="F212" s="21"/>
      <c r="G212" s="21"/>
      <c r="H212" s="21"/>
      <c r="I212" s="21"/>
      <c r="J212" s="21"/>
      <c r="K212" s="20"/>
      <c r="L212" s="21"/>
      <c r="M212" s="21"/>
      <c r="N212" s="21">
        <f t="shared" si="3"/>
        <v>0</v>
      </c>
    </row>
    <row r="213" spans="1:14">
      <c r="A213" s="24"/>
      <c r="B213" s="20"/>
      <c r="C213" s="102"/>
      <c r="D213" s="21"/>
      <c r="E213" s="21"/>
      <c r="F213" s="21"/>
      <c r="G213" s="21"/>
      <c r="H213" s="21"/>
      <c r="I213" s="21"/>
      <c r="J213" s="21"/>
      <c r="K213" s="20"/>
      <c r="L213" s="21"/>
      <c r="M213" s="21"/>
      <c r="N213" s="21">
        <f t="shared" si="3"/>
        <v>0</v>
      </c>
    </row>
    <row r="214" spans="1:14">
      <c r="A214" s="24"/>
      <c r="B214" s="20"/>
      <c r="C214" s="102"/>
      <c r="D214" s="21"/>
      <c r="E214" s="21"/>
      <c r="F214" s="21"/>
      <c r="G214" s="21"/>
      <c r="H214" s="21"/>
      <c r="I214" s="21"/>
      <c r="J214" s="21"/>
      <c r="K214" s="20"/>
      <c r="L214" s="21"/>
      <c r="M214" s="21"/>
      <c r="N214" s="21">
        <f t="shared" si="3"/>
        <v>0</v>
      </c>
    </row>
    <row r="215" spans="1:14">
      <c r="A215" s="24"/>
      <c r="B215" s="20"/>
      <c r="C215" s="102"/>
      <c r="D215" s="21"/>
      <c r="E215" s="21"/>
      <c r="F215" s="21"/>
      <c r="G215" s="21"/>
      <c r="H215" s="21"/>
      <c r="I215" s="21"/>
      <c r="J215" s="21"/>
      <c r="K215" s="20"/>
      <c r="L215" s="21"/>
      <c r="M215" s="21"/>
      <c r="N215" s="21">
        <f t="shared" si="3"/>
        <v>0</v>
      </c>
    </row>
    <row r="216" spans="1:14">
      <c r="A216" s="24"/>
      <c r="B216" s="20"/>
      <c r="C216" s="102"/>
      <c r="D216" s="21"/>
      <c r="E216" s="21"/>
      <c r="F216" s="21"/>
      <c r="G216" s="21"/>
      <c r="H216" s="21"/>
      <c r="I216" s="21"/>
      <c r="J216" s="21"/>
      <c r="K216" s="20"/>
      <c r="L216" s="21"/>
      <c r="M216" s="21"/>
      <c r="N216" s="21">
        <f t="shared" si="3"/>
        <v>0</v>
      </c>
    </row>
    <row r="217" spans="1:14">
      <c r="A217" s="24"/>
      <c r="B217" s="20"/>
      <c r="C217" s="102"/>
      <c r="D217" s="21"/>
      <c r="E217" s="21"/>
      <c r="F217" s="21"/>
      <c r="G217" s="21"/>
      <c r="H217" s="21"/>
      <c r="I217" s="21"/>
      <c r="J217" s="21"/>
      <c r="K217" s="20"/>
      <c r="L217" s="21"/>
      <c r="M217" s="21"/>
      <c r="N217" s="21">
        <f t="shared" si="3"/>
        <v>0</v>
      </c>
    </row>
    <row r="218" spans="1:14">
      <c r="A218" s="24"/>
      <c r="B218" s="20"/>
      <c r="C218" s="102"/>
      <c r="D218" s="21"/>
      <c r="E218" s="21"/>
      <c r="F218" s="21"/>
      <c r="G218" s="21"/>
      <c r="H218" s="21"/>
      <c r="I218" s="21"/>
      <c r="J218" s="21"/>
      <c r="K218" s="20"/>
      <c r="L218" s="21"/>
      <c r="M218" s="21"/>
      <c r="N218" s="21">
        <f t="shared" si="3"/>
        <v>0</v>
      </c>
    </row>
    <row r="219" spans="1:14">
      <c r="A219" s="24"/>
      <c r="B219" s="20"/>
      <c r="C219" s="102"/>
      <c r="D219" s="21"/>
      <c r="E219" s="21"/>
      <c r="F219" s="21"/>
      <c r="G219" s="21"/>
      <c r="H219" s="21"/>
      <c r="I219" s="21"/>
      <c r="J219" s="21"/>
      <c r="K219" s="20"/>
      <c r="L219" s="21"/>
      <c r="M219" s="21"/>
      <c r="N219" s="21">
        <f t="shared" si="3"/>
        <v>0</v>
      </c>
    </row>
    <row r="220" spans="1:14">
      <c r="A220" s="24"/>
      <c r="B220" s="20"/>
      <c r="C220" s="102"/>
      <c r="D220" s="21"/>
      <c r="E220" s="21"/>
      <c r="F220" s="21"/>
      <c r="G220" s="21"/>
      <c r="H220" s="21"/>
      <c r="I220" s="21"/>
      <c r="J220" s="21"/>
      <c r="K220" s="20"/>
      <c r="L220" s="21"/>
      <c r="M220" s="21"/>
      <c r="N220" s="21">
        <f t="shared" si="3"/>
        <v>0</v>
      </c>
    </row>
    <row r="221" spans="1:14">
      <c r="A221" s="24"/>
      <c r="B221" s="20"/>
      <c r="C221" s="102"/>
      <c r="D221" s="21"/>
      <c r="E221" s="21"/>
      <c r="F221" s="21"/>
      <c r="G221" s="21"/>
      <c r="H221" s="21"/>
      <c r="I221" s="21"/>
      <c r="J221" s="21"/>
      <c r="K221" s="20"/>
      <c r="L221" s="21"/>
      <c r="M221" s="21"/>
      <c r="N221" s="21">
        <f t="shared" si="3"/>
        <v>0</v>
      </c>
    </row>
    <row r="222" spans="1:14">
      <c r="A222" s="24"/>
      <c r="B222" s="20"/>
      <c r="C222" s="102"/>
      <c r="D222" s="21"/>
      <c r="E222" s="21"/>
      <c r="F222" s="21"/>
      <c r="G222" s="21"/>
      <c r="H222" s="21"/>
      <c r="I222" s="21"/>
      <c r="J222" s="21"/>
      <c r="K222" s="20"/>
      <c r="L222" s="21"/>
      <c r="M222" s="21"/>
      <c r="N222" s="21">
        <f t="shared" si="3"/>
        <v>0</v>
      </c>
    </row>
    <row r="223" spans="1:14">
      <c r="A223" s="24"/>
      <c r="B223" s="20"/>
      <c r="C223" s="102"/>
      <c r="D223" s="21"/>
      <c r="E223" s="21"/>
      <c r="F223" s="21"/>
      <c r="G223" s="21"/>
      <c r="H223" s="21"/>
      <c r="I223" s="21"/>
      <c r="J223" s="21"/>
      <c r="K223" s="20"/>
      <c r="L223" s="21"/>
      <c r="M223" s="21"/>
      <c r="N223" s="21">
        <f t="shared" si="3"/>
        <v>0</v>
      </c>
    </row>
    <row r="224" spans="1:14">
      <c r="A224" s="24"/>
      <c r="B224" s="20"/>
      <c r="C224" s="102"/>
      <c r="D224" s="21"/>
      <c r="E224" s="21"/>
      <c r="F224" s="21"/>
      <c r="G224" s="21"/>
      <c r="H224" s="21"/>
      <c r="I224" s="21"/>
      <c r="J224" s="21"/>
      <c r="K224" s="20"/>
      <c r="L224" s="21"/>
      <c r="M224" s="21"/>
      <c r="N224" s="21">
        <f t="shared" si="3"/>
        <v>0</v>
      </c>
    </row>
    <row r="225" spans="1:14">
      <c r="A225" s="24"/>
      <c r="B225" s="20"/>
      <c r="C225" s="102"/>
      <c r="D225" s="21"/>
      <c r="E225" s="21"/>
      <c r="F225" s="21"/>
      <c r="G225" s="21"/>
      <c r="H225" s="21"/>
      <c r="I225" s="21"/>
      <c r="J225" s="21"/>
      <c r="K225" s="20"/>
      <c r="L225" s="21"/>
      <c r="M225" s="21"/>
      <c r="N225" s="21">
        <f t="shared" si="3"/>
        <v>0</v>
      </c>
    </row>
    <row r="226" spans="1:14">
      <c r="A226" s="24"/>
      <c r="B226" s="20"/>
      <c r="C226" s="102"/>
      <c r="D226" s="21"/>
      <c r="E226" s="21"/>
      <c r="F226" s="21"/>
      <c r="G226" s="21"/>
      <c r="H226" s="21"/>
      <c r="I226" s="21"/>
      <c r="J226" s="21"/>
      <c r="K226" s="20"/>
      <c r="L226" s="21"/>
      <c r="M226" s="21"/>
      <c r="N226" s="21">
        <f t="shared" si="3"/>
        <v>0</v>
      </c>
    </row>
    <row r="227" spans="1:14">
      <c r="A227" s="24"/>
      <c r="B227" s="20"/>
      <c r="C227" s="102"/>
      <c r="D227" s="21"/>
      <c r="E227" s="21"/>
      <c r="F227" s="21"/>
      <c r="G227" s="21"/>
      <c r="H227" s="21"/>
      <c r="I227" s="21"/>
      <c r="J227" s="21"/>
      <c r="K227" s="20"/>
      <c r="L227" s="21"/>
      <c r="M227" s="21"/>
      <c r="N227" s="21">
        <f t="shared" si="3"/>
        <v>0</v>
      </c>
    </row>
    <row r="228" spans="1:14">
      <c r="A228" s="24"/>
      <c r="B228" s="20"/>
      <c r="C228" s="102"/>
      <c r="D228" s="21"/>
      <c r="E228" s="21"/>
      <c r="F228" s="21"/>
      <c r="G228" s="21"/>
      <c r="H228" s="21"/>
      <c r="I228" s="21"/>
      <c r="J228" s="21"/>
      <c r="K228" s="20"/>
      <c r="L228" s="21"/>
      <c r="M228" s="21"/>
      <c r="N228" s="21">
        <f t="shared" si="3"/>
        <v>0</v>
      </c>
    </row>
    <row r="229" spans="1:14">
      <c r="A229" s="24"/>
      <c r="B229" s="20"/>
      <c r="C229" s="102"/>
      <c r="D229" s="21"/>
      <c r="E229" s="21"/>
      <c r="F229" s="21"/>
      <c r="G229" s="21"/>
      <c r="H229" s="21"/>
      <c r="I229" s="21"/>
      <c r="J229" s="21"/>
      <c r="K229" s="20"/>
      <c r="L229" s="21"/>
      <c r="M229" s="21"/>
      <c r="N229" s="21">
        <f t="shared" si="3"/>
        <v>0</v>
      </c>
    </row>
    <row r="230" spans="1:14">
      <c r="A230" s="24"/>
      <c r="B230" s="20"/>
      <c r="C230" s="102"/>
      <c r="D230" s="21"/>
      <c r="E230" s="21"/>
      <c r="F230" s="21"/>
      <c r="G230" s="21"/>
      <c r="H230" s="21"/>
      <c r="I230" s="21"/>
      <c r="J230" s="21"/>
      <c r="K230" s="20"/>
      <c r="L230" s="21"/>
      <c r="M230" s="21"/>
      <c r="N230" s="21">
        <f t="shared" si="3"/>
        <v>0</v>
      </c>
    </row>
    <row r="231" spans="1:14">
      <c r="A231" s="24"/>
      <c r="B231" s="20"/>
      <c r="C231" s="102"/>
      <c r="D231" s="21"/>
      <c r="E231" s="21"/>
      <c r="F231" s="21"/>
      <c r="G231" s="21"/>
      <c r="H231" s="21"/>
      <c r="I231" s="21"/>
      <c r="J231" s="21"/>
      <c r="K231" s="20"/>
      <c r="L231" s="21"/>
      <c r="M231" s="21"/>
      <c r="N231" s="21">
        <f t="shared" si="3"/>
        <v>0</v>
      </c>
    </row>
    <row r="232" spans="1:14">
      <c r="A232" s="24"/>
      <c r="B232" s="20"/>
      <c r="C232" s="102"/>
      <c r="D232" s="21"/>
      <c r="E232" s="21"/>
      <c r="F232" s="21"/>
      <c r="G232" s="21"/>
      <c r="H232" s="21"/>
      <c r="I232" s="21"/>
      <c r="J232" s="21"/>
      <c r="K232" s="20"/>
      <c r="L232" s="21"/>
      <c r="M232" s="21"/>
      <c r="N232" s="21">
        <f t="shared" si="3"/>
        <v>0</v>
      </c>
    </row>
    <row r="233" spans="1:14">
      <c r="A233" s="24"/>
      <c r="B233" s="20"/>
      <c r="C233" s="102"/>
      <c r="D233" s="21"/>
      <c r="E233" s="21"/>
      <c r="F233" s="21"/>
      <c r="G233" s="21"/>
      <c r="H233" s="21"/>
      <c r="I233" s="21"/>
      <c r="J233" s="21"/>
      <c r="K233" s="20"/>
      <c r="L233" s="21"/>
      <c r="M233" s="21"/>
      <c r="N233" s="21">
        <f t="shared" si="3"/>
        <v>0</v>
      </c>
    </row>
    <row r="234" spans="1:14">
      <c r="A234" s="24"/>
      <c r="B234" s="20"/>
      <c r="C234" s="102"/>
      <c r="D234" s="21"/>
      <c r="E234" s="21"/>
      <c r="F234" s="21"/>
      <c r="G234" s="21"/>
      <c r="H234" s="21"/>
      <c r="I234" s="21"/>
      <c r="J234" s="21"/>
      <c r="K234" s="20"/>
      <c r="L234" s="21"/>
      <c r="M234" s="21"/>
      <c r="N234" s="21">
        <f t="shared" si="3"/>
        <v>0</v>
      </c>
    </row>
    <row r="235" spans="1:14">
      <c r="A235" s="24"/>
      <c r="B235" s="20"/>
      <c r="C235" s="102"/>
      <c r="D235" s="21"/>
      <c r="E235" s="21"/>
      <c r="F235" s="21"/>
      <c r="G235" s="21"/>
      <c r="H235" s="21"/>
      <c r="I235" s="21"/>
      <c r="J235" s="21"/>
      <c r="K235" s="20"/>
      <c r="L235" s="21"/>
      <c r="M235" s="21"/>
      <c r="N235" s="21">
        <f t="shared" si="3"/>
        <v>0</v>
      </c>
    </row>
    <row r="236" spans="1:14">
      <c r="A236" s="24"/>
      <c r="B236" s="20"/>
      <c r="C236" s="102"/>
      <c r="D236" s="21"/>
      <c r="E236" s="21"/>
      <c r="F236" s="21"/>
      <c r="G236" s="21"/>
      <c r="H236" s="21"/>
      <c r="I236" s="21"/>
      <c r="J236" s="21"/>
      <c r="K236" s="20"/>
      <c r="L236" s="21"/>
      <c r="M236" s="21"/>
      <c r="N236" s="21">
        <f t="shared" si="3"/>
        <v>0</v>
      </c>
    </row>
    <row r="237" spans="1:14">
      <c r="A237" s="24"/>
      <c r="B237" s="20"/>
      <c r="C237" s="102"/>
      <c r="D237" s="21"/>
      <c r="E237" s="21"/>
      <c r="F237" s="21"/>
      <c r="G237" s="21"/>
      <c r="H237" s="21"/>
      <c r="I237" s="21"/>
      <c r="J237" s="21"/>
      <c r="K237" s="20"/>
      <c r="L237" s="21"/>
      <c r="M237" s="21"/>
      <c r="N237" s="21">
        <f t="shared" si="3"/>
        <v>0</v>
      </c>
    </row>
    <row r="238" spans="1:14">
      <c r="A238" s="24"/>
      <c r="B238" s="20"/>
      <c r="C238" s="102"/>
      <c r="D238" s="21"/>
      <c r="E238" s="21"/>
      <c r="F238" s="21"/>
      <c r="G238" s="21"/>
      <c r="H238" s="21"/>
      <c r="I238" s="21"/>
      <c r="J238" s="21"/>
      <c r="K238" s="20"/>
      <c r="L238" s="21"/>
      <c r="M238" s="21"/>
      <c r="N238" s="21">
        <f t="shared" si="3"/>
        <v>0</v>
      </c>
    </row>
    <row r="239" spans="1:14">
      <c r="A239" s="24"/>
      <c r="B239" s="20"/>
      <c r="C239" s="102"/>
      <c r="D239" s="21"/>
      <c r="E239" s="21"/>
      <c r="F239" s="21"/>
      <c r="G239" s="21"/>
      <c r="H239" s="21"/>
      <c r="I239" s="21"/>
      <c r="J239" s="21"/>
      <c r="K239" s="20"/>
      <c r="L239" s="21"/>
      <c r="M239" s="21"/>
      <c r="N239" s="21">
        <f t="shared" si="3"/>
        <v>0</v>
      </c>
    </row>
    <row r="240" spans="1:14">
      <c r="A240" s="24"/>
      <c r="B240" s="20"/>
      <c r="C240" s="102"/>
      <c r="D240" s="21"/>
      <c r="E240" s="21"/>
      <c r="F240" s="21"/>
      <c r="G240" s="21"/>
      <c r="H240" s="21"/>
      <c r="I240" s="21"/>
      <c r="J240" s="21"/>
      <c r="K240" s="20"/>
      <c r="L240" s="21"/>
      <c r="M240" s="21"/>
      <c r="N240" s="21">
        <f t="shared" si="3"/>
        <v>0</v>
      </c>
    </row>
    <row r="241" spans="1:14">
      <c r="A241" s="24"/>
      <c r="B241" s="20"/>
      <c r="C241" s="102"/>
      <c r="D241" s="21"/>
      <c r="E241" s="21"/>
      <c r="F241" s="21"/>
      <c r="G241" s="21"/>
      <c r="H241" s="21"/>
      <c r="I241" s="21"/>
      <c r="J241" s="21"/>
      <c r="K241" s="20"/>
      <c r="L241" s="21"/>
      <c r="M241" s="21"/>
      <c r="N241" s="21">
        <f t="shared" si="3"/>
        <v>0</v>
      </c>
    </row>
    <row r="242" spans="1:14">
      <c r="A242" s="24"/>
      <c r="B242" s="20"/>
      <c r="C242" s="102"/>
      <c r="D242" s="21"/>
      <c r="E242" s="21"/>
      <c r="F242" s="21"/>
      <c r="G242" s="21"/>
      <c r="H242" s="21"/>
      <c r="I242" s="21"/>
      <c r="J242" s="21"/>
      <c r="K242" s="20"/>
      <c r="L242" s="21"/>
      <c r="M242" s="21"/>
      <c r="N242" s="21">
        <f t="shared" si="3"/>
        <v>0</v>
      </c>
    </row>
    <row r="243" spans="1:14">
      <c r="A243" s="24"/>
      <c r="B243" s="20"/>
      <c r="C243" s="102"/>
      <c r="D243" s="21"/>
      <c r="E243" s="21"/>
      <c r="F243" s="21"/>
      <c r="G243" s="21"/>
      <c r="H243" s="21"/>
      <c r="I243" s="21"/>
      <c r="J243" s="21"/>
      <c r="K243" s="20"/>
      <c r="L243" s="21"/>
      <c r="M243" s="21"/>
      <c r="N243" s="21">
        <f t="shared" si="3"/>
        <v>0</v>
      </c>
    </row>
    <row r="244" spans="1:14">
      <c r="A244" s="24"/>
      <c r="B244" s="20"/>
      <c r="C244" s="102"/>
      <c r="D244" s="21"/>
      <c r="E244" s="21"/>
      <c r="F244" s="21"/>
      <c r="G244" s="21"/>
      <c r="H244" s="21"/>
      <c r="I244" s="21"/>
      <c r="J244" s="21"/>
      <c r="K244" s="20"/>
      <c r="L244" s="21"/>
      <c r="M244" s="21"/>
      <c r="N244" s="21">
        <f t="shared" si="3"/>
        <v>0</v>
      </c>
    </row>
    <row r="245" spans="1:14">
      <c r="A245" s="24"/>
      <c r="B245" s="20"/>
      <c r="C245" s="102"/>
      <c r="D245" s="21"/>
      <c r="E245" s="21"/>
      <c r="F245" s="21"/>
      <c r="G245" s="21"/>
      <c r="H245" s="21"/>
      <c r="I245" s="21"/>
      <c r="J245" s="21"/>
      <c r="K245" s="20"/>
      <c r="L245" s="21"/>
      <c r="M245" s="21"/>
      <c r="N245" s="21">
        <f t="shared" si="3"/>
        <v>0</v>
      </c>
    </row>
    <row r="246" spans="1:14">
      <c r="A246" s="24"/>
      <c r="B246" s="20"/>
      <c r="C246" s="102"/>
      <c r="D246" s="21"/>
      <c r="E246" s="21"/>
      <c r="F246" s="21"/>
      <c r="G246" s="21"/>
      <c r="H246" s="21"/>
      <c r="I246" s="21"/>
      <c r="J246" s="21"/>
      <c r="K246" s="20"/>
      <c r="L246" s="21"/>
      <c r="M246" s="21"/>
      <c r="N246" s="21">
        <f t="shared" si="3"/>
        <v>0</v>
      </c>
    </row>
    <row r="247" spans="1:14">
      <c r="A247" s="24"/>
      <c r="B247" s="20"/>
      <c r="C247" s="102"/>
      <c r="D247" s="21"/>
      <c r="E247" s="21"/>
      <c r="F247" s="21"/>
      <c r="G247" s="21"/>
      <c r="H247" s="21"/>
      <c r="I247" s="21"/>
      <c r="J247" s="21"/>
      <c r="K247" s="20"/>
      <c r="L247" s="21"/>
      <c r="M247" s="21"/>
      <c r="N247" s="21">
        <f t="shared" si="3"/>
        <v>0</v>
      </c>
    </row>
    <row r="248" spans="1:14">
      <c r="A248" s="24"/>
      <c r="B248" s="20"/>
      <c r="C248" s="102"/>
      <c r="D248" s="21"/>
      <c r="E248" s="21"/>
      <c r="F248" s="21"/>
      <c r="G248" s="21"/>
      <c r="H248" s="21"/>
      <c r="I248" s="21"/>
      <c r="J248" s="21"/>
      <c r="K248" s="20"/>
      <c r="L248" s="21"/>
      <c r="M248" s="21"/>
      <c r="N248" s="21">
        <f t="shared" si="3"/>
        <v>0</v>
      </c>
    </row>
    <row r="249" spans="1:14">
      <c r="A249" s="24"/>
      <c r="B249" s="20"/>
      <c r="C249" s="102"/>
      <c r="D249" s="21"/>
      <c r="E249" s="21"/>
      <c r="F249" s="21"/>
      <c r="G249" s="21"/>
      <c r="H249" s="21"/>
      <c r="I249" s="21"/>
      <c r="J249" s="21"/>
      <c r="K249" s="20"/>
      <c r="L249" s="21"/>
      <c r="M249" s="21"/>
      <c r="N249" s="21">
        <f t="shared" si="3"/>
        <v>0</v>
      </c>
    </row>
    <row r="250" spans="1:14">
      <c r="A250" s="24"/>
      <c r="B250" s="20"/>
      <c r="C250" s="102"/>
      <c r="D250" s="21"/>
      <c r="E250" s="21"/>
      <c r="F250" s="21"/>
      <c r="G250" s="21"/>
      <c r="H250" s="21"/>
      <c r="I250" s="21"/>
      <c r="J250" s="21"/>
      <c r="K250" s="20"/>
      <c r="L250" s="21"/>
      <c r="M250" s="21"/>
      <c r="N250" s="21">
        <f t="shared" si="3"/>
        <v>0</v>
      </c>
    </row>
    <row r="251" spans="1:14">
      <c r="A251" s="24"/>
      <c r="B251" s="20"/>
      <c r="C251" s="102"/>
      <c r="D251" s="21"/>
      <c r="E251" s="21"/>
      <c r="F251" s="21"/>
      <c r="G251" s="21"/>
      <c r="H251" s="21"/>
      <c r="I251" s="21"/>
      <c r="J251" s="21"/>
      <c r="K251" s="20"/>
      <c r="L251" s="21"/>
      <c r="M251" s="21"/>
      <c r="N251" s="21">
        <f t="shared" si="3"/>
        <v>0</v>
      </c>
    </row>
    <row r="252" spans="1:14">
      <c r="D252" s="16"/>
      <c r="E252" s="16"/>
      <c r="F252" s="16"/>
    </row>
    <row r="253" spans="1:14">
      <c r="D253" s="16"/>
      <c r="E253" s="16"/>
      <c r="F253" s="16"/>
    </row>
  </sheetData>
  <conditionalFormatting sqref="D1:F1048576 G1:H90 G92:H251 G91 I91">
    <cfRule type="colorScale" priority="2">
      <colorScale>
        <cfvo type="min"/>
        <cfvo type="percentile" val="50"/>
        <cfvo type="max"/>
        <color rgb="FFF8696B"/>
        <color rgb="FFFFEB84"/>
        <color rgb="FF63BE7B"/>
      </colorScale>
    </cfRule>
  </conditionalFormatting>
  <conditionalFormatting sqref="D2:J90 D92:J251 D91:G91 I91:J91">
    <cfRule type="colorScale" priority="15">
      <colorScale>
        <cfvo type="min"/>
        <cfvo type="max"/>
        <color rgb="FFFCFCFF"/>
        <color rgb="FF63BE7B"/>
      </colorScale>
    </cfRule>
  </conditionalFormatting>
  <conditionalFormatting sqref="G252:G1048576 I1:J90 I92:J251 J91">
    <cfRule type="colorScale" priority="3">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F80FC-3B5D-414F-A974-63E84E3EE07D}">
  <sheetPr>
    <tabColor theme="9" tint="0.59999389629810485"/>
  </sheetPr>
  <dimension ref="A1:Z64"/>
  <sheetViews>
    <sheetView tabSelected="1" zoomScaleNormal="100" workbookViewId="0">
      <pane xSplit="1" ySplit="2" topLeftCell="B18" activePane="bottomRight" state="frozen"/>
      <selection pane="topRight" activeCell="R2" sqref="R2"/>
      <selection pane="bottomLeft" activeCell="R2" sqref="R2"/>
      <selection pane="bottomRight" activeCell="C20" sqref="C20"/>
    </sheetView>
  </sheetViews>
  <sheetFormatPr defaultRowHeight="14.5"/>
  <cols>
    <col min="1" max="1" width="5.6328125" style="5" customWidth="1"/>
    <col min="2" max="2" width="15.453125" customWidth="1"/>
    <col min="3" max="3" width="47.36328125" style="3" customWidth="1"/>
    <col min="4" max="4" width="18.6328125" style="2" customWidth="1"/>
    <col min="5" max="8" width="25.6328125" style="2" customWidth="1"/>
    <col min="9" max="14" width="15.6328125" style="2" customWidth="1"/>
    <col min="15" max="15" width="15.6328125" style="6" customWidth="1"/>
    <col min="16" max="16" width="25.54296875" style="2" customWidth="1"/>
    <col min="17" max="17" width="11.54296875" style="2" customWidth="1"/>
    <col min="18" max="18" width="15.6328125" style="2" customWidth="1"/>
    <col min="19" max="19" width="28.36328125" style="2" customWidth="1"/>
    <col min="20" max="20" width="16.6328125" customWidth="1"/>
    <col min="21" max="21" width="19.6328125" customWidth="1"/>
    <col min="22" max="22" width="23.08984375" customWidth="1"/>
    <col min="23" max="23" width="14.08984375" customWidth="1"/>
    <col min="24" max="24" width="34.54296875" customWidth="1"/>
    <col min="25" max="25" width="38.36328125" customWidth="1"/>
    <col min="26" max="26" width="20.54296875" customWidth="1"/>
  </cols>
  <sheetData>
    <row r="1" spans="1:26" ht="14.4" customHeight="1">
      <c r="B1" s="113" t="s">
        <v>3201</v>
      </c>
      <c r="C1" s="113"/>
      <c r="D1" s="113"/>
      <c r="E1" s="114" t="s">
        <v>3202</v>
      </c>
      <c r="F1" s="114"/>
      <c r="G1" s="114"/>
      <c r="H1" s="114"/>
      <c r="I1" s="112" t="s">
        <v>3203</v>
      </c>
      <c r="J1" s="112"/>
      <c r="K1" s="112"/>
      <c r="L1" s="112"/>
      <c r="M1" s="112"/>
      <c r="N1" s="112"/>
      <c r="O1" s="112"/>
      <c r="P1" s="114" t="s">
        <v>3204</v>
      </c>
      <c r="Q1" s="114"/>
      <c r="R1" s="114"/>
      <c r="S1" s="114"/>
      <c r="T1" s="112" t="s">
        <v>3205</v>
      </c>
      <c r="U1" s="112"/>
      <c r="V1" s="112"/>
      <c r="W1" s="112"/>
      <c r="X1" s="112"/>
      <c r="Y1" s="112"/>
      <c r="Z1" s="112"/>
    </row>
    <row r="2" spans="1:26" s="16" customFormat="1" ht="56.5">
      <c r="A2" s="10" t="s">
        <v>3164</v>
      </c>
      <c r="B2" s="36" t="s">
        <v>3201</v>
      </c>
      <c r="C2" s="36" t="s">
        <v>2</v>
      </c>
      <c r="D2" s="36" t="s">
        <v>3206</v>
      </c>
      <c r="E2" s="27" t="s">
        <v>3207</v>
      </c>
      <c r="F2" s="27" t="s">
        <v>3208</v>
      </c>
      <c r="G2" s="27" t="s">
        <v>3209</v>
      </c>
      <c r="H2" s="27" t="s">
        <v>3210</v>
      </c>
      <c r="I2" s="36" t="s">
        <v>3211</v>
      </c>
      <c r="J2" s="36" t="s">
        <v>3212</v>
      </c>
      <c r="K2" s="36" t="s">
        <v>3213</v>
      </c>
      <c r="L2" s="36" t="s">
        <v>3214</v>
      </c>
      <c r="M2" s="36" t="s">
        <v>3215</v>
      </c>
      <c r="N2" s="36" t="s">
        <v>3216</v>
      </c>
      <c r="O2" s="36" t="s">
        <v>3217</v>
      </c>
      <c r="P2" s="27" t="s">
        <v>3218</v>
      </c>
      <c r="Q2" s="27" t="s">
        <v>3219</v>
      </c>
      <c r="R2" s="27" t="s">
        <v>3220</v>
      </c>
      <c r="S2" s="27" t="s">
        <v>3221</v>
      </c>
      <c r="T2" s="36" t="s">
        <v>3222</v>
      </c>
      <c r="U2" s="36" t="s">
        <v>3223</v>
      </c>
      <c r="V2" s="36" t="s">
        <v>3224</v>
      </c>
      <c r="W2" s="36" t="s">
        <v>3225</v>
      </c>
      <c r="X2" s="107" t="s">
        <v>3226</v>
      </c>
      <c r="Y2" s="107" t="s">
        <v>3227</v>
      </c>
      <c r="Z2" s="107" t="s">
        <v>3228</v>
      </c>
    </row>
    <row r="3" spans="1:26" s="3" customFormat="1" ht="246" customHeight="1">
      <c r="A3" s="24"/>
      <c r="B3" s="20"/>
      <c r="C3" s="20" t="str">
        <f>Titles!B2</f>
        <v>Life Cycle Impacts of Timber and Reinforced Concrete Floor Slabs: A Comparative Assessment</v>
      </c>
      <c r="D3" s="20">
        <v>2025</v>
      </c>
      <c r="E3" s="20" t="s">
        <v>3229</v>
      </c>
      <c r="F3" s="20" t="s">
        <v>3230</v>
      </c>
      <c r="G3" s="20" t="s">
        <v>3231</v>
      </c>
      <c r="H3" s="20" t="s">
        <v>3232</v>
      </c>
      <c r="I3" s="20">
        <v>1</v>
      </c>
      <c r="J3" s="20" t="s">
        <v>3233</v>
      </c>
      <c r="K3" s="20" t="s">
        <v>3234</v>
      </c>
      <c r="L3" s="20" t="s">
        <v>3235</v>
      </c>
      <c r="M3" s="20" t="s">
        <v>3236</v>
      </c>
      <c r="N3" s="20" t="s">
        <v>3237</v>
      </c>
      <c r="O3" s="20" t="s">
        <v>3238</v>
      </c>
      <c r="P3" s="20" t="s">
        <v>3239</v>
      </c>
      <c r="Q3" s="20">
        <v>2025</v>
      </c>
      <c r="R3" s="20" t="s">
        <v>3240</v>
      </c>
      <c r="S3" s="20" t="s">
        <v>3241</v>
      </c>
      <c r="T3" s="108" t="s">
        <v>3242</v>
      </c>
      <c r="U3" s="20" t="s">
        <v>3243</v>
      </c>
      <c r="V3" s="20" t="s">
        <v>3244</v>
      </c>
      <c r="W3" s="108" t="s">
        <v>3301</v>
      </c>
      <c r="X3" s="109" t="s">
        <v>3245</v>
      </c>
      <c r="Y3" s="20" t="s">
        <v>3246</v>
      </c>
      <c r="Z3" s="20" t="s">
        <v>3247</v>
      </c>
    </row>
    <row r="4" spans="1:26" s="3" customFormat="1" ht="117">
      <c r="A4" s="24"/>
      <c r="B4" s="22"/>
      <c r="C4" s="20" t="str">
        <f>Titles!B3</f>
        <v>Structural design of hybrid steel-timber buildings for lower production stage embodied carbon emissions</v>
      </c>
      <c r="D4" s="20">
        <v>2023</v>
      </c>
      <c r="E4" s="20" t="s">
        <v>3346</v>
      </c>
      <c r="F4" s="108" t="s">
        <v>3347</v>
      </c>
      <c r="G4" s="20" t="s">
        <v>3348</v>
      </c>
      <c r="H4" s="20" t="s">
        <v>3349</v>
      </c>
      <c r="I4" s="20">
        <v>1</v>
      </c>
      <c r="J4" s="20" t="s">
        <v>3331</v>
      </c>
      <c r="K4" s="20" t="s">
        <v>3351</v>
      </c>
      <c r="L4" s="20" t="s">
        <v>3352</v>
      </c>
      <c r="M4" s="20" t="s">
        <v>3334</v>
      </c>
      <c r="N4" s="108" t="s">
        <v>3353</v>
      </c>
      <c r="O4" s="20" t="s">
        <v>3355</v>
      </c>
      <c r="P4" s="20" t="s">
        <v>3356</v>
      </c>
      <c r="Q4" s="20" t="s">
        <v>3357</v>
      </c>
      <c r="R4" s="20" t="s">
        <v>3358</v>
      </c>
      <c r="S4" s="20" t="s">
        <v>3359</v>
      </c>
      <c r="T4" s="20" t="s">
        <v>3360</v>
      </c>
      <c r="U4" s="20" t="s">
        <v>3363</v>
      </c>
      <c r="V4" s="20" t="s">
        <v>3364</v>
      </c>
      <c r="W4" s="20" t="s">
        <v>3301</v>
      </c>
      <c r="X4" s="20" t="s">
        <v>3365</v>
      </c>
      <c r="Y4" s="20" t="s">
        <v>3366</v>
      </c>
      <c r="Z4" s="20" t="s">
        <v>3367</v>
      </c>
    </row>
    <row r="5" spans="1:26" s="3" customFormat="1" ht="143.25" customHeight="1">
      <c r="A5" s="24"/>
      <c r="B5" s="20"/>
      <c r="C5" s="20" t="str">
        <f>Titles!B4</f>
        <v>Technical note: A preliminary study to quantify the environmental impacts of concrete and cork flooring</v>
      </c>
      <c r="D5" s="20">
        <v>2017</v>
      </c>
      <c r="E5" s="20" t="s">
        <v>3368</v>
      </c>
      <c r="F5" s="20" t="s">
        <v>3369</v>
      </c>
      <c r="G5" s="20" t="s">
        <v>3370</v>
      </c>
      <c r="H5" s="20" t="s">
        <v>3371</v>
      </c>
      <c r="I5" s="20">
        <v>1</v>
      </c>
      <c r="J5" s="20" t="s">
        <v>3331</v>
      </c>
      <c r="K5" s="20" t="s">
        <v>3372</v>
      </c>
      <c r="L5" s="20" t="s">
        <v>3373</v>
      </c>
      <c r="M5" s="20" t="s">
        <v>3334</v>
      </c>
      <c r="N5" s="20" t="s">
        <v>3374</v>
      </c>
      <c r="O5" s="20" t="s">
        <v>3375</v>
      </c>
      <c r="P5" s="20" t="s">
        <v>3376</v>
      </c>
      <c r="Q5" s="20">
        <v>2017</v>
      </c>
      <c r="R5" s="20" t="s">
        <v>3377</v>
      </c>
      <c r="S5" s="20" t="s">
        <v>3378</v>
      </c>
      <c r="T5" s="20" t="s">
        <v>3379</v>
      </c>
      <c r="U5" s="20" t="s">
        <v>3380</v>
      </c>
      <c r="V5" s="20" t="s">
        <v>3381</v>
      </c>
      <c r="W5" s="20" t="s">
        <v>3301</v>
      </c>
      <c r="X5" s="20" t="s">
        <v>3382</v>
      </c>
      <c r="Y5" s="20" t="s">
        <v>3383</v>
      </c>
      <c r="Z5" s="20" t="s">
        <v>3384</v>
      </c>
    </row>
    <row r="6" spans="1:26" s="3" customFormat="1" ht="104">
      <c r="A6" s="24"/>
      <c r="B6" s="20"/>
      <c r="C6" s="20" t="str">
        <f>Titles!B5</f>
        <v>INFLUENCE OF DIFFERENT END-OF-LIFE CYCLE SCENARIOS ON THE ENVIRONMENTAL IMPACTS OF TIMBER-CONCRETE COMPOSITE FLOOR SYSTEMS</v>
      </c>
      <c r="D6" s="20">
        <v>2023</v>
      </c>
      <c r="E6" s="20" t="s">
        <v>3391</v>
      </c>
      <c r="F6" s="20" t="s">
        <v>3392</v>
      </c>
      <c r="G6" s="20" t="s">
        <v>3393</v>
      </c>
      <c r="H6" s="20" t="s">
        <v>3394</v>
      </c>
      <c r="I6" s="20">
        <v>1</v>
      </c>
      <c r="J6" s="20" t="s">
        <v>3311</v>
      </c>
      <c r="K6" s="20" t="s">
        <v>3395</v>
      </c>
      <c r="L6" s="20" t="s">
        <v>3396</v>
      </c>
      <c r="M6" s="20" t="s">
        <v>3397</v>
      </c>
      <c r="N6" s="20" t="s">
        <v>3398</v>
      </c>
      <c r="O6" s="20" t="s">
        <v>3399</v>
      </c>
      <c r="P6" s="20" t="s">
        <v>3400</v>
      </c>
      <c r="Q6" s="20">
        <v>2023</v>
      </c>
      <c r="R6" s="20" t="s">
        <v>3401</v>
      </c>
      <c r="S6" s="20" t="s">
        <v>3403</v>
      </c>
      <c r="T6" s="20" t="s">
        <v>3405</v>
      </c>
      <c r="U6" s="20" t="s">
        <v>3406</v>
      </c>
      <c r="V6" s="20" t="s">
        <v>3407</v>
      </c>
      <c r="W6" s="20" t="s">
        <v>3301</v>
      </c>
      <c r="X6" s="20" t="s">
        <v>3408</v>
      </c>
      <c r="Y6" s="20" t="s">
        <v>3409</v>
      </c>
      <c r="Z6" s="20" t="s">
        <v>3410</v>
      </c>
    </row>
    <row r="7" spans="1:26" s="3" customFormat="1" ht="117">
      <c r="A7" s="24"/>
      <c r="B7" s="20"/>
      <c r="C7" s="20" t="str">
        <f>Titles!B6</f>
        <v>Cross-laminated timber flooring and concrete slab flooring: A comparative study of structural design, economic and environmental consequences</v>
      </c>
      <c r="D7" s="20">
        <v>2019</v>
      </c>
      <c r="E7" s="20" t="s">
        <v>3346</v>
      </c>
      <c r="F7" s="20" t="s">
        <v>3348</v>
      </c>
      <c r="G7" s="20" t="s">
        <v>3420</v>
      </c>
      <c r="H7" s="20" t="s">
        <v>3349</v>
      </c>
      <c r="I7" s="20">
        <v>1</v>
      </c>
      <c r="J7" s="20" t="s">
        <v>3331</v>
      </c>
      <c r="K7" s="20" t="s">
        <v>3351</v>
      </c>
      <c r="L7" s="20" t="s">
        <v>3352</v>
      </c>
      <c r="M7" s="20" t="s">
        <v>3334</v>
      </c>
      <c r="N7" s="20"/>
      <c r="O7" s="20" t="s">
        <v>3421</v>
      </c>
      <c r="P7" s="20" t="s">
        <v>3422</v>
      </c>
      <c r="Q7" s="20" t="s">
        <v>3416</v>
      </c>
      <c r="R7" s="20" t="s">
        <v>3358</v>
      </c>
      <c r="S7" s="20"/>
      <c r="T7" s="20" t="s">
        <v>3360</v>
      </c>
      <c r="U7" s="20" t="s">
        <v>3423</v>
      </c>
      <c r="V7" s="20" t="s">
        <v>3364</v>
      </c>
      <c r="W7" s="20" t="s">
        <v>3344</v>
      </c>
      <c r="X7" s="20" t="s">
        <v>3365</v>
      </c>
      <c r="Y7" s="20" t="s">
        <v>3366</v>
      </c>
      <c r="Z7" s="20" t="s">
        <v>3367</v>
      </c>
    </row>
    <row r="8" spans="1:26" s="3" customFormat="1" ht="26">
      <c r="A8" s="24"/>
      <c r="B8" s="20"/>
      <c r="C8" s="20" t="str">
        <f>Titles!B7</f>
        <v>Reducing Embodied Energy of Floor Assembly: A Case for Using CLT in Mid-Rise Residential Buildings</v>
      </c>
      <c r="D8" s="20"/>
      <c r="E8" s="20"/>
      <c r="F8" s="20"/>
      <c r="G8" s="20"/>
      <c r="H8" s="20"/>
      <c r="I8" s="20"/>
      <c r="J8" s="20"/>
      <c r="K8" s="20"/>
      <c r="L8" s="20"/>
      <c r="M8" s="20"/>
      <c r="N8" s="20"/>
      <c r="O8" s="20"/>
      <c r="P8" s="20"/>
      <c r="Q8" s="20"/>
      <c r="R8" s="20"/>
      <c r="S8" s="20"/>
      <c r="T8" s="20"/>
      <c r="U8" s="20"/>
      <c r="V8" s="20"/>
      <c r="W8" s="20"/>
      <c r="X8" s="20"/>
      <c r="Y8" s="20"/>
      <c r="Z8" s="20"/>
    </row>
    <row r="9" spans="1:26" s="3" customFormat="1">
      <c r="A9" s="20"/>
      <c r="B9" s="20"/>
      <c r="C9" s="20" t="str">
        <f>Titles!B8</f>
        <v>Dynamic response of steel-timber composite (STC) beams</v>
      </c>
      <c r="D9" s="20"/>
      <c r="E9" s="20"/>
      <c r="F9" s="20"/>
      <c r="G9" s="20"/>
      <c r="H9" s="20"/>
      <c r="I9" s="20"/>
      <c r="J9" s="20"/>
      <c r="K9" s="20"/>
      <c r="L9" s="20"/>
      <c r="M9" s="20"/>
      <c r="N9" s="20"/>
      <c r="O9" s="20"/>
      <c r="P9" s="20"/>
      <c r="Q9" s="20"/>
      <c r="R9" s="20"/>
      <c r="S9" s="20"/>
      <c r="T9" s="20"/>
      <c r="U9" s="20"/>
      <c r="V9" s="20"/>
      <c r="W9" s="20"/>
      <c r="X9" s="20"/>
      <c r="Y9" s="20"/>
      <c r="Z9" s="20"/>
    </row>
    <row r="10" spans="1:26" s="3" customFormat="1" ht="26">
      <c r="A10" s="20"/>
      <c r="B10" s="20"/>
      <c r="C10" s="20" t="str">
        <f>Titles!B9</f>
        <v>Sustainability Design Considerations for Timber-Concrete Composite Floor Systems</v>
      </c>
      <c r="D10" s="20"/>
      <c r="E10" s="20"/>
      <c r="F10" s="20"/>
      <c r="G10" s="20"/>
      <c r="H10" s="20"/>
      <c r="I10" s="20"/>
      <c r="J10" s="20"/>
      <c r="K10" s="20"/>
      <c r="L10" s="20"/>
      <c r="M10" s="20"/>
      <c r="N10" s="20"/>
      <c r="O10" s="20"/>
      <c r="P10" s="20"/>
      <c r="Q10" s="20"/>
      <c r="R10" s="20"/>
      <c r="S10" s="20"/>
      <c r="T10" s="20"/>
      <c r="U10" s="20"/>
      <c r="V10" s="20"/>
      <c r="W10" s="20"/>
      <c r="X10" s="20"/>
      <c r="Y10" s="20"/>
      <c r="Z10" s="20"/>
    </row>
    <row r="11" spans="1:26" s="3" customFormat="1" ht="39">
      <c r="A11" s="20"/>
      <c r="B11" s="20"/>
      <c r="C11" s="20" t="str">
        <f>Titles!B10</f>
        <v>Environmental benefits of using an all-wood floor system in midrise office construction: an LCA based comparative case study in the Southeastern United States</v>
      </c>
      <c r="D11" s="20"/>
      <c r="E11" s="20"/>
      <c r="F11" s="20"/>
      <c r="G11" s="20"/>
      <c r="H11" s="20"/>
      <c r="I11" s="20"/>
      <c r="J11" s="20"/>
      <c r="K11" s="20"/>
      <c r="L11" s="20"/>
      <c r="M11" s="20"/>
      <c r="N11" s="20"/>
      <c r="O11" s="20"/>
      <c r="P11" s="20"/>
      <c r="Q11" s="20"/>
      <c r="R11" s="20"/>
      <c r="S11" s="20"/>
      <c r="T11" s="20"/>
      <c r="U11" s="20"/>
      <c r="V11" s="20"/>
      <c r="W11" s="20"/>
      <c r="X11" s="20"/>
      <c r="Y11" s="20"/>
      <c r="Z11" s="20"/>
    </row>
    <row r="12" spans="1:26" s="3" customFormat="1" ht="26">
      <c r="A12" s="20"/>
      <c r="B12" s="20"/>
      <c r="C12" s="20" t="str">
        <f>Titles!B11</f>
        <v>BALANCING FASTENER SPACING, ACOUSTICS, AND SPAN LENGTH IN EXPOSED CLT FLOOR-CEILING ASSEMBLIES</v>
      </c>
      <c r="D12" s="20"/>
      <c r="E12" s="20"/>
      <c r="F12" s="20"/>
      <c r="G12" s="20"/>
      <c r="H12" s="20"/>
      <c r="I12" s="20"/>
      <c r="J12" s="20"/>
      <c r="K12" s="20"/>
      <c r="L12" s="20"/>
      <c r="M12" s="20"/>
      <c r="N12" s="20"/>
      <c r="O12" s="20"/>
      <c r="P12" s="20"/>
      <c r="Q12" s="20"/>
      <c r="R12" s="20"/>
      <c r="S12" s="20"/>
      <c r="T12" s="20"/>
      <c r="U12" s="20"/>
      <c r="V12" s="20"/>
      <c r="W12" s="20"/>
      <c r="X12" s="20"/>
      <c r="Y12" s="20"/>
      <c r="Z12" s="20"/>
    </row>
    <row r="13" spans="1:26" s="3" customFormat="1" ht="221">
      <c r="A13" s="20"/>
      <c r="B13" s="20"/>
      <c r="C13" s="20" t="str">
        <f>Titles!B12</f>
        <v>Integrating thermal bridge analysis with life-cycle assessment: energy and environmental performance of Ply-Lam CLT envelopes in ZEB-Level apartments</v>
      </c>
      <c r="D13" s="20">
        <v>2026</v>
      </c>
      <c r="E13" s="20" t="s">
        <v>3248</v>
      </c>
      <c r="F13" s="20" t="s">
        <v>3249</v>
      </c>
      <c r="G13" s="20" t="s">
        <v>3250</v>
      </c>
      <c r="H13" s="20" t="s">
        <v>3251</v>
      </c>
      <c r="I13" s="20">
        <v>1</v>
      </c>
      <c r="J13" s="20" t="s">
        <v>3252</v>
      </c>
      <c r="K13" s="20" t="s">
        <v>3253</v>
      </c>
      <c r="L13" s="20" t="s">
        <v>3254</v>
      </c>
      <c r="M13" s="20" t="s">
        <v>3255</v>
      </c>
      <c r="N13" s="20" t="s">
        <v>3256</v>
      </c>
      <c r="O13" s="20" t="s">
        <v>3257</v>
      </c>
      <c r="P13" s="20" t="s">
        <v>3298</v>
      </c>
      <c r="Q13" s="20">
        <v>2026</v>
      </c>
      <c r="R13" s="20" t="s">
        <v>3297</v>
      </c>
      <c r="S13" s="20" t="s">
        <v>3299</v>
      </c>
      <c r="T13" s="105" t="s">
        <v>3300</v>
      </c>
      <c r="U13" s="20" t="s">
        <v>3306</v>
      </c>
      <c r="V13" s="20" t="s">
        <v>3303</v>
      </c>
      <c r="W13" s="20" t="s">
        <v>3301</v>
      </c>
      <c r="X13" s="20" t="s">
        <v>3302</v>
      </c>
      <c r="Y13" s="105" t="s">
        <v>3304</v>
      </c>
      <c r="Z13" s="105" t="s">
        <v>3305</v>
      </c>
    </row>
    <row r="14" spans="1:26" s="3" customFormat="1" ht="26">
      <c r="A14" s="20"/>
      <c r="B14" s="110"/>
      <c r="C14" s="20" t="str">
        <f>Titles!B13</f>
        <v>A COMPARATIVE DESIGN AND LCA STUDY ON THE FEASIBILITY OF EARTHQUAKE-RESISTANT MASS-TIMBER BUILDINGS</v>
      </c>
      <c r="D14" s="20"/>
      <c r="E14" s="20"/>
      <c r="F14" s="20"/>
      <c r="G14" s="20"/>
      <c r="H14" s="20"/>
      <c r="I14" s="20"/>
      <c r="J14" s="20"/>
      <c r="K14" s="20"/>
      <c r="L14" s="20"/>
      <c r="M14" s="20"/>
      <c r="N14" s="20"/>
      <c r="O14" s="20"/>
      <c r="P14" s="20"/>
      <c r="Q14" s="20"/>
      <c r="R14" s="20"/>
      <c r="S14" s="20"/>
      <c r="T14" s="105"/>
      <c r="U14" s="20"/>
      <c r="V14" s="20"/>
      <c r="W14" s="20"/>
      <c r="X14" s="20"/>
      <c r="Y14" s="20"/>
      <c r="Z14" s="20"/>
    </row>
    <row r="15" spans="1:26" s="3" customFormat="1" ht="208">
      <c r="A15" s="20"/>
      <c r="B15" s="20"/>
      <c r="C15" s="20" t="str">
        <f>Titles!B14</f>
        <v>An assessment of greenhouse gas emissions from CLT and glulam in two residential nearly zero energy buildings</v>
      </c>
      <c r="D15" s="20">
        <v>2019</v>
      </c>
      <c r="E15" s="105" t="s">
        <v>3307</v>
      </c>
      <c r="F15" s="20" t="s">
        <v>3308</v>
      </c>
      <c r="G15" s="20" t="s">
        <v>3309</v>
      </c>
      <c r="H15" s="20" t="s">
        <v>3310</v>
      </c>
      <c r="I15" s="20">
        <v>1</v>
      </c>
      <c r="J15" s="20" t="s">
        <v>3311</v>
      </c>
      <c r="K15" s="20" t="s">
        <v>3312</v>
      </c>
      <c r="L15" s="20" t="s">
        <v>3313</v>
      </c>
      <c r="M15" s="20" t="s">
        <v>3314</v>
      </c>
      <c r="N15" s="20" t="s">
        <v>3315</v>
      </c>
      <c r="O15" s="20" t="s">
        <v>3316</v>
      </c>
      <c r="P15" s="20" t="s">
        <v>3317</v>
      </c>
      <c r="Q15" s="20" t="s">
        <v>3318</v>
      </c>
      <c r="R15" s="20" t="s">
        <v>3319</v>
      </c>
      <c r="S15" s="20" t="s">
        <v>3320</v>
      </c>
      <c r="T15" s="105" t="s">
        <v>3321</v>
      </c>
      <c r="U15" s="20" t="s">
        <v>3322</v>
      </c>
      <c r="V15" s="105" t="s">
        <v>3323</v>
      </c>
      <c r="W15" s="20" t="s">
        <v>3327</v>
      </c>
      <c r="X15" s="20" t="s">
        <v>3326</v>
      </c>
      <c r="Y15" s="105" t="s">
        <v>3324</v>
      </c>
      <c r="Z15" s="20" t="s">
        <v>3325</v>
      </c>
    </row>
    <row r="16" spans="1:26" s="3" customFormat="1" ht="117">
      <c r="A16" s="20"/>
      <c r="B16" s="20"/>
      <c r="C16" s="20" t="str">
        <f>Titles!B15</f>
        <v>Load-slip performance of Mass Timber Panel-Concrete (MTPC) composite connection with Self-tapping screws and insulation layer</v>
      </c>
      <c r="D16" s="20">
        <v>2019</v>
      </c>
      <c r="E16" s="105" t="s">
        <v>3328</v>
      </c>
      <c r="F16" s="105" t="s">
        <v>3329</v>
      </c>
      <c r="G16" s="20" t="s">
        <v>3330</v>
      </c>
      <c r="H16" s="20" t="s">
        <v>3337</v>
      </c>
      <c r="I16" s="20">
        <v>1</v>
      </c>
      <c r="J16" s="20" t="s">
        <v>3331</v>
      </c>
      <c r="K16" s="20" t="s">
        <v>3332</v>
      </c>
      <c r="L16" s="20" t="s">
        <v>3333</v>
      </c>
      <c r="M16" s="20" t="s">
        <v>3334</v>
      </c>
      <c r="N16" s="20" t="s">
        <v>3335</v>
      </c>
      <c r="O16" s="20" t="s">
        <v>3336</v>
      </c>
      <c r="P16" s="20" t="s">
        <v>3340</v>
      </c>
      <c r="Q16" s="20" t="s">
        <v>3338</v>
      </c>
      <c r="R16" s="105" t="s">
        <v>3339</v>
      </c>
      <c r="S16" s="20" t="s">
        <v>3341</v>
      </c>
      <c r="T16" s="105" t="s">
        <v>3242</v>
      </c>
      <c r="U16" s="20" t="s">
        <v>3342</v>
      </c>
      <c r="V16" s="20" t="s">
        <v>3343</v>
      </c>
      <c r="W16" s="20" t="s">
        <v>3344</v>
      </c>
      <c r="X16" s="20" t="s">
        <v>3345</v>
      </c>
      <c r="Y16" s="20" t="s">
        <v>3350</v>
      </c>
      <c r="Z16" s="20" t="s">
        <v>3354</v>
      </c>
    </row>
    <row r="17" spans="1:26" s="3" customFormat="1" ht="26">
      <c r="A17" s="20"/>
      <c r="B17" s="111"/>
      <c r="C17" s="20" t="str">
        <f>Titles!B16</f>
        <v>Assessing the Environmental Performance of Hybrid Timber-Concrete Systems in High-Rise Building</v>
      </c>
      <c r="D17" s="20"/>
      <c r="E17" s="20"/>
      <c r="F17" s="105"/>
      <c r="G17" s="20"/>
      <c r="H17" s="20"/>
      <c r="I17" s="20"/>
      <c r="J17" s="20"/>
      <c r="K17" s="20"/>
      <c r="L17" s="20"/>
      <c r="M17" s="20"/>
      <c r="N17" s="20"/>
      <c r="O17" s="20"/>
      <c r="P17" s="20"/>
      <c r="Q17" s="20"/>
      <c r="R17" s="105"/>
      <c r="S17" s="20"/>
      <c r="T17" s="105"/>
      <c r="U17" s="20"/>
      <c r="V17" s="20"/>
      <c r="W17" s="20"/>
      <c r="X17" s="20"/>
      <c r="Y17" s="20"/>
      <c r="Z17" s="20"/>
    </row>
    <row r="18" spans="1:26" s="3" customFormat="1" ht="143">
      <c r="A18" s="20"/>
      <c r="B18" s="20"/>
      <c r="C18" s="20" t="str">
        <f>Titles!B17</f>
        <v>Building Sustainable Futures: Evaluating Embodied Carbon Emissions and Biogenic Carbon Storage in a Cross-Laminated Timber Wall and Floor (Honeycomb) Mass Timber Building</v>
      </c>
      <c r="D18" s="20">
        <v>2025</v>
      </c>
      <c r="E18" s="20" t="s">
        <v>3361</v>
      </c>
      <c r="F18" s="105" t="s">
        <v>3362</v>
      </c>
      <c r="G18" s="20" t="s">
        <v>3385</v>
      </c>
      <c r="H18" s="20" t="s">
        <v>3386</v>
      </c>
      <c r="I18" s="20">
        <v>1</v>
      </c>
      <c r="J18" s="20" t="s">
        <v>3387</v>
      </c>
      <c r="K18" s="20" t="s">
        <v>3372</v>
      </c>
      <c r="L18" s="20" t="s">
        <v>3388</v>
      </c>
      <c r="M18" s="20" t="s">
        <v>3334</v>
      </c>
      <c r="N18" s="20" t="s">
        <v>3389</v>
      </c>
      <c r="O18" s="20" t="s">
        <v>3390</v>
      </c>
      <c r="P18" s="20" t="s">
        <v>3402</v>
      </c>
      <c r="Q18" s="20">
        <v>2025</v>
      </c>
      <c r="R18" s="105" t="s">
        <v>3404</v>
      </c>
      <c r="S18" s="20" t="s">
        <v>3440</v>
      </c>
      <c r="T18" s="20" t="s">
        <v>3411</v>
      </c>
      <c r="U18" s="20" t="s">
        <v>3412</v>
      </c>
      <c r="V18" s="20" t="s">
        <v>3413</v>
      </c>
      <c r="W18" s="20" t="s">
        <v>3327</v>
      </c>
      <c r="X18" s="20" t="s">
        <v>3414</v>
      </c>
      <c r="Y18" s="20" t="s">
        <v>3415</v>
      </c>
      <c r="Z18" s="20" t="s">
        <v>3417</v>
      </c>
    </row>
    <row r="19" spans="1:26" s="3" customFormat="1" ht="130">
      <c r="A19" s="20"/>
      <c r="B19" s="20"/>
      <c r="C19" s="20" t="str">
        <f>Titles!B18</f>
        <v>Development of an Environmentally Friendly Steel Structural Framework: Evaluation of Bending Stiffness and Yield Bending Moment of Cross-Laminated Timber Slab–H-Shaped Steel Composite Beams for Component Reuse</v>
      </c>
      <c r="D19" s="20">
        <v>2025</v>
      </c>
      <c r="E19" s="20" t="s">
        <v>3418</v>
      </c>
      <c r="F19" s="20" t="s">
        <v>3419</v>
      </c>
      <c r="G19" s="20" t="s">
        <v>3425</v>
      </c>
      <c r="H19" s="20" t="s">
        <v>3429</v>
      </c>
      <c r="I19" s="20">
        <v>1</v>
      </c>
      <c r="J19" s="20" t="s">
        <v>3252</v>
      </c>
      <c r="K19" s="20" t="s">
        <v>3258</v>
      </c>
      <c r="L19" s="20" t="s">
        <v>3430</v>
      </c>
      <c r="M19" s="20" t="s">
        <v>3334</v>
      </c>
      <c r="N19" s="20" t="s">
        <v>3431</v>
      </c>
      <c r="O19" s="20" t="s">
        <v>3432</v>
      </c>
      <c r="P19" s="20" t="s">
        <v>3435</v>
      </c>
      <c r="Q19" s="20">
        <v>2025</v>
      </c>
      <c r="R19" s="20" t="s">
        <v>3437</v>
      </c>
      <c r="S19" s="20" t="s">
        <v>3439</v>
      </c>
      <c r="T19" s="20" t="s">
        <v>3242</v>
      </c>
      <c r="U19" s="20" t="s">
        <v>3441</v>
      </c>
      <c r="V19" s="20" t="s">
        <v>3442</v>
      </c>
      <c r="W19" s="20" t="s">
        <v>3443</v>
      </c>
      <c r="X19" s="20" t="s">
        <v>3447</v>
      </c>
      <c r="Y19" s="20" t="s">
        <v>3448</v>
      </c>
      <c r="Z19" s="20" t="s">
        <v>3451</v>
      </c>
    </row>
    <row r="20" spans="1:26" s="3" customFormat="1" ht="26">
      <c r="A20" s="20"/>
      <c r="B20" s="20"/>
      <c r="C20" s="20" t="str">
        <f>Titles!B19</f>
        <v>Experimental Assessment of Alternative Shear Connections in Cross-Laminated Timber-Concrete Floor Systems</v>
      </c>
      <c r="D20" s="20"/>
      <c r="E20" s="20"/>
      <c r="F20" s="20"/>
      <c r="G20" s="20"/>
      <c r="H20" s="20"/>
      <c r="I20" s="20"/>
      <c r="J20" s="20"/>
      <c r="K20" s="20"/>
      <c r="L20" s="20"/>
      <c r="M20" s="20"/>
      <c r="N20" s="20"/>
      <c r="O20" s="20"/>
      <c r="P20" s="20"/>
      <c r="Q20" s="20"/>
      <c r="R20" s="20"/>
      <c r="S20" s="20"/>
      <c r="T20" s="20"/>
      <c r="U20" s="20"/>
      <c r="V20" s="20"/>
      <c r="W20" s="20"/>
      <c r="X20" s="20"/>
      <c r="Y20" s="20"/>
      <c r="Z20" s="20"/>
    </row>
    <row r="21" spans="1:26" s="3" customFormat="1" ht="26">
      <c r="A21" s="20"/>
      <c r="B21" s="20"/>
      <c r="C21" s="20" t="str">
        <f>Titles!B20</f>
        <v>A comparative life cycle assessment of tall buildings with alternative structural systems: Wood vs. Concrete</v>
      </c>
      <c r="D21" s="20"/>
      <c r="E21" s="20"/>
      <c r="F21" s="20"/>
      <c r="G21" s="20"/>
      <c r="H21" s="20"/>
      <c r="I21" s="20"/>
      <c r="J21" s="20"/>
      <c r="K21" s="20"/>
      <c r="L21" s="20"/>
      <c r="M21" s="20"/>
      <c r="N21" s="20"/>
      <c r="O21" s="20"/>
      <c r="P21" s="20"/>
      <c r="Q21" s="20"/>
      <c r="R21" s="20"/>
      <c r="S21" s="20"/>
      <c r="T21" s="20"/>
      <c r="U21" s="20"/>
      <c r="V21" s="20"/>
      <c r="W21" s="20"/>
      <c r="X21" s="20"/>
      <c r="Y21" s="20"/>
      <c r="Z21" s="20"/>
    </row>
    <row r="22" spans="1:26" s="3" customFormat="1" ht="26">
      <c r="A22" s="20"/>
      <c r="B22" s="20"/>
      <c r="C22" s="20" t="str">
        <f>Titles!B21</f>
        <v>Steel-timber versus Steel-Concrete Composite floors: A numerical study</v>
      </c>
      <c r="D22" s="20"/>
      <c r="E22" s="20"/>
      <c r="F22" s="20"/>
      <c r="G22" s="20"/>
      <c r="H22" s="20"/>
      <c r="I22" s="20"/>
      <c r="J22" s="20"/>
      <c r="K22" s="20"/>
      <c r="L22" s="20"/>
      <c r="M22" s="20"/>
      <c r="N22" s="20"/>
      <c r="O22" s="20"/>
      <c r="P22" s="20"/>
      <c r="Q22" s="20"/>
      <c r="R22" s="20"/>
      <c r="S22" s="20"/>
      <c r="T22" s="20"/>
      <c r="U22" s="20"/>
      <c r="V22" s="20"/>
      <c r="W22" s="20"/>
      <c r="X22" s="20"/>
      <c r="Y22" s="20"/>
      <c r="Z22" s="20"/>
    </row>
    <row r="23" spans="1:26" s="3" customFormat="1" ht="26">
      <c r="A23" s="20"/>
      <c r="B23" s="20"/>
      <c r="C23" s="20" t="str">
        <f>Titles!B22</f>
        <v>LABORATORY MEASUREMENTS OF LIGHTWEIGHT FLOATING FLOOR SYSTEMS ON CROSS-LAMINATED TIMBER (CLT) SLABS</v>
      </c>
      <c r="D23" s="20"/>
      <c r="E23" s="20"/>
      <c r="F23" s="20"/>
      <c r="G23" s="20"/>
      <c r="H23" s="20"/>
      <c r="I23" s="20"/>
      <c r="J23" s="20"/>
      <c r="K23" s="20"/>
      <c r="L23" s="20"/>
      <c r="M23" s="20"/>
      <c r="N23" s="20"/>
      <c r="O23" s="20"/>
      <c r="P23" s="20"/>
      <c r="Q23" s="20"/>
      <c r="R23" s="20"/>
      <c r="S23" s="20"/>
      <c r="T23" s="20"/>
      <c r="U23" s="20"/>
      <c r="V23" s="20"/>
      <c r="W23" s="20"/>
      <c r="X23" s="20"/>
      <c r="Y23" s="20"/>
      <c r="Z23" s="20"/>
    </row>
    <row r="24" spans="1:26" s="3" customFormat="1" ht="52">
      <c r="A24" s="20"/>
      <c r="B24" s="20"/>
      <c r="C24" s="20" t="str">
        <f>Titles!B23</f>
        <v>INVESTIGATE THE CARBON FOOTPRINTS OF THREE INTERMEDIATE FLOORING SYSTEMS: CROSS-LAMINATED TIMBER, SOLID CONCRETE, AND HOLLOW-CORE PRECAST CONCRETE</v>
      </c>
      <c r="D24" s="20"/>
      <c r="E24" s="22"/>
      <c r="F24" s="22"/>
      <c r="G24" s="22"/>
      <c r="H24" s="22"/>
      <c r="I24" s="22"/>
      <c r="J24" s="22"/>
      <c r="K24" s="22"/>
      <c r="L24" s="22"/>
      <c r="M24" s="22"/>
      <c r="N24" s="22"/>
      <c r="O24" s="22"/>
      <c r="P24" s="22"/>
      <c r="Q24" s="22"/>
      <c r="R24" s="20"/>
      <c r="S24" s="20"/>
      <c r="T24" s="20"/>
      <c r="U24" s="20"/>
      <c r="V24" s="20"/>
      <c r="W24" s="20"/>
      <c r="X24" s="20"/>
      <c r="Y24" s="20"/>
      <c r="Z24" s="20"/>
    </row>
    <row r="25" spans="1:26" s="3" customFormat="1" ht="26">
      <c r="A25" s="20"/>
      <c r="B25" s="20"/>
      <c r="C25" s="20" t="str">
        <f>Titles!B24</f>
        <v>Scenario analysis of embodied energy and CO2 emissions for multistory apartments in Indonesia</v>
      </c>
      <c r="D25" s="20"/>
      <c r="E25" s="20"/>
      <c r="F25" s="20"/>
      <c r="G25" s="20"/>
      <c r="H25" s="20"/>
      <c r="I25" s="20"/>
      <c r="J25" s="20"/>
      <c r="K25" s="20"/>
      <c r="L25" s="20"/>
      <c r="M25" s="20"/>
      <c r="N25" s="20"/>
      <c r="O25" s="20"/>
      <c r="P25" s="20"/>
      <c r="Q25" s="20"/>
      <c r="R25" s="20"/>
      <c r="S25" s="20"/>
      <c r="T25" s="20"/>
      <c r="U25" s="20"/>
      <c r="V25" s="20"/>
      <c r="W25" s="20"/>
      <c r="X25" s="20"/>
      <c r="Y25" s="20"/>
      <c r="Z25" s="20"/>
    </row>
    <row r="26" spans="1:26" s="3" customFormat="1" ht="26">
      <c r="A26" s="20"/>
      <c r="B26" s="20"/>
      <c r="C26" s="20" t="str">
        <f>Titles!B25</f>
        <v>Impact of Prescriptive Fire Design Provisions on Embodied Carbon for Mass Timber and Hybrid Mass Timber Floors</v>
      </c>
      <c r="D26" s="20"/>
      <c r="E26" s="20"/>
      <c r="F26" s="20"/>
      <c r="G26" s="20"/>
      <c r="H26" s="20"/>
      <c r="I26" s="20"/>
      <c r="J26" s="20"/>
      <c r="K26" s="20"/>
      <c r="L26" s="20"/>
      <c r="M26" s="20"/>
      <c r="N26" s="20"/>
      <c r="O26" s="20"/>
      <c r="P26" s="20"/>
      <c r="Q26" s="20"/>
      <c r="R26" s="20"/>
      <c r="S26" s="20"/>
      <c r="T26" s="20"/>
      <c r="U26" s="20"/>
      <c r="V26" s="20"/>
      <c r="W26" s="20"/>
      <c r="X26" s="20"/>
      <c r="Y26" s="20"/>
      <c r="Z26" s="20"/>
    </row>
    <row r="27" spans="1:26" s="3" customFormat="1" ht="26">
      <c r="A27" s="20"/>
      <c r="B27" s="20"/>
      <c r="C27" s="20" t="str">
        <f>Titles!B26</f>
        <v>Design and performance of high-rise structure using ultra-lightweight cross laminated timber floor system</v>
      </c>
      <c r="D27" s="20"/>
      <c r="E27" s="20"/>
      <c r="F27" s="20"/>
      <c r="G27" s="20"/>
      <c r="H27" s="20"/>
      <c r="I27" s="20"/>
      <c r="J27" s="20"/>
      <c r="K27" s="20"/>
      <c r="L27" s="20"/>
      <c r="M27" s="20"/>
      <c r="N27" s="20"/>
      <c r="O27" s="20"/>
      <c r="P27" s="20"/>
      <c r="Q27" s="20"/>
      <c r="R27" s="20"/>
      <c r="S27" s="20"/>
      <c r="T27" s="20"/>
      <c r="U27" s="20"/>
      <c r="V27" s="20"/>
      <c r="W27" s="20"/>
      <c r="X27" s="20"/>
      <c r="Y27" s="20"/>
      <c r="Z27" s="20"/>
    </row>
    <row r="28" spans="1:26" s="3" customFormat="1" ht="39">
      <c r="A28" s="20"/>
      <c r="B28" s="20"/>
      <c r="C28" s="20" t="str">
        <f>Titles!B27</f>
        <v>A comparative cradle-to-gate life cycle assessment of mid-rise office building construction alternatives: Laminated timber or reinforced concrete</v>
      </c>
      <c r="D28" s="20"/>
      <c r="E28" s="20"/>
      <c r="F28" s="20"/>
      <c r="G28" s="20"/>
      <c r="H28" s="20"/>
      <c r="I28" s="20"/>
      <c r="J28" s="20"/>
      <c r="K28" s="20"/>
      <c r="L28" s="20"/>
      <c r="M28" s="20"/>
      <c r="N28" s="20"/>
      <c r="O28" s="20"/>
      <c r="P28" s="20"/>
      <c r="Q28" s="20"/>
      <c r="R28" s="20"/>
      <c r="S28" s="20"/>
      <c r="T28" s="20"/>
      <c r="U28" s="20"/>
      <c r="V28" s="20"/>
      <c r="W28" s="20"/>
      <c r="X28" s="20"/>
      <c r="Y28" s="20"/>
      <c r="Z28" s="20"/>
    </row>
    <row r="29" spans="1:26" s="3" customFormat="1" ht="26">
      <c r="A29" s="20"/>
      <c r="B29" s="20"/>
      <c r="C29" s="20" t="str">
        <f>Titles!B28</f>
        <v>Assessment of In-Plane Timber Floor Stiffness as Structural Diaphragms: A Numerical Approach to Lateral Load Response</v>
      </c>
      <c r="D29" s="20"/>
      <c r="E29" s="20"/>
      <c r="F29" s="20"/>
      <c r="G29" s="20"/>
      <c r="H29" s="20"/>
      <c r="I29" s="20"/>
      <c r="J29" s="20"/>
      <c r="K29" s="20"/>
      <c r="L29" s="20"/>
      <c r="M29" s="20"/>
      <c r="N29" s="20"/>
      <c r="O29" s="20"/>
      <c r="P29" s="20"/>
      <c r="Q29" s="20"/>
      <c r="R29" s="20"/>
      <c r="S29" s="20"/>
      <c r="T29" s="20"/>
      <c r="U29" s="20"/>
      <c r="V29" s="20"/>
      <c r="W29" s="20"/>
      <c r="X29" s="20"/>
      <c r="Y29" s="20"/>
      <c r="Z29" s="20"/>
    </row>
    <row r="30" spans="1:26" s="3" customFormat="1" ht="130">
      <c r="A30" s="20"/>
      <c r="B30" s="20"/>
      <c r="C30" s="20" t="str">
        <f>Titles!B29</f>
        <v>Environmental and economic evaluation of small-scale bridge repair using cross-laminated timber floor slabs</v>
      </c>
      <c r="D30" s="20">
        <v>2020</v>
      </c>
      <c r="E30" s="20" t="s">
        <v>3292</v>
      </c>
      <c r="F30" s="20"/>
      <c r="G30" s="20"/>
      <c r="H30" s="20"/>
      <c r="I30" s="20">
        <v>1</v>
      </c>
      <c r="J30" s="20" t="s">
        <v>3252</v>
      </c>
      <c r="K30" s="20" t="s">
        <v>3258</v>
      </c>
      <c r="L30" s="20" t="s">
        <v>3293</v>
      </c>
      <c r="M30" s="20" t="s">
        <v>3259</v>
      </c>
      <c r="N30" s="20" t="s">
        <v>3294</v>
      </c>
      <c r="O30" s="20" t="s">
        <v>3295</v>
      </c>
      <c r="P30" s="20"/>
      <c r="Q30" s="20"/>
      <c r="R30" s="20"/>
      <c r="S30" s="20"/>
      <c r="T30" s="20" t="s">
        <v>3260</v>
      </c>
      <c r="U30" s="20"/>
      <c r="V30" s="20"/>
      <c r="W30" s="20" t="s">
        <v>3296</v>
      </c>
      <c r="X30" s="20"/>
      <c r="Y30" s="20"/>
      <c r="Z30" s="20"/>
    </row>
    <row r="31" spans="1:26" s="3" customFormat="1" ht="39">
      <c r="A31" s="20"/>
      <c r="B31" s="20"/>
      <c r="C31" s="20" t="str">
        <f>Titles!B30</f>
        <v>Experimental and numerical investigations on vibration performance of mass timber slab floors with floating concrete toppings</v>
      </c>
      <c r="D31" s="20"/>
      <c r="E31" s="20"/>
      <c r="F31" s="20"/>
      <c r="G31" s="20"/>
      <c r="H31" s="20"/>
      <c r="I31" s="20"/>
      <c r="J31" s="20"/>
      <c r="K31" s="20"/>
      <c r="L31" s="20"/>
      <c r="M31" s="20"/>
      <c r="N31" s="20"/>
      <c r="O31" s="20"/>
      <c r="P31" s="20"/>
      <c r="Q31" s="20"/>
      <c r="R31" s="20"/>
      <c r="S31" s="20"/>
      <c r="T31" s="20"/>
      <c r="U31" s="20"/>
      <c r="V31" s="20"/>
      <c r="W31" s="20"/>
      <c r="X31" s="20"/>
      <c r="Y31" s="20"/>
      <c r="Z31" s="20"/>
    </row>
    <row r="32" spans="1:26" s="3" customFormat="1" ht="26">
      <c r="A32" s="20"/>
      <c r="B32" s="20"/>
      <c r="C32" s="20" t="str">
        <f>Titles!B31</f>
        <v>Tall hybrid RC framed buildings with massive timber floor plates</v>
      </c>
      <c r="D32" s="20"/>
      <c r="E32" s="20"/>
      <c r="F32" s="20"/>
      <c r="G32" s="20"/>
      <c r="H32" s="20"/>
      <c r="I32" s="20"/>
      <c r="J32" s="20"/>
      <c r="K32" s="20"/>
      <c r="L32" s="20"/>
      <c r="M32" s="20"/>
      <c r="N32" s="20"/>
      <c r="O32" s="20"/>
      <c r="P32" s="20"/>
      <c r="Q32" s="20"/>
      <c r="R32" s="20"/>
      <c r="S32" s="20"/>
      <c r="T32" s="20"/>
      <c r="U32" s="20"/>
      <c r="V32" s="20"/>
      <c r="W32" s="20"/>
      <c r="X32" s="20"/>
      <c r="Y32" s="20"/>
      <c r="Z32" s="20"/>
    </row>
    <row r="33" spans="1:26" s="3" customFormat="1" ht="39">
      <c r="A33" s="20"/>
      <c r="B33" s="20"/>
      <c r="C33" s="20" t="str">
        <f>Titles!B32</f>
        <v>1st International Conference on Civil and Environmental Engineering for Resilient, Smart and Sustainable Solutions, 2024</v>
      </c>
      <c r="D33" s="20"/>
      <c r="E33" s="20"/>
      <c r="F33" s="20"/>
      <c r="G33" s="20"/>
      <c r="H33" s="20"/>
      <c r="I33" s="20"/>
      <c r="J33" s="20"/>
      <c r="K33" s="20"/>
      <c r="L33" s="20"/>
      <c r="M33" s="20"/>
      <c r="N33" s="20"/>
      <c r="O33" s="20"/>
      <c r="P33" s="20"/>
      <c r="Q33" s="20"/>
      <c r="R33" s="20"/>
      <c r="S33" s="20"/>
      <c r="T33" s="20"/>
      <c r="U33" s="20"/>
      <c r="V33" s="20"/>
      <c r="W33" s="20"/>
      <c r="X33" s="20"/>
      <c r="Y33" s="20"/>
      <c r="Z33" s="20"/>
    </row>
    <row r="34" spans="1:26" s="3" customFormat="1">
      <c r="A34" s="20"/>
      <c r="B34" s="20"/>
      <c r="C34" s="20" t="str">
        <f>Titles!B33</f>
        <v>The Arbour: An Innovative Composite Floor System</v>
      </c>
      <c r="D34" s="20"/>
      <c r="E34" s="20"/>
      <c r="F34" s="20"/>
      <c r="G34" s="20"/>
      <c r="H34" s="20"/>
      <c r="I34" s="20"/>
      <c r="J34" s="20"/>
      <c r="K34" s="20"/>
      <c r="L34" s="20"/>
      <c r="M34" s="20"/>
      <c r="N34" s="20"/>
      <c r="O34" s="20"/>
      <c r="P34" s="20"/>
      <c r="Q34" s="20"/>
      <c r="R34" s="20"/>
      <c r="S34" s="20"/>
      <c r="T34" s="20"/>
      <c r="U34" s="20"/>
      <c r="V34" s="20"/>
      <c r="W34" s="20"/>
      <c r="X34" s="20"/>
      <c r="Y34" s="20"/>
      <c r="Z34" s="20"/>
    </row>
    <row r="35" spans="1:26" s="3" customFormat="1" ht="26">
      <c r="A35" s="20"/>
      <c r="B35" s="20"/>
      <c r="C35" s="20" t="str">
        <f>Titles!B34</f>
        <v>INNOVATIVE CONNECTION SOLUTIONS FOR TCC FLOOR SYSTEMS: MECHANICAL AND ENVIRONMENTAL ASSESSMENT</v>
      </c>
      <c r="D35" s="20"/>
      <c r="E35" s="20"/>
      <c r="F35" s="20"/>
      <c r="G35" s="20"/>
      <c r="H35" s="20"/>
      <c r="I35" s="20"/>
      <c r="J35" s="20"/>
      <c r="K35" s="20"/>
      <c r="L35" s="20"/>
      <c r="M35" s="20"/>
      <c r="N35" s="20"/>
      <c r="O35" s="20"/>
      <c r="P35" s="20"/>
      <c r="Q35" s="20"/>
      <c r="R35" s="20"/>
      <c r="S35" s="20"/>
      <c r="T35" s="20"/>
      <c r="U35" s="20"/>
      <c r="V35" s="20"/>
      <c r="W35" s="20"/>
      <c r="X35" s="20"/>
      <c r="Y35" s="20"/>
      <c r="Z35" s="20"/>
    </row>
    <row r="36" spans="1:26" s="3" customFormat="1" ht="39">
      <c r="A36" s="20"/>
      <c r="B36" s="20"/>
      <c r="C36" s="20" t="str">
        <f>Titles!B35</f>
        <v>High-rise Timber Buildings as a Climate Change Mitigation Measure - A Comparative LCA of Structural System Alternatives</v>
      </c>
      <c r="D36" s="20"/>
      <c r="E36" s="20"/>
      <c r="F36" s="20"/>
      <c r="G36" s="20"/>
      <c r="H36" s="20"/>
      <c r="I36" s="20"/>
      <c r="J36" s="20"/>
      <c r="K36" s="20"/>
      <c r="L36" s="20"/>
      <c r="M36" s="20"/>
      <c r="N36" s="20"/>
      <c r="O36" s="20"/>
      <c r="P36" s="20"/>
      <c r="Q36" s="20"/>
      <c r="R36" s="20"/>
      <c r="S36" s="20"/>
      <c r="T36" s="20"/>
      <c r="U36" s="20"/>
      <c r="V36" s="20"/>
      <c r="W36" s="20"/>
      <c r="X36" s="20"/>
      <c r="Y36" s="20"/>
      <c r="Z36" s="20"/>
    </row>
    <row r="37" spans="1:26" s="3" customFormat="1" ht="39">
      <c r="A37" s="20"/>
      <c r="B37" s="20"/>
      <c r="C37" s="20" t="str">
        <f>Titles!B36</f>
        <v>FIRE RESISTANCE TESTING OF CLT-CONCRETE COMPOSITE FLOOR SLABS UTILIZING SELF-TAPPING SCREWS AS SHEAR CONNECTORS</v>
      </c>
      <c r="D37" s="20"/>
      <c r="E37" s="20"/>
      <c r="F37" s="20"/>
      <c r="G37" s="20"/>
      <c r="H37" s="20"/>
      <c r="I37" s="20"/>
      <c r="J37" s="20"/>
      <c r="K37" s="20"/>
      <c r="L37" s="20"/>
      <c r="M37" s="20"/>
      <c r="N37" s="20"/>
      <c r="O37" s="20"/>
      <c r="P37" s="20"/>
      <c r="Q37" s="20"/>
      <c r="R37" s="20"/>
      <c r="S37" s="20"/>
      <c r="T37" s="20"/>
      <c r="U37" s="20"/>
      <c r="V37" s="20"/>
      <c r="W37" s="20"/>
      <c r="X37" s="20"/>
      <c r="Y37" s="20"/>
      <c r="Z37" s="20"/>
    </row>
    <row r="38" spans="1:26" s="3" customFormat="1" ht="26">
      <c r="A38" s="20"/>
      <c r="B38" s="20"/>
      <c r="C38" s="20" t="str">
        <f>Titles!B37</f>
        <v>Cross-laminated timber–concrete composite structural floor system: A state-of-the-art review</v>
      </c>
      <c r="D38" s="20"/>
      <c r="E38" s="20"/>
      <c r="F38" s="20"/>
      <c r="G38" s="20"/>
      <c r="H38" s="20"/>
      <c r="I38" s="20"/>
      <c r="J38" s="20"/>
      <c r="K38" s="20"/>
      <c r="L38" s="20"/>
      <c r="M38" s="20"/>
      <c r="N38" s="20"/>
      <c r="O38" s="20"/>
      <c r="P38" s="20"/>
      <c r="Q38" s="20"/>
      <c r="R38" s="20"/>
      <c r="S38" s="20"/>
      <c r="T38" s="20"/>
      <c r="U38" s="20"/>
      <c r="V38" s="20"/>
      <c r="W38" s="20"/>
      <c r="X38" s="20"/>
      <c r="Y38" s="20"/>
      <c r="Z38" s="20"/>
    </row>
    <row r="39" spans="1:26" s="3" customFormat="1" ht="26">
      <c r="A39" s="20"/>
      <c r="B39" s="20"/>
      <c r="C39" s="20" t="str">
        <f>Titles!B38</f>
        <v>CREEP BEHAVIOR OF CROSS-LAMINATED TIMBER-CONCRETE COMPOSITE FLOOR SYSTEM ON FIXED END CONDITION</v>
      </c>
      <c r="D39" s="20"/>
      <c r="E39" s="20"/>
      <c r="F39" s="20"/>
      <c r="G39" s="20"/>
      <c r="H39" s="20"/>
      <c r="I39" s="20"/>
      <c r="J39" s="20"/>
      <c r="K39" s="20"/>
      <c r="L39" s="20"/>
      <c r="M39" s="20"/>
      <c r="N39" s="20"/>
      <c r="O39" s="20"/>
      <c r="P39" s="20"/>
      <c r="Q39" s="20"/>
      <c r="R39" s="20"/>
      <c r="S39" s="20"/>
      <c r="T39" s="20"/>
      <c r="U39" s="20"/>
      <c r="V39" s="20"/>
      <c r="W39" s="20"/>
      <c r="X39" s="20"/>
      <c r="Y39" s="20"/>
      <c r="Z39" s="20"/>
    </row>
    <row r="40" spans="1:26" s="3" customFormat="1" ht="39">
      <c r="A40" s="20"/>
      <c r="B40" s="20"/>
      <c r="C40" s="20" t="str">
        <f>Titles!B39</f>
        <v>Lightweight and slender timber-concrete composite floors made of CLT-HPC and CLT-UHPC with ductile notch connectors</v>
      </c>
      <c r="D40" s="20"/>
      <c r="E40" s="20"/>
      <c r="F40" s="20"/>
      <c r="G40" s="20"/>
      <c r="H40" s="20"/>
      <c r="I40" s="20"/>
      <c r="J40" s="20"/>
      <c r="K40" s="20"/>
      <c r="L40" s="20"/>
      <c r="M40" s="20"/>
      <c r="N40" s="20"/>
      <c r="O40" s="20"/>
      <c r="P40" s="20"/>
      <c r="Q40" s="20"/>
      <c r="R40" s="20"/>
      <c r="S40" s="20"/>
      <c r="T40" s="20"/>
      <c r="U40" s="20"/>
      <c r="V40" s="20"/>
      <c r="W40" s="20"/>
      <c r="X40" s="20"/>
      <c r="Y40" s="20"/>
      <c r="Z40" s="20"/>
    </row>
    <row r="41" spans="1:26" s="3" customFormat="1" ht="130">
      <c r="A41" s="20"/>
      <c r="B41" s="20"/>
      <c r="C41" s="20" t="str">
        <f>Titles!B40</f>
        <v>Cross-Laminated Timber Concrete Composite Systems for Long-Span Floors</v>
      </c>
      <c r="D41" s="20">
        <v>2022</v>
      </c>
      <c r="E41" s="20" t="s">
        <v>3424</v>
      </c>
      <c r="F41" s="20" t="s">
        <v>3426</v>
      </c>
      <c r="G41" s="105" t="s">
        <v>3427</v>
      </c>
      <c r="H41" s="20" t="s">
        <v>3428</v>
      </c>
      <c r="I41" s="20">
        <v>1</v>
      </c>
      <c r="J41" s="20" t="s">
        <v>3331</v>
      </c>
      <c r="K41" s="20" t="s">
        <v>3332</v>
      </c>
      <c r="L41" s="20" t="s">
        <v>3433</v>
      </c>
      <c r="M41" s="20" t="s">
        <v>3434</v>
      </c>
      <c r="N41" s="20" t="s">
        <v>3436</v>
      </c>
      <c r="O41" s="20" t="s">
        <v>3438</v>
      </c>
      <c r="P41" s="105" t="s">
        <v>3444</v>
      </c>
      <c r="Q41" s="105">
        <v>2022</v>
      </c>
      <c r="R41" s="20" t="s">
        <v>3445</v>
      </c>
      <c r="S41" s="20" t="s">
        <v>3446</v>
      </c>
      <c r="T41" s="20" t="s">
        <v>3242</v>
      </c>
      <c r="U41" s="20" t="s">
        <v>3449</v>
      </c>
      <c r="V41" s="20" t="s">
        <v>3450</v>
      </c>
      <c r="W41" s="20" t="s">
        <v>3301</v>
      </c>
      <c r="X41" s="20" t="s">
        <v>3452</v>
      </c>
      <c r="Y41" s="20" t="s">
        <v>3453</v>
      </c>
      <c r="Z41" s="20" t="s">
        <v>3454</v>
      </c>
    </row>
    <row r="42" spans="1:26" s="3" customFormat="1" ht="137.4" customHeight="1">
      <c r="A42" s="20"/>
      <c r="B42" s="20"/>
      <c r="C42" s="20" t="str">
        <f>Titles!B41</f>
        <v>Carbon mitigation and energy efficiency of hybrid cross-laminated timber buildings: A case study on a community center design</v>
      </c>
      <c r="D42" s="20">
        <v>2025</v>
      </c>
      <c r="E42" s="20" t="s">
        <v>3456</v>
      </c>
      <c r="F42" s="105" t="s">
        <v>3455</v>
      </c>
      <c r="G42" s="20" t="s">
        <v>3457</v>
      </c>
      <c r="H42" s="20" t="s">
        <v>3458</v>
      </c>
      <c r="I42" s="20">
        <v>1</v>
      </c>
      <c r="J42" s="20" t="s">
        <v>3252</v>
      </c>
      <c r="K42" s="20" t="s">
        <v>3253</v>
      </c>
      <c r="L42" s="20" t="s">
        <v>3254</v>
      </c>
      <c r="M42" s="20" t="s">
        <v>3459</v>
      </c>
      <c r="N42" s="20" t="s">
        <v>3460</v>
      </c>
      <c r="O42" s="20" t="s">
        <v>3461</v>
      </c>
      <c r="P42" s="20" t="s">
        <v>3462</v>
      </c>
      <c r="Q42" s="20">
        <v>2025</v>
      </c>
      <c r="R42" s="20" t="s">
        <v>3463</v>
      </c>
      <c r="S42" s="20" t="s">
        <v>3464</v>
      </c>
      <c r="T42" s="20" t="s">
        <v>3465</v>
      </c>
      <c r="U42" s="20" t="s">
        <v>3466</v>
      </c>
      <c r="V42" s="20" t="s">
        <v>3467</v>
      </c>
      <c r="W42" s="20" t="s">
        <v>3468</v>
      </c>
      <c r="X42" s="20" t="s">
        <v>3469</v>
      </c>
      <c r="Y42" s="20" t="s">
        <v>3470</v>
      </c>
      <c r="Z42" s="20" t="s">
        <v>3471</v>
      </c>
    </row>
    <row r="43" spans="1:26" s="3" customFormat="1" ht="115.75" customHeight="1">
      <c r="A43" s="20"/>
      <c r="B43" s="20"/>
      <c r="C43" s="20" t="str">
        <f>Titles!B42</f>
        <v>Dynamic Characterization and Vibration Serviceability Assessment of Two Bare High-Frequency CLT Floors</v>
      </c>
      <c r="D43" s="20">
        <v>2025</v>
      </c>
      <c r="E43" s="20" t="s">
        <v>3474</v>
      </c>
      <c r="F43" s="20" t="s">
        <v>3475</v>
      </c>
      <c r="G43" s="20" t="s">
        <v>3476</v>
      </c>
      <c r="H43" s="20" t="s">
        <v>3478</v>
      </c>
      <c r="I43" s="20">
        <v>1</v>
      </c>
      <c r="J43" s="20" t="s">
        <v>3233</v>
      </c>
      <c r="K43" s="20" t="s">
        <v>3479</v>
      </c>
      <c r="L43" s="20" t="s">
        <v>3480</v>
      </c>
      <c r="M43" s="20" t="s">
        <v>3481</v>
      </c>
      <c r="N43" s="20" t="s">
        <v>3482</v>
      </c>
      <c r="O43" s="20" t="s">
        <v>3484</v>
      </c>
      <c r="P43" s="20" t="s">
        <v>3485</v>
      </c>
      <c r="Q43" s="20">
        <v>2024</v>
      </c>
      <c r="R43" s="20" t="s">
        <v>3486</v>
      </c>
      <c r="S43" s="20" t="s">
        <v>3487</v>
      </c>
      <c r="T43" s="20" t="s">
        <v>3492</v>
      </c>
      <c r="U43" s="20" t="s">
        <v>3494</v>
      </c>
      <c r="V43" s="20" t="s">
        <v>3496</v>
      </c>
      <c r="W43" s="20" t="s">
        <v>3301</v>
      </c>
      <c r="X43" s="20" t="s">
        <v>3497</v>
      </c>
      <c r="Y43" s="20" t="s">
        <v>3499</v>
      </c>
      <c r="Z43" s="20" t="s">
        <v>3502</v>
      </c>
    </row>
    <row r="44" spans="1:26" s="3" customFormat="1" ht="150.65" customHeight="1">
      <c r="A44" s="20"/>
      <c r="B44" s="20"/>
      <c r="C44" s="20" t="str">
        <f>Titles!B43</f>
        <v>Nonlinear static seismic response of a building equipped with hybrid cross-laminated timber floor diaphragms and concentric X-braced steel frames</v>
      </c>
      <c r="D44" s="20">
        <v>2021</v>
      </c>
      <c r="E44" s="20" t="s">
        <v>3503</v>
      </c>
      <c r="F44" s="20" t="s">
        <v>3504</v>
      </c>
      <c r="G44" s="20" t="s">
        <v>3506</v>
      </c>
      <c r="H44" s="20" t="s">
        <v>3508</v>
      </c>
      <c r="I44" s="20">
        <v>1</v>
      </c>
      <c r="J44" s="20" t="s">
        <v>3233</v>
      </c>
      <c r="K44" s="20" t="s">
        <v>3509</v>
      </c>
      <c r="L44" s="20" t="s">
        <v>3511</v>
      </c>
      <c r="M44" s="20" t="s">
        <v>3512</v>
      </c>
      <c r="N44" s="20" t="s">
        <v>3513</v>
      </c>
      <c r="O44" s="20" t="s">
        <v>3514</v>
      </c>
      <c r="P44" s="20" t="s">
        <v>3517</v>
      </c>
      <c r="Q44" s="20">
        <v>2021</v>
      </c>
      <c r="R44" s="20" t="s">
        <v>3518</v>
      </c>
      <c r="S44" s="20" t="s">
        <v>3520</v>
      </c>
      <c r="T44" s="20" t="s">
        <v>3242</v>
      </c>
      <c r="U44" s="20" t="s">
        <v>3521</v>
      </c>
      <c r="V44" s="20" t="s">
        <v>3522</v>
      </c>
      <c r="W44" s="20" t="s">
        <v>3301</v>
      </c>
      <c r="X44" s="20" t="s">
        <v>3523</v>
      </c>
      <c r="Y44" s="20" t="s">
        <v>3524</v>
      </c>
      <c r="Z44" s="20" t="s">
        <v>3525</v>
      </c>
    </row>
    <row r="45" spans="1:26" s="3" customFormat="1">
      <c r="A45" s="20"/>
      <c r="B45" s="20"/>
      <c r="C45" s="20" t="str">
        <f>Titles!B44</f>
        <v>Wood buildings as a climate solution</v>
      </c>
      <c r="D45" s="20">
        <v>2020</v>
      </c>
      <c r="E45" s="20"/>
      <c r="F45" s="20"/>
      <c r="G45" s="20"/>
      <c r="H45" s="20"/>
      <c r="I45" s="20"/>
      <c r="J45" s="20"/>
      <c r="K45" s="20"/>
      <c r="L45" s="20"/>
      <c r="M45" s="20"/>
      <c r="N45" s="20"/>
      <c r="O45" s="20"/>
      <c r="P45" s="20"/>
      <c r="Q45" s="20"/>
      <c r="R45" s="20"/>
      <c r="S45" s="20"/>
      <c r="T45" s="20"/>
      <c r="U45" s="20"/>
      <c r="V45" s="20"/>
      <c r="W45" s="20"/>
      <c r="X45" s="20"/>
      <c r="Y45" s="20"/>
      <c r="Z45" s="20"/>
    </row>
    <row r="46" spans="1:26" s="3" customFormat="1" ht="39">
      <c r="A46" s="20"/>
      <c r="B46" s="20"/>
      <c r="C46" s="20" t="str">
        <f>Titles!B45</f>
        <v>A Comparative Floor Assembly Design and Life-Cycle Assessment Study of Steel–Timber and Steel–Concrete Composite Structural Systems</v>
      </c>
      <c r="D46" s="20"/>
      <c r="E46" s="20"/>
      <c r="F46" s="20"/>
      <c r="G46" s="20"/>
      <c r="H46" s="20"/>
      <c r="I46" s="20"/>
      <c r="J46" s="20"/>
      <c r="K46" s="20"/>
      <c r="L46" s="20"/>
      <c r="M46" s="20"/>
      <c r="N46" s="20"/>
      <c r="O46" s="20"/>
      <c r="P46" s="20"/>
      <c r="Q46" s="20"/>
      <c r="R46" s="20"/>
      <c r="S46" s="20"/>
      <c r="T46" s="20"/>
      <c r="U46" s="20"/>
      <c r="V46" s="20"/>
      <c r="W46" s="20"/>
      <c r="X46" s="20"/>
      <c r="Y46" s="20"/>
      <c r="Z46" s="20"/>
    </row>
    <row r="47" spans="1:26" s="3" customFormat="1" ht="26">
      <c r="A47" s="20"/>
      <c r="B47" s="20"/>
      <c r="C47" s="20" t="str">
        <f>Titles!B46</f>
        <v>INFLUENCE OF DRY-TYPE DOUBLE FLOOR STRUCTURE ON FLOOR IMPACT SOUND INSULATION PERFORMANCE</v>
      </c>
      <c r="D47" s="20"/>
      <c r="E47" s="20"/>
      <c r="F47" s="20"/>
      <c r="G47" s="20"/>
      <c r="H47" s="20"/>
      <c r="I47" s="20"/>
      <c r="J47" s="20"/>
      <c r="K47" s="20"/>
      <c r="L47" s="20"/>
      <c r="M47" s="20"/>
      <c r="N47" s="20"/>
      <c r="O47" s="20"/>
      <c r="P47" s="20"/>
      <c r="Q47" s="20"/>
      <c r="R47" s="20"/>
      <c r="S47" s="20"/>
      <c r="T47" s="20"/>
      <c r="U47" s="20"/>
      <c r="V47" s="20"/>
      <c r="W47" s="20"/>
      <c r="X47" s="20"/>
      <c r="Y47" s="20"/>
      <c r="Z47" s="20"/>
    </row>
    <row r="48" spans="1:26" s="3" customFormat="1" ht="39">
      <c r="A48" s="20"/>
      <c r="B48" s="20"/>
      <c r="C48" s="20" t="str">
        <f>Titles!B47</f>
        <v>Engineering ductile notch connections for composite floors made of laminated timber and high or ultra-high performance fiber reinforced concrete</v>
      </c>
      <c r="D48" s="20"/>
      <c r="E48" s="20"/>
      <c r="F48" s="20"/>
      <c r="G48" s="20"/>
      <c r="H48" s="20"/>
      <c r="I48" s="20"/>
      <c r="J48" s="20"/>
      <c r="K48" s="20"/>
      <c r="L48" s="20"/>
      <c r="M48" s="20"/>
      <c r="N48" s="20"/>
      <c r="O48" s="20"/>
      <c r="P48" s="20"/>
      <c r="Q48" s="20"/>
      <c r="R48" s="20"/>
      <c r="S48" s="20"/>
      <c r="T48" s="20"/>
      <c r="U48" s="20"/>
      <c r="V48" s="20"/>
      <c r="W48" s="20"/>
      <c r="X48" s="20"/>
      <c r="Y48" s="20"/>
      <c r="Z48" s="20"/>
    </row>
    <row r="49" spans="1:26" ht="26">
      <c r="A49" s="106"/>
      <c r="B49" s="20"/>
      <c r="C49" s="20" t="str">
        <f>Titles!B48</f>
        <v>Energy implications of using steel-timber composite (STC) elements in buildings</v>
      </c>
      <c r="D49" s="20"/>
      <c r="E49" s="20"/>
      <c r="F49" s="20"/>
      <c r="G49" s="20"/>
      <c r="H49" s="20"/>
      <c r="I49" s="20"/>
      <c r="J49" s="20"/>
      <c r="K49" s="20"/>
      <c r="L49" s="20"/>
      <c r="M49" s="20"/>
      <c r="N49" s="20"/>
      <c r="O49" s="20"/>
      <c r="P49" s="20"/>
      <c r="Q49" s="20"/>
      <c r="R49" s="20"/>
      <c r="S49" s="20"/>
      <c r="T49" s="20"/>
      <c r="U49" s="20"/>
      <c r="V49" s="20"/>
      <c r="W49" s="20"/>
      <c r="X49" s="20"/>
      <c r="Y49" s="20"/>
      <c r="Z49" s="20"/>
    </row>
    <row r="50" spans="1:26" ht="26">
      <c r="A50" s="106"/>
      <c r="B50" s="20"/>
      <c r="C50" s="20" t="str">
        <f>Titles!B49</f>
        <v>Experimental dataset for effective bending stiffness and load-carrying capacity of CLT-concrete composite floor systems</v>
      </c>
      <c r="D50" s="20"/>
      <c r="E50" s="20"/>
      <c r="F50" s="20"/>
      <c r="G50" s="20"/>
      <c r="H50" s="20"/>
      <c r="I50" s="20"/>
      <c r="J50" s="20"/>
      <c r="K50" s="20"/>
      <c r="L50" s="20"/>
      <c r="M50" s="20"/>
      <c r="N50" s="20"/>
      <c r="O50" s="20"/>
      <c r="P50" s="20"/>
      <c r="Q50" s="20"/>
      <c r="R50" s="20"/>
      <c r="S50" s="20"/>
      <c r="T50" s="20"/>
      <c r="U50" s="20"/>
      <c r="V50" s="20"/>
      <c r="W50" s="20"/>
      <c r="X50" s="20"/>
      <c r="Y50" s="20"/>
      <c r="Z50" s="20"/>
    </row>
    <row r="51" spans="1:26" ht="143">
      <c r="A51" s="106"/>
      <c r="B51" s="20"/>
      <c r="C51" s="20" t="str">
        <f>Titles!B50</f>
        <v>Reinforced cross-laminated timber-concrete composite floor systems</v>
      </c>
      <c r="D51" s="20">
        <v>2023</v>
      </c>
      <c r="E51" s="20" t="s">
        <v>3526</v>
      </c>
      <c r="F51" s="20" t="s">
        <v>3527</v>
      </c>
      <c r="G51" s="20"/>
      <c r="H51" s="20"/>
      <c r="I51" s="20"/>
      <c r="J51" s="20"/>
      <c r="K51" s="20"/>
      <c r="L51" s="20"/>
      <c r="M51" s="20"/>
      <c r="N51" s="20"/>
      <c r="O51" s="20"/>
      <c r="P51" s="20"/>
      <c r="Q51" s="20"/>
      <c r="R51" s="20"/>
      <c r="S51" s="20"/>
      <c r="T51" s="20"/>
      <c r="U51" s="20"/>
      <c r="V51" s="20"/>
      <c r="W51" s="20"/>
      <c r="X51" s="20"/>
      <c r="Y51" s="20"/>
      <c r="Z51" s="20"/>
    </row>
    <row r="52" spans="1:26" ht="169">
      <c r="A52" s="106"/>
      <c r="B52" s="20"/>
      <c r="C52" s="20" t="str">
        <f>Titles!B51</f>
        <v>Sustainability and cost of a multi-story edifice, with CLT and LGS light weight floor system, at Neom-The Line</v>
      </c>
      <c r="D52" s="20">
        <v>2025</v>
      </c>
      <c r="E52" s="20" t="s">
        <v>3473</v>
      </c>
      <c r="F52" s="20" t="s">
        <v>3472</v>
      </c>
      <c r="G52" s="20" t="s">
        <v>3477</v>
      </c>
      <c r="H52" s="20" t="s">
        <v>3483</v>
      </c>
      <c r="I52" s="20">
        <v>1</v>
      </c>
      <c r="J52" s="20" t="s">
        <v>3488</v>
      </c>
      <c r="K52" s="20" t="s">
        <v>3489</v>
      </c>
      <c r="L52" s="20" t="s">
        <v>3490</v>
      </c>
      <c r="M52" s="20" t="s">
        <v>3491</v>
      </c>
      <c r="N52" s="20" t="s">
        <v>3493</v>
      </c>
      <c r="O52" s="20" t="s">
        <v>3495</v>
      </c>
      <c r="P52" s="20" t="s">
        <v>3498</v>
      </c>
      <c r="Q52" s="20">
        <v>2025</v>
      </c>
      <c r="R52" s="20" t="s">
        <v>3500</v>
      </c>
      <c r="S52" s="20" t="s">
        <v>3501</v>
      </c>
      <c r="T52" s="20" t="s">
        <v>3505</v>
      </c>
      <c r="U52" s="20" t="s">
        <v>3507</v>
      </c>
      <c r="V52" s="20" t="s">
        <v>3510</v>
      </c>
      <c r="W52" s="20" t="s">
        <v>3301</v>
      </c>
      <c r="X52" s="20" t="s">
        <v>3515</v>
      </c>
      <c r="Y52" s="20" t="s">
        <v>3516</v>
      </c>
      <c r="Z52" s="20" t="s">
        <v>3519</v>
      </c>
    </row>
    <row r="53" spans="1:26" ht="26">
      <c r="A53" s="106"/>
      <c r="B53" s="20"/>
      <c r="C53" s="20" t="str">
        <f>Titles!B52</f>
        <v>Composite connections between CLT slab and steel beam: Experiments and empirical models</v>
      </c>
      <c r="D53" s="20">
        <v>2017</v>
      </c>
      <c r="E53" s="20"/>
      <c r="F53" s="20"/>
      <c r="G53" s="20"/>
      <c r="H53" s="20"/>
      <c r="I53" s="20"/>
      <c r="J53" s="20"/>
      <c r="K53" s="20"/>
      <c r="L53" s="20"/>
      <c r="M53" s="20"/>
      <c r="N53" s="20"/>
      <c r="O53" s="20"/>
      <c r="P53" s="20"/>
      <c r="Q53" s="20"/>
      <c r="R53" s="20"/>
      <c r="S53" s="20"/>
      <c r="T53" s="20"/>
      <c r="U53" s="20"/>
      <c r="V53" s="20"/>
      <c r="W53" s="20"/>
      <c r="X53" s="20"/>
      <c r="Y53" s="20"/>
      <c r="Z53" s="20"/>
    </row>
    <row r="54" spans="1:26" ht="26">
      <c r="A54" s="106"/>
      <c r="B54" s="20"/>
      <c r="C54" s="20" t="str">
        <f>Titles!B53</f>
        <v>MECHANICAL BEHAVIOUR OF NOTCH CONNECTION FOR MARITIME PINE CLT-CONCRETE COMPOSITE</v>
      </c>
      <c r="D54" s="20">
        <v>2023</v>
      </c>
      <c r="E54" s="20"/>
      <c r="F54" s="20"/>
      <c r="G54" s="20"/>
      <c r="H54" s="20"/>
      <c r="I54" s="20"/>
      <c r="J54" s="20"/>
      <c r="K54" s="20"/>
      <c r="L54" s="20"/>
      <c r="M54" s="20"/>
      <c r="N54" s="20"/>
      <c r="O54" s="20"/>
      <c r="P54" s="20"/>
      <c r="Q54" s="20"/>
      <c r="R54" s="20"/>
      <c r="S54" s="20"/>
      <c r="T54" s="20"/>
      <c r="U54" s="20"/>
      <c r="V54" s="20"/>
      <c r="W54" s="20"/>
      <c r="X54" s="20"/>
      <c r="Y54" s="20"/>
      <c r="Z54" s="20"/>
    </row>
    <row r="55" spans="1:26" ht="26">
      <c r="A55" s="106"/>
      <c r="B55" s="20"/>
      <c r="C55" s="20" t="str">
        <f>Titles!B54</f>
        <v>Assessment of the environmental impact of timber and its potential to mitigate embodied GHG emissions</v>
      </c>
      <c r="D55" s="20">
        <v>2020</v>
      </c>
      <c r="E55" s="20"/>
      <c r="F55" s="20"/>
      <c r="G55" s="20"/>
      <c r="H55" s="20"/>
      <c r="I55" s="20"/>
      <c r="J55" s="20"/>
      <c r="K55" s="20"/>
      <c r="L55" s="20"/>
      <c r="M55" s="20"/>
      <c r="N55" s="20"/>
      <c r="O55" s="20"/>
      <c r="P55" s="20"/>
      <c r="Q55" s="20"/>
      <c r="R55" s="20"/>
      <c r="S55" s="20"/>
      <c r="T55" s="20"/>
      <c r="U55" s="20"/>
      <c r="V55" s="20"/>
      <c r="W55" s="20"/>
      <c r="X55" s="20"/>
      <c r="Y55" s="20"/>
      <c r="Z55" s="20"/>
    </row>
    <row r="56" spans="1:26" ht="39">
      <c r="A56" s="106"/>
      <c r="B56" s="20"/>
      <c r="C56" s="20" t="str">
        <f>Titles!B55</f>
        <v>Vibration performance of cross-laminated timber (CLT)-concrete composite floors considering the section thickness ratio between CLT panels and concrete slabs</v>
      </c>
      <c r="D56" s="20">
        <v>2025</v>
      </c>
      <c r="E56" s="20"/>
      <c r="F56" s="20"/>
      <c r="G56" s="20"/>
      <c r="H56" s="20"/>
      <c r="I56" s="20"/>
      <c r="J56" s="20"/>
      <c r="K56" s="20"/>
      <c r="L56" s="20"/>
      <c r="M56" s="20"/>
      <c r="N56" s="20"/>
      <c r="O56" s="20"/>
      <c r="P56" s="20"/>
      <c r="Q56" s="20"/>
      <c r="R56" s="20"/>
      <c r="S56" s="20"/>
      <c r="T56" s="20"/>
      <c r="U56" s="20"/>
      <c r="V56" s="20"/>
      <c r="W56" s="20"/>
      <c r="X56" s="20"/>
      <c r="Y56" s="20"/>
      <c r="Z56" s="20"/>
    </row>
    <row r="57" spans="1:26" ht="39">
      <c r="A57" s="106"/>
      <c r="B57" s="20"/>
      <c r="C57" s="20" t="str">
        <f>Titles!B56</f>
        <v>Out-of-Plane Strengthening of Existing Timber Floors with Cross Laminated Timber Panels Made of Short Supply Chain Beech</v>
      </c>
      <c r="D57" s="20"/>
      <c r="E57" s="20"/>
      <c r="F57" s="20"/>
      <c r="G57" s="20"/>
      <c r="H57" s="20"/>
      <c r="I57" s="20"/>
      <c r="J57" s="20"/>
      <c r="K57" s="20"/>
      <c r="L57" s="20"/>
      <c r="M57" s="20"/>
      <c r="N57" s="20"/>
      <c r="O57" s="20"/>
      <c r="P57" s="20"/>
      <c r="Q57" s="20"/>
      <c r="R57" s="20"/>
      <c r="S57" s="20"/>
      <c r="T57" s="20"/>
      <c r="U57" s="20"/>
      <c r="V57" s="20"/>
      <c r="W57" s="20"/>
      <c r="X57" s="20"/>
      <c r="Y57" s="20"/>
      <c r="Z57" s="20"/>
    </row>
    <row r="58" spans="1:26" ht="26">
      <c r="A58" s="106"/>
      <c r="B58" s="20"/>
      <c r="C58" s="20" t="str">
        <f>Titles!B57</f>
        <v>Structural performance of hybrid tall buildings designed using ultra-lightweight floor slabs</v>
      </c>
      <c r="D58" s="20"/>
      <c r="E58" s="20"/>
      <c r="F58" s="20"/>
      <c r="G58" s="20"/>
      <c r="H58" s="20"/>
      <c r="I58" s="20"/>
      <c r="J58" s="20"/>
      <c r="K58" s="20"/>
      <c r="L58" s="20"/>
      <c r="M58" s="20"/>
      <c r="N58" s="20"/>
      <c r="O58" s="20"/>
      <c r="P58" s="20"/>
      <c r="Q58" s="20"/>
      <c r="R58" s="20"/>
      <c r="S58" s="20"/>
      <c r="T58" s="20"/>
      <c r="U58" s="20"/>
      <c r="V58" s="20"/>
      <c r="W58" s="20"/>
      <c r="X58" s="20"/>
      <c r="Y58" s="20"/>
      <c r="Z58" s="20"/>
    </row>
    <row r="59" spans="1:26" ht="39">
      <c r="A59" s="106"/>
      <c r="B59" s="20"/>
      <c r="C59" s="20" t="str">
        <f>Titles!B58</f>
        <v>Estimation of energy demand and greenhouse gas emission reduction effect of cross-laminated timber (CLT) hybrid wall using life cycle assessment for urban residential planning</v>
      </c>
      <c r="D59" s="20"/>
      <c r="E59" s="20"/>
      <c r="F59" s="20"/>
      <c r="G59" s="20"/>
      <c r="H59" s="20"/>
      <c r="I59" s="20"/>
      <c r="J59" s="20"/>
      <c r="K59" s="20"/>
      <c r="L59" s="20"/>
      <c r="M59" s="20"/>
      <c r="N59" s="20"/>
      <c r="O59" s="20"/>
      <c r="P59" s="20"/>
      <c r="Q59" s="20"/>
      <c r="R59" s="20"/>
      <c r="S59" s="20"/>
      <c r="T59" s="20"/>
      <c r="U59" s="20"/>
      <c r="V59" s="20"/>
      <c r="W59" s="20"/>
      <c r="X59" s="20"/>
      <c r="Y59" s="20"/>
      <c r="Z59" s="20"/>
    </row>
    <row r="60" spans="1:26" ht="26">
      <c r="A60" s="106"/>
      <c r="B60" s="20"/>
      <c r="C60" s="20" t="str">
        <f>Titles!B59</f>
        <v>Behaviour of mass timber panel-concrete connections with inclined self-tapping screws and insulation layer</v>
      </c>
      <c r="D60" s="20"/>
      <c r="E60" s="20"/>
      <c r="F60" s="20"/>
      <c r="G60" s="20"/>
      <c r="H60" s="20"/>
      <c r="I60" s="20"/>
      <c r="J60" s="20"/>
      <c r="K60" s="20"/>
      <c r="L60" s="20"/>
      <c r="M60" s="20"/>
      <c r="N60" s="20"/>
      <c r="O60" s="20"/>
      <c r="P60" s="20"/>
      <c r="Q60" s="20"/>
      <c r="R60" s="20"/>
      <c r="S60" s="20"/>
      <c r="T60" s="20"/>
      <c r="U60" s="20"/>
      <c r="V60" s="20"/>
      <c r="W60" s="20"/>
      <c r="X60" s="20"/>
      <c r="Y60" s="20"/>
      <c r="Z60" s="20"/>
    </row>
    <row r="61" spans="1:26" ht="39">
      <c r="A61" s="106"/>
      <c r="B61" s="20"/>
      <c r="C61" s="20" t="str">
        <f>Titles!B60</f>
        <v>STRUCTURAL DYNAMIC CALCULATIONS OF TRAFFIC INDUCED VIBRATIONS IN MODERN CROSS LAMINATED TIMBER CONSTRUCTIONS</v>
      </c>
      <c r="D61" s="20"/>
      <c r="E61" s="20"/>
      <c r="F61" s="20"/>
      <c r="G61" s="20"/>
      <c r="H61" s="20"/>
      <c r="I61" s="20"/>
      <c r="J61" s="20"/>
      <c r="K61" s="20"/>
      <c r="L61" s="20"/>
      <c r="M61" s="20"/>
      <c r="N61" s="20"/>
      <c r="O61" s="20"/>
      <c r="P61" s="20"/>
      <c r="Q61" s="20"/>
      <c r="R61" s="20"/>
      <c r="S61" s="20"/>
      <c r="T61" s="20"/>
      <c r="U61" s="20"/>
      <c r="V61" s="20"/>
      <c r="W61" s="20"/>
      <c r="X61" s="20"/>
      <c r="Y61" s="20"/>
      <c r="Z61" s="20"/>
    </row>
    <row r="62" spans="1:26">
      <c r="A62" s="106"/>
      <c r="B62" s="20"/>
      <c r="C62" s="20" t="str">
        <f>Titles!B61</f>
        <v>Predicting vibration behaviour of cross laminated timber floors</v>
      </c>
      <c r="D62" s="20"/>
      <c r="E62" s="20"/>
      <c r="F62" s="20"/>
      <c r="G62" s="20"/>
      <c r="H62" s="20"/>
      <c r="I62" s="20"/>
      <c r="J62" s="20"/>
      <c r="K62" s="20"/>
      <c r="L62" s="20"/>
      <c r="M62" s="20"/>
      <c r="N62" s="20"/>
      <c r="O62" s="20"/>
      <c r="P62" s="20"/>
      <c r="Q62" s="20"/>
      <c r="R62" s="20"/>
      <c r="S62" s="20"/>
      <c r="T62" s="20"/>
      <c r="U62" s="20"/>
      <c r="V62" s="20"/>
      <c r="W62" s="20"/>
      <c r="X62" s="20"/>
      <c r="Y62" s="20"/>
      <c r="Z62" s="20"/>
    </row>
    <row r="63" spans="1:26" ht="26">
      <c r="A63" s="106"/>
      <c r="B63" s="20"/>
      <c r="C63" s="20" t="str">
        <f>Titles!B62</f>
        <v>Short-Term, Long-Term, and Vibration Performance of TCC Floors Using Mass-Timber Panels</v>
      </c>
      <c r="D63" s="20"/>
      <c r="E63" s="20"/>
      <c r="F63" s="20"/>
      <c r="G63" s="20"/>
      <c r="H63" s="20"/>
      <c r="I63" s="20"/>
      <c r="J63" s="20"/>
      <c r="K63" s="20"/>
      <c r="L63" s="20"/>
      <c r="M63" s="20"/>
      <c r="N63" s="20"/>
      <c r="O63" s="20"/>
      <c r="P63" s="20"/>
      <c r="Q63" s="20"/>
      <c r="R63" s="20"/>
      <c r="S63" s="20"/>
      <c r="T63" s="20"/>
      <c r="U63" s="20"/>
      <c r="V63" s="20"/>
      <c r="W63" s="20"/>
      <c r="X63" s="20"/>
      <c r="Y63" s="20"/>
      <c r="Z63" s="20"/>
    </row>
    <row r="64" spans="1:26" ht="26">
      <c r="A64" s="106"/>
      <c r="B64" s="20"/>
      <c r="C64" s="20" t="str">
        <f>Titles!B63</f>
        <v>Modal Feature Identification of Point-Supported Mass Timber Slabs</v>
      </c>
      <c r="D64" s="20"/>
      <c r="E64" s="20"/>
      <c r="F64" s="20"/>
      <c r="G64" s="20"/>
      <c r="H64" s="20"/>
      <c r="I64" s="20"/>
      <c r="J64" s="20"/>
      <c r="K64" s="20"/>
      <c r="L64" s="20"/>
      <c r="M64" s="20"/>
      <c r="N64" s="20"/>
      <c r="O64" s="20"/>
      <c r="P64" s="20"/>
      <c r="Q64" s="20"/>
      <c r="R64" s="20"/>
      <c r="S64" s="20"/>
      <c r="T64" s="20"/>
      <c r="U64" s="20"/>
      <c r="V64" s="20"/>
      <c r="W64" s="20"/>
      <c r="X64" s="20"/>
      <c r="Y64" s="20"/>
      <c r="Z64" s="20"/>
    </row>
  </sheetData>
  <mergeCells count="5">
    <mergeCell ref="I1:O1"/>
    <mergeCell ref="B1:D1"/>
    <mergeCell ref="E1:H1"/>
    <mergeCell ref="P1:S1"/>
    <mergeCell ref="T1:Z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79E9C-386A-47EF-95DA-009E65F9469D}">
  <sheetPr>
    <tabColor theme="9" tint="0.59999389629810485"/>
  </sheetPr>
  <dimension ref="A1:N243"/>
  <sheetViews>
    <sheetView zoomScaleNormal="100" workbookViewId="0">
      <pane ySplit="1" topLeftCell="A2" activePane="bottomLeft" state="frozen"/>
      <selection activeCell="R2" sqref="R2"/>
      <selection pane="bottomLeft" activeCell="D5" sqref="D5"/>
    </sheetView>
  </sheetViews>
  <sheetFormatPr defaultRowHeight="14.5"/>
  <cols>
    <col min="1" max="1" width="5.6328125" style="5" customWidth="1"/>
    <col min="2" max="2" width="12.54296875" customWidth="1"/>
    <col min="3" max="3" width="6.6328125" customWidth="1"/>
    <col min="4" max="4" width="79.6328125" style="9" customWidth="1"/>
    <col min="5" max="5" width="10.6328125" customWidth="1"/>
    <col min="6" max="12" width="10.6328125" style="4" customWidth="1"/>
    <col min="13" max="13" width="10.6328125" customWidth="1"/>
    <col min="16383" max="16384" width="9.36328125" bestFit="1" customWidth="1"/>
  </cols>
  <sheetData>
    <row r="1" spans="1:14" s="30" customFormat="1" ht="29">
      <c r="A1" s="28" t="s">
        <v>3164</v>
      </c>
      <c r="B1" s="29" t="s">
        <v>0</v>
      </c>
      <c r="C1" s="29" t="s">
        <v>3</v>
      </c>
      <c r="D1" s="28" t="s">
        <v>3261</v>
      </c>
      <c r="E1" s="31" t="s">
        <v>3262</v>
      </c>
      <c r="F1" s="29" t="s">
        <v>3263</v>
      </c>
      <c r="G1" s="29" t="s">
        <v>3264</v>
      </c>
      <c r="H1" s="29" t="s">
        <v>3265</v>
      </c>
      <c r="I1" s="29" t="s">
        <v>3266</v>
      </c>
      <c r="J1" s="29" t="s">
        <v>3267</v>
      </c>
      <c r="K1" s="29" t="s">
        <v>3268</v>
      </c>
      <c r="L1" s="29" t="s">
        <v>3269</v>
      </c>
      <c r="M1" s="31" t="s">
        <v>3270</v>
      </c>
    </row>
    <row r="2" spans="1:14">
      <c r="A2" s="23"/>
      <c r="B2" s="20" t="e">
        <f>VLOOKUP($A2,Scopus!$A$1:$D$62,2,FALSE)</f>
        <v>#N/A</v>
      </c>
      <c r="C2" s="20" t="e">
        <f>VLOOKUP($A2,Scopus!$A$1:$D$62,5,FALSE)</f>
        <v>#N/A</v>
      </c>
      <c r="D2" s="20"/>
      <c r="E2" s="32"/>
      <c r="F2" s="32"/>
      <c r="G2" s="32"/>
      <c r="H2" s="32"/>
      <c r="I2" s="32"/>
      <c r="J2" s="32"/>
      <c r="K2" s="32"/>
      <c r="L2" s="32"/>
      <c r="M2" s="32"/>
      <c r="N2" s="8"/>
    </row>
    <row r="3" spans="1:14">
      <c r="A3" s="23"/>
      <c r="B3" s="20" t="e">
        <f>VLOOKUP($A3,Scopus!$A$1:$D$62,2,FALSE)</f>
        <v>#N/A</v>
      </c>
      <c r="C3" s="20" t="e">
        <f>VLOOKUP($A3,Scopus!$A$1:$D$62,5,FALSE)</f>
        <v>#N/A</v>
      </c>
      <c r="D3" s="20"/>
      <c r="E3" s="32"/>
      <c r="F3" s="32"/>
      <c r="G3" s="32"/>
      <c r="H3" s="32"/>
      <c r="I3" s="32"/>
      <c r="J3" s="32"/>
      <c r="K3" s="32"/>
      <c r="L3" s="32"/>
      <c r="M3" s="32"/>
    </row>
    <row r="4" spans="1:14">
      <c r="A4" s="23"/>
      <c r="B4" s="20" t="e">
        <f>VLOOKUP($A4,Scopus!$A$1:$D$62,2,FALSE)</f>
        <v>#N/A</v>
      </c>
      <c r="C4" s="20" t="e">
        <f>VLOOKUP($A4,Scopus!$A$1:$D$62,5,FALSE)</f>
        <v>#N/A</v>
      </c>
      <c r="D4" s="20"/>
      <c r="E4" s="32"/>
      <c r="F4" s="32"/>
      <c r="G4" s="32"/>
      <c r="H4" s="32"/>
      <c r="I4" s="32"/>
      <c r="J4" s="32"/>
      <c r="K4" s="32"/>
      <c r="L4" s="32"/>
      <c r="M4" s="32"/>
    </row>
    <row r="5" spans="1:14">
      <c r="A5" s="23"/>
      <c r="B5" s="20" t="e">
        <f>VLOOKUP($A5,Scopus!$A$1:$D$62,2,FALSE)</f>
        <v>#N/A</v>
      </c>
      <c r="C5" s="20" t="e">
        <f>VLOOKUP($A5,Scopus!$A$1:$D$62,5,FALSE)</f>
        <v>#N/A</v>
      </c>
      <c r="D5" s="20"/>
      <c r="E5" s="32"/>
      <c r="F5" s="32"/>
      <c r="G5" s="32"/>
      <c r="H5" s="32"/>
      <c r="I5" s="32"/>
      <c r="J5" s="32"/>
      <c r="K5" s="32"/>
      <c r="L5" s="32"/>
      <c r="M5" s="32"/>
    </row>
    <row r="6" spans="1:14">
      <c r="A6" s="23"/>
      <c r="B6" s="20" t="e">
        <f>VLOOKUP($A6,Scopus!$A$1:$D$62,2,FALSE)</f>
        <v>#N/A</v>
      </c>
      <c r="C6" s="20" t="e">
        <f>VLOOKUP($A6,Scopus!$A$1:$D$62,5,FALSE)</f>
        <v>#N/A</v>
      </c>
      <c r="D6" s="20"/>
      <c r="E6" s="32"/>
      <c r="F6" s="32"/>
      <c r="G6" s="32"/>
      <c r="H6" s="32"/>
      <c r="I6" s="32"/>
      <c r="J6" s="32"/>
      <c r="K6" s="32"/>
      <c r="L6" s="32"/>
      <c r="M6" s="32"/>
    </row>
    <row r="7" spans="1:14">
      <c r="A7" s="23"/>
      <c r="B7" s="20" t="e">
        <f>VLOOKUP($A7,Scopus!$A$1:$D$62,2,FALSE)</f>
        <v>#N/A</v>
      </c>
      <c r="C7" s="20" t="e">
        <f>VLOOKUP($A7,Scopus!$A$1:$D$62,5,FALSE)</f>
        <v>#N/A</v>
      </c>
      <c r="D7" s="20"/>
      <c r="E7" s="32"/>
      <c r="F7" s="32"/>
      <c r="G7" s="32"/>
      <c r="H7" s="32"/>
      <c r="I7" s="32"/>
      <c r="J7" s="32"/>
      <c r="K7" s="32"/>
      <c r="L7" s="32"/>
      <c r="M7" s="32"/>
    </row>
    <row r="8" spans="1:14">
      <c r="A8" s="23"/>
      <c r="B8" s="20" t="e">
        <f>VLOOKUP($A8,Scopus!$A$1:$D$62,2,FALSE)</f>
        <v>#N/A</v>
      </c>
      <c r="C8" s="20" t="e">
        <f>VLOOKUP($A8,Scopus!$A$1:$D$62,5,FALSE)</f>
        <v>#N/A</v>
      </c>
      <c r="D8" s="20"/>
      <c r="E8" s="32"/>
      <c r="F8" s="32"/>
      <c r="G8" s="32"/>
      <c r="H8" s="32"/>
      <c r="I8" s="32"/>
      <c r="J8" s="32"/>
      <c r="K8" s="32"/>
      <c r="L8" s="32"/>
      <c r="M8" s="32"/>
    </row>
    <row r="9" spans="1:14">
      <c r="A9" s="23"/>
      <c r="B9" s="20" t="e">
        <f>VLOOKUP($A9,Scopus!$A$1:$D$62,2,FALSE)</f>
        <v>#N/A</v>
      </c>
      <c r="C9" s="20" t="e">
        <f>VLOOKUP($A9,Scopus!$A$1:$D$62,5,FALSE)</f>
        <v>#N/A</v>
      </c>
      <c r="D9" s="20"/>
      <c r="E9" s="32"/>
      <c r="F9" s="32"/>
      <c r="G9" s="32"/>
      <c r="H9" s="32"/>
      <c r="I9" s="32"/>
      <c r="J9" s="32"/>
      <c r="K9" s="32"/>
      <c r="L9" s="32"/>
      <c r="M9" s="32"/>
    </row>
    <row r="10" spans="1:14">
      <c r="A10" s="23"/>
      <c r="B10" s="20" t="e">
        <f>VLOOKUP($A10,Scopus!$A$1:$D$62,2,FALSE)</f>
        <v>#N/A</v>
      </c>
      <c r="C10" s="20" t="e">
        <f>VLOOKUP($A10,Scopus!$A$1:$D$62,5,FALSE)</f>
        <v>#N/A</v>
      </c>
      <c r="D10" s="20"/>
      <c r="E10" s="32"/>
      <c r="F10" s="32"/>
      <c r="G10" s="32"/>
      <c r="H10" s="32"/>
      <c r="I10" s="32"/>
      <c r="J10" s="32"/>
      <c r="K10" s="32"/>
      <c r="L10" s="32"/>
      <c r="M10" s="32"/>
    </row>
    <row r="11" spans="1:14">
      <c r="A11" s="23"/>
      <c r="B11" s="20" t="e">
        <f>VLOOKUP($A11,Scopus!$A$1:$D$62,2,FALSE)</f>
        <v>#N/A</v>
      </c>
      <c r="C11" s="20" t="e">
        <f>VLOOKUP($A11,Scopus!$A$1:$D$62,5,FALSE)</f>
        <v>#N/A</v>
      </c>
      <c r="D11" s="20"/>
      <c r="E11" s="32"/>
      <c r="F11" s="32"/>
      <c r="G11" s="32"/>
      <c r="H11" s="32"/>
      <c r="I11" s="32"/>
      <c r="J11" s="32"/>
      <c r="K11" s="32"/>
      <c r="L11" s="32"/>
      <c r="M11" s="32"/>
    </row>
    <row r="12" spans="1:14">
      <c r="A12" s="23"/>
      <c r="B12" s="20" t="e">
        <f>VLOOKUP($A12,Scopus!$A$1:$D$62,2,FALSE)</f>
        <v>#N/A</v>
      </c>
      <c r="C12" s="20" t="e">
        <f>VLOOKUP($A12,Scopus!$A$1:$D$62,5,FALSE)</f>
        <v>#N/A</v>
      </c>
      <c r="D12" s="20"/>
      <c r="E12" s="32"/>
      <c r="F12" s="32"/>
      <c r="G12" s="32"/>
      <c r="H12" s="32"/>
      <c r="I12" s="32"/>
      <c r="J12" s="32"/>
      <c r="K12" s="32"/>
      <c r="L12" s="32"/>
      <c r="M12" s="32"/>
    </row>
    <row r="13" spans="1:14">
      <c r="A13" s="23"/>
      <c r="B13" s="20" t="e">
        <f>VLOOKUP($A13,Scopus!$A$1:$D$62,2,FALSE)</f>
        <v>#N/A</v>
      </c>
      <c r="C13" s="20" t="e">
        <f>VLOOKUP($A13,Scopus!$A$1:$D$62,5,FALSE)</f>
        <v>#N/A</v>
      </c>
      <c r="D13" s="20"/>
      <c r="E13" s="32"/>
      <c r="F13" s="32"/>
      <c r="G13" s="32"/>
      <c r="H13" s="32"/>
      <c r="I13" s="32"/>
      <c r="J13" s="32"/>
      <c r="K13" s="32"/>
      <c r="L13" s="32"/>
      <c r="M13" s="32"/>
    </row>
    <row r="14" spans="1:14">
      <c r="A14" s="23"/>
      <c r="B14" s="20" t="e">
        <f>VLOOKUP($A14,Scopus!$A$1:$D$62,2,FALSE)</f>
        <v>#N/A</v>
      </c>
      <c r="C14" s="20" t="e">
        <f>VLOOKUP($A14,Scopus!$A$1:$D$62,5,FALSE)</f>
        <v>#N/A</v>
      </c>
      <c r="D14" s="20"/>
      <c r="E14" s="32"/>
      <c r="F14" s="32"/>
      <c r="G14" s="32"/>
      <c r="H14" s="32"/>
      <c r="I14" s="32"/>
      <c r="J14" s="32"/>
      <c r="K14" s="32"/>
      <c r="L14" s="32"/>
      <c r="M14" s="32"/>
    </row>
    <row r="15" spans="1:14">
      <c r="A15" s="23"/>
      <c r="B15" s="20" t="e">
        <f>VLOOKUP($A15,Scopus!$A$1:$D$62,2,FALSE)</f>
        <v>#N/A</v>
      </c>
      <c r="C15" s="20" t="e">
        <f>VLOOKUP($A15,Scopus!$A$1:$D$62,5,FALSE)</f>
        <v>#N/A</v>
      </c>
      <c r="D15" s="20"/>
      <c r="E15" s="32"/>
      <c r="F15" s="32"/>
      <c r="G15" s="32"/>
      <c r="H15" s="32"/>
      <c r="I15" s="32"/>
      <c r="J15" s="32"/>
      <c r="K15" s="32"/>
      <c r="L15" s="32"/>
      <c r="M15" s="32"/>
    </row>
    <row r="16" spans="1:14">
      <c r="A16" s="23"/>
      <c r="B16" s="20" t="e">
        <f>VLOOKUP($A16,Scopus!$A$1:$D$62,2,FALSE)</f>
        <v>#N/A</v>
      </c>
      <c r="C16" s="20" t="e">
        <f>VLOOKUP($A16,Scopus!$A$1:$D$62,5,FALSE)</f>
        <v>#N/A</v>
      </c>
      <c r="D16" s="20"/>
      <c r="E16" s="32"/>
      <c r="F16" s="32"/>
      <c r="G16" s="32"/>
      <c r="H16" s="32"/>
      <c r="I16" s="32"/>
      <c r="J16" s="32"/>
      <c r="K16" s="32"/>
      <c r="L16" s="32"/>
      <c r="M16" s="32"/>
    </row>
    <row r="17" spans="1:13">
      <c r="A17" s="23"/>
      <c r="B17" s="20" t="e">
        <f>VLOOKUP($A17,Scopus!$A$1:$D$62,2,FALSE)</f>
        <v>#N/A</v>
      </c>
      <c r="C17" s="20" t="e">
        <f>VLOOKUP($A17,Scopus!$A$1:$D$62,5,FALSE)</f>
        <v>#N/A</v>
      </c>
      <c r="D17" s="20"/>
      <c r="E17" s="32"/>
      <c r="F17" s="32"/>
      <c r="G17" s="32"/>
      <c r="H17" s="32"/>
      <c r="I17" s="32"/>
      <c r="J17" s="32"/>
      <c r="K17" s="32"/>
      <c r="L17" s="32"/>
      <c r="M17" s="32"/>
    </row>
    <row r="18" spans="1:13">
      <c r="A18" s="23"/>
      <c r="B18" s="20" t="e">
        <f>VLOOKUP($A18,Scopus!$A$1:$D$62,2,FALSE)</f>
        <v>#N/A</v>
      </c>
      <c r="C18" s="20" t="e">
        <f>VLOOKUP($A18,Scopus!$A$1:$D$62,5,FALSE)</f>
        <v>#N/A</v>
      </c>
      <c r="D18" s="20"/>
      <c r="E18" s="32"/>
      <c r="F18" s="32"/>
      <c r="G18" s="32"/>
      <c r="H18" s="32"/>
      <c r="I18" s="32"/>
      <c r="J18" s="32"/>
      <c r="K18" s="32"/>
      <c r="L18" s="32"/>
      <c r="M18" s="32"/>
    </row>
    <row r="19" spans="1:13">
      <c r="A19" s="23"/>
      <c r="B19" s="20" t="e">
        <f>VLOOKUP($A19,Scopus!$A$1:$D$62,2,FALSE)</f>
        <v>#N/A</v>
      </c>
      <c r="C19" s="20" t="e">
        <f>VLOOKUP($A19,Scopus!$A$1:$D$62,5,FALSE)</f>
        <v>#N/A</v>
      </c>
      <c r="D19" s="20"/>
      <c r="E19" s="32"/>
      <c r="F19" s="32"/>
      <c r="G19" s="32"/>
      <c r="H19" s="32"/>
      <c r="I19" s="32"/>
      <c r="J19" s="32"/>
      <c r="K19" s="32"/>
      <c r="L19" s="32"/>
      <c r="M19" s="32"/>
    </row>
    <row r="20" spans="1:13">
      <c r="A20" s="23"/>
      <c r="B20" s="20" t="e">
        <f>VLOOKUP($A20,Scopus!$A$1:$D$62,2,FALSE)</f>
        <v>#N/A</v>
      </c>
      <c r="C20" s="20" t="e">
        <f>VLOOKUP($A20,Scopus!$A$1:$D$62,5,FALSE)</f>
        <v>#N/A</v>
      </c>
      <c r="D20" s="20"/>
      <c r="E20" s="32"/>
      <c r="F20" s="32"/>
      <c r="G20" s="32"/>
      <c r="H20" s="32"/>
      <c r="I20" s="32"/>
      <c r="J20" s="32"/>
      <c r="K20" s="32"/>
      <c r="L20" s="32"/>
      <c r="M20" s="32"/>
    </row>
    <row r="21" spans="1:13">
      <c r="A21" s="23"/>
      <c r="B21" s="20" t="e">
        <f>VLOOKUP($A21,Scopus!$A$1:$D$62,2,FALSE)</f>
        <v>#N/A</v>
      </c>
      <c r="C21" s="20" t="e">
        <f>VLOOKUP($A21,Scopus!$A$1:$D$62,5,FALSE)</f>
        <v>#N/A</v>
      </c>
      <c r="D21" s="20"/>
      <c r="E21" s="32"/>
      <c r="F21" s="32"/>
      <c r="G21" s="32"/>
      <c r="H21" s="32"/>
      <c r="I21" s="32"/>
      <c r="J21" s="32"/>
      <c r="K21" s="32"/>
      <c r="L21" s="32"/>
      <c r="M21" s="32"/>
    </row>
    <row r="22" spans="1:13">
      <c r="A22" s="23"/>
      <c r="B22" s="20" t="e">
        <f>VLOOKUP($A22,Scopus!$A$1:$D$62,2,FALSE)</f>
        <v>#N/A</v>
      </c>
      <c r="C22" s="20" t="e">
        <f>VLOOKUP($A22,Scopus!$A$1:$D$62,5,FALSE)</f>
        <v>#N/A</v>
      </c>
      <c r="D22" s="20"/>
      <c r="E22" s="32"/>
      <c r="F22" s="32"/>
      <c r="G22" s="32"/>
      <c r="H22" s="32"/>
      <c r="I22" s="32"/>
      <c r="J22" s="32"/>
      <c r="K22" s="32"/>
      <c r="L22" s="32"/>
      <c r="M22" s="32"/>
    </row>
    <row r="23" spans="1:13">
      <c r="A23" s="23"/>
      <c r="B23" s="20" t="e">
        <f>VLOOKUP($A23,Scopus!$A$1:$D$62,2,FALSE)</f>
        <v>#N/A</v>
      </c>
      <c r="C23" s="20" t="e">
        <f>VLOOKUP($A23,Scopus!$A$1:$D$62,5,FALSE)</f>
        <v>#N/A</v>
      </c>
      <c r="D23" s="20"/>
      <c r="E23" s="32"/>
      <c r="F23" s="32"/>
      <c r="G23" s="32"/>
      <c r="H23" s="32"/>
      <c r="I23" s="32"/>
      <c r="J23" s="32"/>
      <c r="K23" s="32"/>
      <c r="L23" s="32"/>
      <c r="M23" s="32"/>
    </row>
    <row r="24" spans="1:13">
      <c r="A24" s="23"/>
      <c r="B24" s="20" t="e">
        <f>VLOOKUP($A24,Scopus!$A$1:$D$62,2,FALSE)</f>
        <v>#N/A</v>
      </c>
      <c r="C24" s="20" t="e">
        <f>VLOOKUP($A24,Scopus!$A$1:$D$62,5,FALSE)</f>
        <v>#N/A</v>
      </c>
      <c r="D24" s="20"/>
      <c r="E24" s="32"/>
      <c r="F24" s="32"/>
      <c r="G24" s="32"/>
      <c r="H24" s="32"/>
      <c r="I24" s="32"/>
      <c r="J24" s="32"/>
      <c r="K24" s="32"/>
      <c r="L24" s="32"/>
      <c r="M24" s="32"/>
    </row>
    <row r="25" spans="1:13">
      <c r="A25" s="23"/>
      <c r="B25" s="20" t="e">
        <f>VLOOKUP($A25,Scopus!$A$1:$D$62,2,FALSE)</f>
        <v>#N/A</v>
      </c>
      <c r="C25" s="20" t="e">
        <f>VLOOKUP($A25,Scopus!$A$1:$D$62,5,FALSE)</f>
        <v>#N/A</v>
      </c>
      <c r="D25" s="20"/>
      <c r="E25" s="32"/>
      <c r="F25" s="32"/>
      <c r="G25" s="32"/>
      <c r="H25" s="32"/>
      <c r="I25" s="32"/>
      <c r="J25" s="32"/>
      <c r="K25" s="32"/>
      <c r="L25" s="32"/>
      <c r="M25" s="32"/>
    </row>
    <row r="26" spans="1:13">
      <c r="A26" s="23"/>
      <c r="B26" s="20" t="e">
        <f>VLOOKUP($A26,Scopus!$A$1:$D$62,2,FALSE)</f>
        <v>#N/A</v>
      </c>
      <c r="C26" s="20" t="e">
        <f>VLOOKUP($A26,Scopus!$A$1:$D$62,5,FALSE)</f>
        <v>#N/A</v>
      </c>
      <c r="D26" s="20"/>
      <c r="E26" s="32"/>
      <c r="F26" s="32"/>
      <c r="G26" s="32"/>
      <c r="H26" s="32"/>
      <c r="I26" s="32"/>
      <c r="J26" s="32"/>
      <c r="K26" s="32"/>
      <c r="L26" s="32"/>
      <c r="M26" s="32"/>
    </row>
    <row r="27" spans="1:13">
      <c r="A27" s="23"/>
      <c r="B27" s="20" t="e">
        <f>VLOOKUP($A27,Scopus!$A$1:$D$62,2,FALSE)</f>
        <v>#N/A</v>
      </c>
      <c r="C27" s="20" t="e">
        <f>VLOOKUP($A27,Scopus!$A$1:$D$62,5,FALSE)</f>
        <v>#N/A</v>
      </c>
      <c r="D27" s="20"/>
      <c r="E27" s="32"/>
      <c r="F27" s="32"/>
      <c r="G27" s="32"/>
      <c r="H27" s="32"/>
      <c r="I27" s="32"/>
      <c r="J27" s="32"/>
      <c r="K27" s="32"/>
      <c r="L27" s="32"/>
      <c r="M27" s="32"/>
    </row>
    <row r="28" spans="1:13">
      <c r="A28" s="23"/>
      <c r="B28" s="20" t="e">
        <f>VLOOKUP($A28,Scopus!$A$1:$D$62,2,FALSE)</f>
        <v>#N/A</v>
      </c>
      <c r="C28" s="20" t="e">
        <f>VLOOKUP($A28,Scopus!$A$1:$D$62,5,FALSE)</f>
        <v>#N/A</v>
      </c>
      <c r="D28" s="20"/>
      <c r="E28" s="32"/>
      <c r="F28" s="32"/>
      <c r="G28" s="32"/>
      <c r="H28" s="32"/>
      <c r="I28" s="32"/>
      <c r="J28" s="32"/>
      <c r="K28" s="32"/>
      <c r="L28" s="32"/>
      <c r="M28" s="32"/>
    </row>
    <row r="29" spans="1:13">
      <c r="A29" s="23"/>
      <c r="B29" s="20" t="e">
        <f>VLOOKUP($A29,Scopus!$A$1:$D$62,2,FALSE)</f>
        <v>#N/A</v>
      </c>
      <c r="C29" s="20" t="e">
        <f>VLOOKUP($A29,Scopus!$A$1:$D$62,5,FALSE)</f>
        <v>#N/A</v>
      </c>
      <c r="D29" s="20"/>
      <c r="E29" s="32"/>
      <c r="F29" s="32"/>
      <c r="G29" s="32"/>
      <c r="H29" s="32"/>
      <c r="I29" s="32"/>
      <c r="J29" s="32"/>
      <c r="K29" s="32"/>
      <c r="L29" s="32"/>
      <c r="M29" s="32"/>
    </row>
    <row r="30" spans="1:13">
      <c r="A30" s="23"/>
      <c r="B30" s="20" t="e">
        <f>VLOOKUP($A30,Scopus!$A$1:$D$62,2,FALSE)</f>
        <v>#N/A</v>
      </c>
      <c r="C30" s="20" t="e">
        <f>VLOOKUP($A30,Scopus!$A$1:$D$62,5,FALSE)</f>
        <v>#N/A</v>
      </c>
      <c r="D30" s="20"/>
      <c r="E30" s="32"/>
      <c r="F30" s="32"/>
      <c r="G30" s="32"/>
      <c r="H30" s="32"/>
      <c r="I30" s="32"/>
      <c r="J30" s="32"/>
      <c r="K30" s="32"/>
      <c r="L30" s="32"/>
      <c r="M30" s="32"/>
    </row>
    <row r="31" spans="1:13">
      <c r="A31" s="23"/>
      <c r="B31" s="20" t="e">
        <f>VLOOKUP($A31,Scopus!$A$1:$D$62,2,FALSE)</f>
        <v>#N/A</v>
      </c>
      <c r="C31" s="20" t="e">
        <f>VLOOKUP($A31,Scopus!$A$1:$D$62,5,FALSE)</f>
        <v>#N/A</v>
      </c>
      <c r="D31" s="20"/>
      <c r="E31" s="32"/>
      <c r="F31" s="32"/>
      <c r="G31" s="32"/>
      <c r="H31" s="32"/>
      <c r="I31" s="32"/>
      <c r="J31" s="32"/>
      <c r="K31" s="32"/>
      <c r="L31" s="32"/>
      <c r="M31" s="32"/>
    </row>
    <row r="32" spans="1:13">
      <c r="A32" s="23"/>
      <c r="B32" s="20" t="e">
        <f>VLOOKUP($A32,Scopus!$A$1:$D$62,2,FALSE)</f>
        <v>#N/A</v>
      </c>
      <c r="C32" s="20" t="e">
        <f>VLOOKUP($A32,Scopus!$A$1:$D$62,5,FALSE)</f>
        <v>#N/A</v>
      </c>
      <c r="D32" s="20"/>
      <c r="E32" s="32"/>
      <c r="F32" s="32"/>
      <c r="G32" s="32"/>
      <c r="H32" s="32"/>
      <c r="I32" s="32"/>
      <c r="J32" s="32"/>
      <c r="K32" s="32"/>
      <c r="L32" s="32"/>
      <c r="M32" s="32"/>
    </row>
    <row r="33" spans="1:13">
      <c r="A33" s="23"/>
      <c r="B33" s="20" t="e">
        <f>VLOOKUP($A33,Scopus!$A$1:$D$62,2,FALSE)</f>
        <v>#N/A</v>
      </c>
      <c r="C33" s="20" t="e">
        <f>VLOOKUP($A33,Scopus!$A$1:$D$62,5,FALSE)</f>
        <v>#N/A</v>
      </c>
      <c r="D33" s="20"/>
      <c r="E33" s="32"/>
      <c r="F33" s="32"/>
      <c r="G33" s="32"/>
      <c r="H33" s="32"/>
      <c r="I33" s="32"/>
      <c r="J33" s="32"/>
      <c r="K33" s="32"/>
      <c r="L33" s="32"/>
      <c r="M33" s="32"/>
    </row>
    <row r="34" spans="1:13">
      <c r="A34" s="23"/>
      <c r="B34" s="20" t="e">
        <f>VLOOKUP($A34,Scopus!$A$1:$D$62,2,FALSE)</f>
        <v>#N/A</v>
      </c>
      <c r="C34" s="20" t="e">
        <f>VLOOKUP($A34,Scopus!$A$1:$D$62,5,FALSE)</f>
        <v>#N/A</v>
      </c>
      <c r="D34" s="20"/>
      <c r="E34" s="32"/>
      <c r="F34" s="32"/>
      <c r="G34" s="32"/>
      <c r="H34" s="32"/>
      <c r="I34" s="32"/>
      <c r="J34" s="32"/>
      <c r="K34" s="32"/>
      <c r="L34" s="32"/>
      <c r="M34" s="32"/>
    </row>
    <row r="35" spans="1:13">
      <c r="A35" s="23"/>
      <c r="B35" s="20" t="e">
        <f>VLOOKUP($A35,Scopus!$A$1:$D$62,2,FALSE)</f>
        <v>#N/A</v>
      </c>
      <c r="C35" s="20" t="e">
        <f>VLOOKUP($A35,Scopus!$A$1:$D$62,5,FALSE)</f>
        <v>#N/A</v>
      </c>
      <c r="D35" s="20"/>
      <c r="E35" s="32"/>
      <c r="F35" s="32"/>
      <c r="G35" s="32"/>
      <c r="H35" s="32"/>
      <c r="I35" s="32"/>
      <c r="J35" s="32"/>
      <c r="K35" s="32"/>
      <c r="L35" s="32"/>
      <c r="M35" s="32"/>
    </row>
    <row r="36" spans="1:13">
      <c r="A36" s="23"/>
      <c r="B36" s="20" t="e">
        <f>VLOOKUP($A36,Scopus!$A$1:$D$62,2,FALSE)</f>
        <v>#N/A</v>
      </c>
      <c r="C36" s="20" t="e">
        <f>VLOOKUP($A36,Scopus!$A$1:$D$62,5,FALSE)</f>
        <v>#N/A</v>
      </c>
      <c r="D36" s="20"/>
      <c r="E36" s="32"/>
      <c r="F36" s="32"/>
      <c r="G36" s="32"/>
      <c r="H36" s="32"/>
      <c r="I36" s="32"/>
      <c r="J36" s="32"/>
      <c r="K36" s="32"/>
      <c r="L36" s="32"/>
      <c r="M36" s="32"/>
    </row>
    <row r="37" spans="1:13">
      <c r="A37" s="23"/>
      <c r="B37" s="20" t="e">
        <f>VLOOKUP($A37,Scopus!$A$1:$D$62,2,FALSE)</f>
        <v>#N/A</v>
      </c>
      <c r="C37" s="20" t="e">
        <f>VLOOKUP($A37,Scopus!$A$1:$D$62,5,FALSE)</f>
        <v>#N/A</v>
      </c>
      <c r="D37" s="20"/>
      <c r="E37" s="32"/>
      <c r="F37" s="32"/>
      <c r="G37" s="32"/>
      <c r="H37" s="32"/>
      <c r="I37" s="32"/>
      <c r="J37" s="32"/>
      <c r="K37" s="32"/>
      <c r="L37" s="32"/>
      <c r="M37" s="33"/>
    </row>
    <row r="38" spans="1:13">
      <c r="A38" s="23"/>
      <c r="B38" s="20" t="e">
        <f>VLOOKUP($A38,Scopus!$A$1:$D$62,2,FALSE)</f>
        <v>#N/A</v>
      </c>
      <c r="C38" s="20" t="e">
        <f>VLOOKUP($A38,Scopus!$A$1:$D$62,5,FALSE)</f>
        <v>#N/A</v>
      </c>
      <c r="D38" s="20"/>
      <c r="E38" s="32"/>
      <c r="F38" s="32"/>
      <c r="G38" s="32"/>
      <c r="H38" s="32"/>
      <c r="I38" s="32"/>
      <c r="J38" s="32"/>
      <c r="K38" s="32"/>
      <c r="L38" s="32"/>
      <c r="M38" s="32"/>
    </row>
    <row r="39" spans="1:13">
      <c r="A39" s="23"/>
      <c r="B39" s="20" t="e">
        <f>VLOOKUP($A39,Scopus!$A$1:$D$62,2,FALSE)</f>
        <v>#N/A</v>
      </c>
      <c r="C39" s="20" t="e">
        <f>VLOOKUP($A39,Scopus!$A$1:$D$62,5,FALSE)</f>
        <v>#N/A</v>
      </c>
      <c r="D39" s="20"/>
      <c r="E39" s="32"/>
      <c r="F39" s="32"/>
      <c r="G39" s="32"/>
      <c r="H39" s="32"/>
      <c r="I39" s="32"/>
      <c r="J39" s="32"/>
      <c r="K39" s="32"/>
      <c r="L39" s="32"/>
      <c r="M39" s="32"/>
    </row>
    <row r="40" spans="1:13">
      <c r="A40" s="23"/>
      <c r="B40" s="20" t="e">
        <f>VLOOKUP($A40,Scopus!$A$1:$D$62,2,FALSE)</f>
        <v>#N/A</v>
      </c>
      <c r="C40" s="20" t="e">
        <f>VLOOKUP($A40,Scopus!$A$1:$D$62,5,FALSE)</f>
        <v>#N/A</v>
      </c>
      <c r="D40" s="20"/>
      <c r="E40" s="32"/>
      <c r="F40" s="32"/>
      <c r="G40" s="32"/>
      <c r="H40" s="32"/>
      <c r="I40" s="32"/>
      <c r="J40" s="32"/>
      <c r="K40" s="32"/>
      <c r="L40" s="32"/>
      <c r="M40" s="32"/>
    </row>
    <row r="41" spans="1:13">
      <c r="A41" s="23"/>
      <c r="B41" s="20" t="e">
        <f>VLOOKUP($A41,Scopus!$A$1:$D$62,2,FALSE)</f>
        <v>#N/A</v>
      </c>
      <c r="C41" s="20" t="e">
        <f>VLOOKUP($A41,Scopus!$A$1:$D$62,5,FALSE)</f>
        <v>#N/A</v>
      </c>
      <c r="D41" s="20"/>
      <c r="E41" s="32"/>
      <c r="F41" s="32"/>
      <c r="G41" s="32"/>
      <c r="H41" s="32"/>
      <c r="I41" s="32"/>
      <c r="J41" s="32"/>
      <c r="K41" s="32"/>
      <c r="L41" s="32"/>
      <c r="M41" s="32"/>
    </row>
    <row r="42" spans="1:13">
      <c r="A42" s="23"/>
      <c r="B42" s="20" t="e">
        <f>VLOOKUP($A42,Scopus!$A$1:$D$62,2,FALSE)</f>
        <v>#N/A</v>
      </c>
      <c r="C42" s="20" t="e">
        <f>VLOOKUP($A42,Scopus!$A$1:$D$62,5,FALSE)</f>
        <v>#N/A</v>
      </c>
      <c r="D42" s="20"/>
      <c r="E42" s="32"/>
      <c r="F42" s="32"/>
      <c r="G42" s="32"/>
      <c r="H42" s="32"/>
      <c r="I42" s="32"/>
      <c r="J42" s="32"/>
      <c r="K42" s="32"/>
      <c r="L42" s="32"/>
      <c r="M42" s="32"/>
    </row>
    <row r="43" spans="1:13">
      <c r="A43" s="23"/>
      <c r="B43" s="20" t="e">
        <f>VLOOKUP($A43,Scopus!$A$1:$D$62,2,FALSE)</f>
        <v>#N/A</v>
      </c>
      <c r="C43" s="20" t="e">
        <f>VLOOKUP($A43,Scopus!$A$1:$D$62,5,FALSE)</f>
        <v>#N/A</v>
      </c>
      <c r="D43" s="20"/>
      <c r="E43" s="32"/>
      <c r="F43" s="32"/>
      <c r="G43" s="32"/>
      <c r="H43" s="32"/>
      <c r="I43" s="32"/>
      <c r="J43" s="32"/>
      <c r="K43" s="32"/>
      <c r="L43" s="32"/>
      <c r="M43" s="32"/>
    </row>
    <row r="44" spans="1:13">
      <c r="A44" s="23"/>
      <c r="B44" s="20" t="e">
        <f>VLOOKUP($A44,Scopus!$A$1:$D$62,2,FALSE)</f>
        <v>#N/A</v>
      </c>
      <c r="C44" s="20" t="e">
        <f>VLOOKUP($A44,Scopus!$A$1:$D$62,5,FALSE)</f>
        <v>#N/A</v>
      </c>
      <c r="D44" s="20"/>
      <c r="E44" s="32"/>
      <c r="F44" s="32"/>
      <c r="G44" s="32"/>
      <c r="H44" s="32"/>
      <c r="I44" s="32"/>
      <c r="J44" s="32"/>
      <c r="K44" s="32"/>
      <c r="L44" s="32"/>
      <c r="M44" s="32"/>
    </row>
    <row r="45" spans="1:13">
      <c r="A45" s="23"/>
      <c r="B45" s="20" t="e">
        <f>VLOOKUP($A45,Scopus!$A$1:$D$62,2,FALSE)</f>
        <v>#N/A</v>
      </c>
      <c r="C45" s="20" t="e">
        <f>VLOOKUP($A45,Scopus!$A$1:$D$62,5,FALSE)</f>
        <v>#N/A</v>
      </c>
      <c r="D45" s="20"/>
      <c r="E45" s="32"/>
      <c r="F45" s="32"/>
      <c r="G45" s="32"/>
      <c r="H45" s="32"/>
      <c r="I45" s="32"/>
      <c r="J45" s="32"/>
      <c r="K45" s="32"/>
      <c r="L45" s="32"/>
      <c r="M45" s="32"/>
    </row>
    <row r="46" spans="1:13">
      <c r="A46" s="23"/>
      <c r="B46" s="20" t="e">
        <f>VLOOKUP($A46,Scopus!$A$1:$D$62,2,FALSE)</f>
        <v>#N/A</v>
      </c>
      <c r="C46" s="20" t="e">
        <f>VLOOKUP($A46,Scopus!$A$1:$D$62,5,FALSE)</f>
        <v>#N/A</v>
      </c>
      <c r="D46" s="20"/>
      <c r="E46" s="32"/>
      <c r="F46" s="32"/>
      <c r="G46" s="32"/>
      <c r="H46" s="32"/>
      <c r="I46" s="32"/>
      <c r="J46" s="32"/>
      <c r="K46" s="32"/>
      <c r="L46" s="32"/>
      <c r="M46" s="32"/>
    </row>
    <row r="47" spans="1:13">
      <c r="A47" s="23"/>
      <c r="B47" s="20" t="e">
        <f>VLOOKUP($A47,Scopus!$A$1:$D$62,2,FALSE)</f>
        <v>#N/A</v>
      </c>
      <c r="C47" s="20" t="e">
        <f>VLOOKUP($A47,Scopus!$A$1:$D$62,5,FALSE)</f>
        <v>#N/A</v>
      </c>
      <c r="D47" s="20"/>
      <c r="E47" s="32"/>
      <c r="F47" s="32"/>
      <c r="G47" s="32"/>
      <c r="H47" s="32"/>
      <c r="I47" s="32"/>
      <c r="J47" s="32"/>
      <c r="K47" s="32"/>
      <c r="L47" s="32"/>
      <c r="M47" s="32"/>
    </row>
    <row r="48" spans="1:13">
      <c r="A48" s="23"/>
      <c r="B48" s="20" t="e">
        <f>VLOOKUP($A48,Scopus!$A$1:$D$62,2,FALSE)</f>
        <v>#N/A</v>
      </c>
      <c r="C48" s="20" t="e">
        <f>VLOOKUP($A48,Scopus!$A$1:$D$62,5,FALSE)</f>
        <v>#N/A</v>
      </c>
      <c r="D48" s="20"/>
      <c r="E48" s="32"/>
      <c r="F48" s="32"/>
      <c r="G48" s="32"/>
      <c r="H48" s="32"/>
      <c r="I48" s="32"/>
      <c r="J48" s="32"/>
      <c r="K48" s="32"/>
      <c r="L48" s="32"/>
      <c r="M48" s="32"/>
    </row>
    <row r="49" spans="1:13">
      <c r="A49" s="23"/>
      <c r="B49" s="20" t="e">
        <f>VLOOKUP($A49,Scopus!$A$1:$D$62,2,FALSE)</f>
        <v>#N/A</v>
      </c>
      <c r="C49" s="20" t="e">
        <f>VLOOKUP($A49,Scopus!$A$1:$D$62,5,FALSE)</f>
        <v>#N/A</v>
      </c>
      <c r="D49" s="20"/>
      <c r="E49" s="32"/>
      <c r="F49" s="32"/>
      <c r="G49" s="32"/>
      <c r="H49" s="32"/>
      <c r="I49" s="32"/>
      <c r="J49" s="32"/>
      <c r="K49" s="32"/>
      <c r="L49" s="32"/>
      <c r="M49" s="32"/>
    </row>
    <row r="50" spans="1:13">
      <c r="A50" s="23"/>
      <c r="B50" s="20" t="e">
        <f>VLOOKUP($A50,Scopus!$A$1:$D$62,2,FALSE)</f>
        <v>#N/A</v>
      </c>
      <c r="C50" s="20" t="e">
        <f>VLOOKUP($A50,Scopus!$A$1:$D$62,5,FALSE)</f>
        <v>#N/A</v>
      </c>
      <c r="D50" s="20"/>
      <c r="E50" s="32"/>
      <c r="F50" s="32"/>
      <c r="G50" s="32"/>
      <c r="H50" s="32"/>
      <c r="I50" s="32"/>
      <c r="J50" s="32"/>
      <c r="K50" s="32"/>
      <c r="L50" s="32"/>
      <c r="M50" s="32"/>
    </row>
    <row r="51" spans="1:13">
      <c r="A51" s="23"/>
      <c r="B51" s="20" t="e">
        <f>VLOOKUP($A51,Scopus!$A$1:$D$62,2,FALSE)</f>
        <v>#N/A</v>
      </c>
      <c r="C51" s="20" t="e">
        <f>VLOOKUP($A51,Scopus!$A$1:$D$62,5,FALSE)</f>
        <v>#N/A</v>
      </c>
      <c r="D51" s="20"/>
      <c r="E51" s="32"/>
      <c r="F51" s="32"/>
      <c r="G51" s="32"/>
      <c r="H51" s="32"/>
      <c r="I51" s="32"/>
      <c r="J51" s="32"/>
      <c r="K51" s="32"/>
      <c r="L51" s="32"/>
      <c r="M51" s="32"/>
    </row>
    <row r="52" spans="1:13">
      <c r="A52" s="23"/>
      <c r="B52" s="20" t="e">
        <f>VLOOKUP($A52,Scopus!$A$1:$D$62,2,FALSE)</f>
        <v>#N/A</v>
      </c>
      <c r="C52" s="20" t="e">
        <f>VLOOKUP($A52,Scopus!$A$1:$D$62,5,FALSE)</f>
        <v>#N/A</v>
      </c>
      <c r="D52" s="20"/>
      <c r="E52" s="32"/>
      <c r="F52" s="32"/>
      <c r="G52" s="32"/>
      <c r="H52" s="32"/>
      <c r="I52" s="32"/>
      <c r="J52" s="32"/>
      <c r="K52" s="32"/>
      <c r="L52" s="32"/>
      <c r="M52" s="32"/>
    </row>
    <row r="53" spans="1:13">
      <c r="A53" s="23"/>
      <c r="B53" s="20" t="e">
        <f>VLOOKUP($A53,Scopus!$A$1:$D$62,2,FALSE)</f>
        <v>#N/A</v>
      </c>
      <c r="C53" s="20" t="e">
        <f>VLOOKUP($A53,Scopus!$A$1:$D$62,5,FALSE)</f>
        <v>#N/A</v>
      </c>
      <c r="D53" s="20"/>
      <c r="E53" s="32"/>
      <c r="F53" s="32"/>
      <c r="G53" s="32"/>
      <c r="H53" s="32"/>
      <c r="I53" s="32"/>
      <c r="J53" s="32"/>
      <c r="K53" s="32"/>
      <c r="L53" s="32"/>
      <c r="M53" s="32"/>
    </row>
    <row r="54" spans="1:13">
      <c r="A54" s="23"/>
      <c r="B54" s="20" t="e">
        <f>VLOOKUP($A54,Scopus!$A$1:$D$62,2,FALSE)</f>
        <v>#N/A</v>
      </c>
      <c r="C54" s="20" t="e">
        <f>VLOOKUP($A54,Scopus!$A$1:$D$62,5,FALSE)</f>
        <v>#N/A</v>
      </c>
      <c r="D54" s="20"/>
      <c r="E54" s="32"/>
      <c r="F54" s="32"/>
      <c r="G54" s="32"/>
      <c r="H54" s="32"/>
      <c r="I54" s="32"/>
      <c r="J54" s="32"/>
      <c r="K54" s="32"/>
      <c r="L54" s="32"/>
      <c r="M54" s="32"/>
    </row>
    <row r="55" spans="1:13">
      <c r="A55" s="23"/>
      <c r="B55" s="20" t="e">
        <f>VLOOKUP($A55,Scopus!$A$1:$D$62,2,FALSE)</f>
        <v>#N/A</v>
      </c>
      <c r="C55" s="20" t="e">
        <f>VLOOKUP($A55,Scopus!$A$1:$D$62,5,FALSE)</f>
        <v>#N/A</v>
      </c>
      <c r="D55" s="20"/>
      <c r="E55" s="32"/>
      <c r="F55" s="32"/>
      <c r="G55" s="32"/>
      <c r="H55" s="32"/>
      <c r="I55" s="32"/>
      <c r="J55" s="32"/>
      <c r="K55" s="32"/>
      <c r="L55" s="32"/>
      <c r="M55" s="32"/>
    </row>
    <row r="56" spans="1:13">
      <c r="A56" s="23"/>
      <c r="B56" s="20" t="e">
        <f>VLOOKUP($A56,Scopus!$A$1:$D$62,2,FALSE)</f>
        <v>#N/A</v>
      </c>
      <c r="C56" s="20" t="e">
        <f>VLOOKUP($A56,Scopus!$A$1:$D$62,5,FALSE)</f>
        <v>#N/A</v>
      </c>
      <c r="D56" s="20"/>
      <c r="E56" s="32"/>
      <c r="F56" s="32"/>
      <c r="G56" s="32"/>
      <c r="H56" s="32"/>
      <c r="I56" s="32"/>
      <c r="J56" s="32"/>
      <c r="K56" s="32"/>
      <c r="L56" s="32"/>
      <c r="M56" s="32"/>
    </row>
    <row r="57" spans="1:13">
      <c r="A57" s="23"/>
      <c r="B57" s="20" t="e">
        <f>VLOOKUP($A57,Scopus!$A$1:$D$62,2,FALSE)</f>
        <v>#N/A</v>
      </c>
      <c r="C57" s="20" t="e">
        <f>VLOOKUP($A57,Scopus!$A$1:$D$62,5,FALSE)</f>
        <v>#N/A</v>
      </c>
      <c r="D57" s="20"/>
      <c r="E57" s="32"/>
      <c r="F57" s="32"/>
      <c r="G57" s="32"/>
      <c r="H57" s="32"/>
      <c r="I57" s="32"/>
      <c r="J57" s="32"/>
      <c r="K57" s="32"/>
      <c r="L57" s="32"/>
      <c r="M57" s="32"/>
    </row>
    <row r="58" spans="1:13">
      <c r="A58" s="23"/>
      <c r="B58" s="20" t="e">
        <f>VLOOKUP($A58,Scopus!$A$1:$D$62,2,FALSE)</f>
        <v>#N/A</v>
      </c>
      <c r="C58" s="20" t="e">
        <f>VLOOKUP($A58,Scopus!$A$1:$D$62,5,FALSE)</f>
        <v>#N/A</v>
      </c>
      <c r="D58" s="20"/>
      <c r="E58" s="32"/>
      <c r="F58" s="32"/>
      <c r="G58" s="32"/>
      <c r="H58" s="32"/>
      <c r="I58" s="32"/>
      <c r="J58" s="32"/>
      <c r="K58" s="32"/>
      <c r="L58" s="32"/>
      <c r="M58" s="32"/>
    </row>
    <row r="59" spans="1:13">
      <c r="A59" s="23"/>
      <c r="B59" s="20" t="e">
        <f>VLOOKUP($A59,Scopus!$A$1:$D$62,2,FALSE)</f>
        <v>#N/A</v>
      </c>
      <c r="C59" s="20" t="e">
        <f>VLOOKUP($A59,Scopus!$A$1:$D$62,5,FALSE)</f>
        <v>#N/A</v>
      </c>
      <c r="D59" s="20"/>
      <c r="E59" s="32"/>
      <c r="F59" s="32"/>
      <c r="G59" s="32"/>
      <c r="H59" s="32"/>
      <c r="I59" s="32"/>
      <c r="J59" s="32"/>
      <c r="K59" s="32"/>
      <c r="L59" s="32"/>
      <c r="M59" s="32"/>
    </row>
    <row r="60" spans="1:13">
      <c r="A60" s="23"/>
      <c r="B60" s="20" t="e">
        <f>VLOOKUP($A60,Scopus!$A$1:$D$62,2,FALSE)</f>
        <v>#N/A</v>
      </c>
      <c r="C60" s="20" t="e">
        <f>VLOOKUP($A60,Scopus!$A$1:$D$62,5,FALSE)</f>
        <v>#N/A</v>
      </c>
      <c r="D60" s="20"/>
      <c r="E60" s="32"/>
      <c r="F60" s="32"/>
      <c r="G60" s="32"/>
      <c r="H60" s="32"/>
      <c r="I60" s="32"/>
      <c r="J60" s="32"/>
      <c r="K60" s="32"/>
      <c r="L60" s="32"/>
      <c r="M60" s="32"/>
    </row>
    <row r="61" spans="1:13">
      <c r="A61" s="23"/>
      <c r="B61" s="20" t="e">
        <f>VLOOKUP($A61,Scopus!$A$1:$D$62,2,FALSE)</f>
        <v>#N/A</v>
      </c>
      <c r="C61" s="20" t="e">
        <f>VLOOKUP($A61,Scopus!$A$1:$D$62,5,FALSE)</f>
        <v>#N/A</v>
      </c>
      <c r="D61" s="20"/>
      <c r="E61" s="32"/>
      <c r="F61" s="32"/>
      <c r="G61" s="32"/>
      <c r="H61" s="32"/>
      <c r="I61" s="32"/>
      <c r="J61" s="32"/>
      <c r="K61" s="32"/>
      <c r="L61" s="32"/>
      <c r="M61" s="32"/>
    </row>
    <row r="62" spans="1:13">
      <c r="A62" s="23"/>
      <c r="B62" s="20" t="e">
        <f>VLOOKUP($A62,Scopus!$A$1:$D$62,2,FALSE)</f>
        <v>#N/A</v>
      </c>
      <c r="C62" s="20" t="e">
        <f>VLOOKUP($A62,Scopus!$A$1:$D$62,5,FALSE)</f>
        <v>#N/A</v>
      </c>
      <c r="D62" s="20"/>
      <c r="E62" s="32"/>
      <c r="F62" s="32"/>
      <c r="G62" s="32"/>
      <c r="H62" s="32"/>
      <c r="I62" s="32"/>
      <c r="J62" s="32"/>
      <c r="K62" s="32"/>
      <c r="L62" s="32"/>
      <c r="M62" s="32"/>
    </row>
    <row r="63" spans="1:13">
      <c r="A63" s="23"/>
      <c r="B63" s="20" t="e">
        <f>VLOOKUP($A63,Scopus!$A$1:$D$62,2,FALSE)</f>
        <v>#N/A</v>
      </c>
      <c r="C63" s="20" t="e">
        <f>VLOOKUP($A63,Scopus!$A$1:$D$62,5,FALSE)</f>
        <v>#N/A</v>
      </c>
      <c r="D63" s="20"/>
      <c r="E63" s="32"/>
      <c r="F63" s="32"/>
      <c r="G63" s="32"/>
      <c r="H63" s="32"/>
      <c r="I63" s="32"/>
      <c r="J63" s="32"/>
      <c r="K63" s="32"/>
      <c r="L63" s="32"/>
      <c r="M63" s="32"/>
    </row>
    <row r="64" spans="1:13">
      <c r="A64" s="23"/>
      <c r="B64" s="20" t="e">
        <f>VLOOKUP($A64,Scopus!$A$1:$D$62,2,FALSE)</f>
        <v>#N/A</v>
      </c>
      <c r="C64" s="20" t="e">
        <f>VLOOKUP($A64,Scopus!$A$1:$D$62,5,FALSE)</f>
        <v>#N/A</v>
      </c>
      <c r="D64" s="20"/>
      <c r="E64" s="32"/>
      <c r="F64" s="32"/>
      <c r="G64" s="32"/>
      <c r="H64" s="32"/>
      <c r="I64" s="32"/>
      <c r="J64" s="32"/>
      <c r="K64" s="32"/>
      <c r="L64" s="32"/>
      <c r="M64" s="32"/>
    </row>
    <row r="65" spans="1:13">
      <c r="A65" s="23"/>
      <c r="B65" s="20" t="e">
        <f>VLOOKUP($A65,Scopus!$A$1:$D$62,2,FALSE)</f>
        <v>#N/A</v>
      </c>
      <c r="C65" s="20" t="e">
        <f>VLOOKUP($A65,Scopus!$A$1:$D$62,5,FALSE)</f>
        <v>#N/A</v>
      </c>
      <c r="D65" s="20"/>
      <c r="E65" s="32"/>
      <c r="F65" s="32"/>
      <c r="G65" s="32"/>
      <c r="H65" s="32"/>
      <c r="I65" s="32"/>
      <c r="J65" s="32"/>
      <c r="K65" s="32"/>
      <c r="L65" s="32"/>
      <c r="M65" s="32"/>
    </row>
    <row r="66" spans="1:13">
      <c r="A66" s="23"/>
      <c r="B66" s="20" t="e">
        <f>VLOOKUP($A66,Scopus!$A$1:$D$62,2,FALSE)</f>
        <v>#N/A</v>
      </c>
      <c r="C66" s="20" t="e">
        <f>VLOOKUP($A66,Scopus!$A$1:$D$62,5,FALSE)</f>
        <v>#N/A</v>
      </c>
      <c r="D66" s="20"/>
      <c r="E66" s="32"/>
      <c r="F66" s="32"/>
      <c r="G66" s="32"/>
      <c r="H66" s="32"/>
      <c r="I66" s="32"/>
      <c r="J66" s="32"/>
      <c r="K66" s="32"/>
      <c r="L66" s="32"/>
      <c r="M66" s="32"/>
    </row>
    <row r="67" spans="1:13">
      <c r="A67" s="23"/>
      <c r="B67" s="20" t="e">
        <f>VLOOKUP($A67,Scopus!$A$1:$D$62,2,FALSE)</f>
        <v>#N/A</v>
      </c>
      <c r="C67" s="20" t="e">
        <f>VLOOKUP($A67,Scopus!$A$1:$D$62,5,FALSE)</f>
        <v>#N/A</v>
      </c>
      <c r="D67" s="20"/>
      <c r="E67" s="32"/>
      <c r="F67" s="32"/>
      <c r="G67" s="32"/>
      <c r="H67" s="32"/>
      <c r="I67" s="32"/>
      <c r="J67" s="32"/>
      <c r="K67" s="32"/>
      <c r="L67" s="32"/>
      <c r="M67" s="32"/>
    </row>
    <row r="68" spans="1:13">
      <c r="A68" s="23"/>
      <c r="B68" s="20" t="e">
        <f>VLOOKUP($A68,Scopus!$A$1:$D$62,2,FALSE)</f>
        <v>#N/A</v>
      </c>
      <c r="C68" s="20" t="e">
        <f>VLOOKUP($A68,Scopus!$A$1:$D$62,5,FALSE)</f>
        <v>#N/A</v>
      </c>
      <c r="D68" s="20"/>
      <c r="E68" s="32"/>
      <c r="F68" s="32"/>
      <c r="G68" s="32"/>
      <c r="H68" s="32"/>
      <c r="I68" s="32"/>
      <c r="J68" s="32"/>
      <c r="K68" s="32"/>
      <c r="L68" s="32"/>
      <c r="M68" s="32"/>
    </row>
    <row r="69" spans="1:13">
      <c r="A69" s="23"/>
      <c r="B69" s="20" t="e">
        <f>VLOOKUP($A69,Scopus!$A$1:$D$62,2,FALSE)</f>
        <v>#N/A</v>
      </c>
      <c r="C69" s="20" t="e">
        <f>VLOOKUP($A69,Scopus!$A$1:$D$62,5,FALSE)</f>
        <v>#N/A</v>
      </c>
      <c r="D69" s="20"/>
      <c r="E69" s="32"/>
      <c r="F69" s="32"/>
      <c r="G69" s="32"/>
      <c r="H69" s="32"/>
      <c r="I69" s="32"/>
      <c r="J69" s="32"/>
      <c r="K69" s="32"/>
      <c r="L69" s="32"/>
      <c r="M69" s="32"/>
    </row>
    <row r="70" spans="1:13">
      <c r="A70" s="23"/>
      <c r="B70" s="20" t="e">
        <f>VLOOKUP($A70,Scopus!$A$1:$D$62,2,FALSE)</f>
        <v>#N/A</v>
      </c>
      <c r="C70" s="20" t="e">
        <f>VLOOKUP($A70,Scopus!$A$1:$D$62,5,FALSE)</f>
        <v>#N/A</v>
      </c>
      <c r="D70" s="20"/>
      <c r="E70" s="32"/>
      <c r="F70" s="32"/>
      <c r="G70" s="32"/>
      <c r="H70" s="32"/>
      <c r="I70" s="32"/>
      <c r="J70" s="32"/>
      <c r="K70" s="32"/>
      <c r="L70" s="32"/>
      <c r="M70" s="32"/>
    </row>
    <row r="71" spans="1:13">
      <c r="A71" s="23"/>
      <c r="B71" s="20" t="e">
        <f>VLOOKUP($A71,Scopus!$A$1:$D$62,2,FALSE)</f>
        <v>#N/A</v>
      </c>
      <c r="C71" s="20" t="e">
        <f>VLOOKUP($A71,Scopus!$A$1:$D$62,5,FALSE)</f>
        <v>#N/A</v>
      </c>
      <c r="D71" s="20"/>
      <c r="E71" s="32"/>
      <c r="F71" s="32"/>
      <c r="G71" s="32"/>
      <c r="H71" s="32"/>
      <c r="I71" s="32"/>
      <c r="J71" s="32"/>
      <c r="K71" s="32"/>
      <c r="L71" s="32"/>
      <c r="M71" s="32"/>
    </row>
    <row r="72" spans="1:13">
      <c r="A72" s="23"/>
      <c r="B72" s="20" t="e">
        <f>VLOOKUP($A72,Scopus!$A$1:$D$62,2,FALSE)</f>
        <v>#N/A</v>
      </c>
      <c r="C72" s="20" t="e">
        <f>VLOOKUP($A72,Scopus!$A$1:$D$62,5,FALSE)</f>
        <v>#N/A</v>
      </c>
      <c r="D72" s="20"/>
      <c r="E72" s="32"/>
      <c r="F72" s="32"/>
      <c r="G72" s="32"/>
      <c r="H72" s="32"/>
      <c r="I72" s="32"/>
      <c r="J72" s="32"/>
      <c r="K72" s="32"/>
      <c r="L72" s="32"/>
      <c r="M72" s="32"/>
    </row>
    <row r="73" spans="1:13">
      <c r="A73" s="23"/>
      <c r="B73" s="20" t="e">
        <f>VLOOKUP($A73,Scopus!$A$1:$D$62,2,FALSE)</f>
        <v>#N/A</v>
      </c>
      <c r="C73" s="20" t="e">
        <f>VLOOKUP($A73,Scopus!$A$1:$D$62,5,FALSE)</f>
        <v>#N/A</v>
      </c>
      <c r="D73" s="20"/>
      <c r="E73" s="32"/>
      <c r="F73" s="32"/>
      <c r="G73" s="32"/>
      <c r="H73" s="32"/>
      <c r="I73" s="32"/>
      <c r="J73" s="32"/>
      <c r="K73" s="32"/>
      <c r="L73" s="32"/>
      <c r="M73" s="32"/>
    </row>
    <row r="74" spans="1:13">
      <c r="A74" s="23"/>
      <c r="B74" s="20" t="e">
        <f>VLOOKUP($A74,Scopus!$A$1:$D$62,2,FALSE)</f>
        <v>#N/A</v>
      </c>
      <c r="C74" s="20" t="e">
        <f>VLOOKUP($A74,Scopus!$A$1:$D$62,5,FALSE)</f>
        <v>#N/A</v>
      </c>
      <c r="D74" s="20"/>
      <c r="E74" s="32"/>
      <c r="F74" s="32"/>
      <c r="G74" s="32"/>
      <c r="H74" s="32"/>
      <c r="I74" s="32"/>
      <c r="J74" s="32"/>
      <c r="K74" s="32"/>
      <c r="L74" s="32"/>
      <c r="M74" s="32"/>
    </row>
    <row r="75" spans="1:13">
      <c r="A75" s="23"/>
      <c r="B75" s="20" t="e">
        <f>VLOOKUP($A75,Scopus!$A$1:$D$62,2,FALSE)</f>
        <v>#N/A</v>
      </c>
      <c r="C75" s="20" t="e">
        <f>VLOOKUP($A75,Scopus!$A$1:$D$62,5,FALSE)</f>
        <v>#N/A</v>
      </c>
      <c r="D75" s="20"/>
      <c r="E75" s="32"/>
      <c r="F75" s="32"/>
      <c r="G75" s="32"/>
      <c r="H75" s="32"/>
      <c r="I75" s="32"/>
      <c r="J75" s="32"/>
      <c r="K75" s="32"/>
      <c r="L75" s="32"/>
      <c r="M75" s="32"/>
    </row>
    <row r="76" spans="1:13">
      <c r="A76" s="23"/>
      <c r="B76" s="20" t="e">
        <f>VLOOKUP($A76,Scopus!$A$1:$D$62,2,FALSE)</f>
        <v>#N/A</v>
      </c>
      <c r="C76" s="20" t="e">
        <f>VLOOKUP($A76,Scopus!$A$1:$D$62,5,FALSE)</f>
        <v>#N/A</v>
      </c>
      <c r="D76" s="20"/>
      <c r="E76" s="32"/>
      <c r="F76" s="32"/>
      <c r="G76" s="32"/>
      <c r="H76" s="32"/>
      <c r="I76" s="32"/>
      <c r="J76" s="32"/>
      <c r="K76" s="32"/>
      <c r="L76" s="32"/>
      <c r="M76" s="32"/>
    </row>
    <row r="77" spans="1:13">
      <c r="A77" s="23"/>
      <c r="B77" s="20" t="e">
        <f>VLOOKUP($A77,Scopus!$A$1:$D$62,2,FALSE)</f>
        <v>#N/A</v>
      </c>
      <c r="C77" s="20" t="e">
        <f>VLOOKUP($A77,Scopus!$A$1:$D$62,5,FALSE)</f>
        <v>#N/A</v>
      </c>
      <c r="D77" s="20"/>
      <c r="E77" s="32"/>
      <c r="F77" s="32"/>
      <c r="G77" s="32"/>
      <c r="H77" s="32"/>
      <c r="I77" s="32"/>
      <c r="J77" s="32"/>
      <c r="K77" s="32"/>
      <c r="L77" s="32"/>
      <c r="M77" s="32"/>
    </row>
    <row r="78" spans="1:13">
      <c r="A78" s="23"/>
      <c r="B78" s="20" t="e">
        <f>VLOOKUP($A78,Scopus!$A$1:$D$62,2,FALSE)</f>
        <v>#N/A</v>
      </c>
      <c r="C78" s="20" t="e">
        <f>VLOOKUP($A78,Scopus!$A$1:$D$62,5,FALSE)</f>
        <v>#N/A</v>
      </c>
      <c r="D78" s="20"/>
      <c r="E78" s="32"/>
      <c r="F78" s="32"/>
      <c r="G78" s="32"/>
      <c r="H78" s="32"/>
      <c r="I78" s="32"/>
      <c r="J78" s="32"/>
      <c r="K78" s="32"/>
      <c r="L78" s="32"/>
      <c r="M78" s="32"/>
    </row>
    <row r="79" spans="1:13">
      <c r="A79" s="23"/>
      <c r="B79" s="20" t="e">
        <f>VLOOKUP($A79,Scopus!$A$1:$D$62,2,FALSE)</f>
        <v>#N/A</v>
      </c>
      <c r="C79" s="20" t="e">
        <f>VLOOKUP($A79,Scopus!$A$1:$D$62,5,FALSE)</f>
        <v>#N/A</v>
      </c>
      <c r="D79" s="20"/>
      <c r="E79" s="32"/>
      <c r="F79" s="32"/>
      <c r="G79" s="32"/>
      <c r="H79" s="32"/>
      <c r="I79" s="32"/>
      <c r="J79" s="32"/>
      <c r="K79" s="32"/>
      <c r="L79" s="32"/>
      <c r="M79" s="32"/>
    </row>
    <row r="80" spans="1:13">
      <c r="A80" s="23"/>
      <c r="B80" s="20" t="e">
        <f>VLOOKUP($A80,Scopus!$A$1:$D$62,2,FALSE)</f>
        <v>#N/A</v>
      </c>
      <c r="C80" s="20" t="e">
        <f>VLOOKUP($A80,Scopus!$A$1:$D$62,5,FALSE)</f>
        <v>#N/A</v>
      </c>
      <c r="D80" s="20"/>
      <c r="E80" s="32"/>
      <c r="F80" s="32"/>
      <c r="G80" s="32"/>
      <c r="H80" s="32"/>
      <c r="I80" s="32"/>
      <c r="J80" s="32"/>
      <c r="K80" s="32"/>
      <c r="L80" s="32"/>
      <c r="M80" s="32"/>
    </row>
    <row r="81" spans="1:13">
      <c r="A81" s="23"/>
      <c r="B81" s="20" t="e">
        <f>VLOOKUP($A81,Scopus!$A$1:$D$62,2,FALSE)</f>
        <v>#N/A</v>
      </c>
      <c r="C81" s="20" t="e">
        <f>VLOOKUP($A81,Scopus!$A$1:$D$62,5,FALSE)</f>
        <v>#N/A</v>
      </c>
      <c r="D81" s="20"/>
      <c r="E81" s="32"/>
      <c r="F81" s="32"/>
      <c r="G81" s="32"/>
      <c r="H81" s="32"/>
      <c r="I81" s="32"/>
      <c r="J81" s="32"/>
      <c r="K81" s="32"/>
      <c r="L81" s="32"/>
      <c r="M81" s="32"/>
    </row>
    <row r="82" spans="1:13">
      <c r="A82" s="23"/>
      <c r="B82" s="20" t="e">
        <f>VLOOKUP($A82,Scopus!$A$1:$D$62,2,FALSE)</f>
        <v>#N/A</v>
      </c>
      <c r="C82" s="20" t="e">
        <f>VLOOKUP($A82,Scopus!$A$1:$D$62,5,FALSE)</f>
        <v>#N/A</v>
      </c>
      <c r="D82" s="20"/>
      <c r="E82" s="32"/>
      <c r="F82" s="32"/>
      <c r="G82" s="32"/>
      <c r="H82" s="32"/>
      <c r="I82" s="32"/>
      <c r="J82" s="32"/>
      <c r="K82" s="32"/>
      <c r="L82" s="32"/>
      <c r="M82" s="32"/>
    </row>
    <row r="83" spans="1:13">
      <c r="A83" s="23"/>
      <c r="B83" s="20" t="e">
        <f>VLOOKUP($A83,Scopus!$A$1:$D$62,2,FALSE)</f>
        <v>#N/A</v>
      </c>
      <c r="C83" s="20" t="e">
        <f>VLOOKUP($A83,Scopus!$A$1:$D$62,5,FALSE)</f>
        <v>#N/A</v>
      </c>
      <c r="D83" s="20"/>
      <c r="E83" s="32"/>
      <c r="F83" s="32"/>
      <c r="G83" s="32"/>
      <c r="H83" s="32"/>
      <c r="I83" s="32"/>
      <c r="J83" s="32"/>
      <c r="K83" s="32"/>
      <c r="L83" s="32"/>
      <c r="M83" s="32"/>
    </row>
    <row r="84" spans="1:13">
      <c r="A84" s="23"/>
      <c r="B84" s="20" t="e">
        <f>VLOOKUP($A84,Scopus!$A$1:$D$62,2,FALSE)</f>
        <v>#N/A</v>
      </c>
      <c r="C84" s="20" t="e">
        <f>VLOOKUP($A84,Scopus!$A$1:$D$62,5,FALSE)</f>
        <v>#N/A</v>
      </c>
      <c r="D84" s="20"/>
      <c r="E84" s="32"/>
      <c r="F84" s="32"/>
      <c r="G84" s="32"/>
      <c r="H84" s="32"/>
      <c r="I84" s="32"/>
      <c r="J84" s="32"/>
      <c r="K84" s="32"/>
      <c r="L84" s="32"/>
      <c r="M84" s="32"/>
    </row>
    <row r="85" spans="1:13">
      <c r="A85" s="23"/>
      <c r="B85" s="20" t="e">
        <f>VLOOKUP($A85,Scopus!$A$1:$D$62,2,FALSE)</f>
        <v>#N/A</v>
      </c>
      <c r="C85" s="20" t="e">
        <f>VLOOKUP($A85,Scopus!$A$1:$D$62,5,FALSE)</f>
        <v>#N/A</v>
      </c>
      <c r="D85" s="20"/>
      <c r="E85" s="32"/>
      <c r="F85" s="32"/>
      <c r="G85" s="32"/>
      <c r="H85" s="32"/>
      <c r="I85" s="32"/>
      <c r="J85" s="32"/>
      <c r="K85" s="32"/>
      <c r="L85" s="32"/>
      <c r="M85" s="32"/>
    </row>
    <row r="86" spans="1:13">
      <c r="A86" s="23"/>
      <c r="B86" s="20" t="e">
        <f>VLOOKUP($A86,Scopus!$A$1:$D$62,2,FALSE)</f>
        <v>#N/A</v>
      </c>
      <c r="C86" s="20" t="e">
        <f>VLOOKUP($A86,Scopus!$A$1:$D$62,5,FALSE)</f>
        <v>#N/A</v>
      </c>
      <c r="D86" s="20"/>
      <c r="E86" s="32"/>
      <c r="F86" s="32"/>
      <c r="G86" s="32"/>
      <c r="H86" s="32"/>
      <c r="I86" s="32"/>
      <c r="J86" s="32"/>
      <c r="K86" s="32"/>
      <c r="L86" s="32"/>
      <c r="M86" s="32"/>
    </row>
    <row r="87" spans="1:13">
      <c r="A87" s="23"/>
      <c r="B87" s="20" t="e">
        <f>VLOOKUP($A87,Scopus!$A$1:$D$62,2,FALSE)</f>
        <v>#N/A</v>
      </c>
      <c r="C87" s="20" t="e">
        <f>VLOOKUP($A87,Scopus!$A$1:$D$62,5,FALSE)</f>
        <v>#N/A</v>
      </c>
      <c r="D87" s="20"/>
      <c r="E87" s="32"/>
      <c r="F87" s="32"/>
      <c r="G87" s="32"/>
      <c r="H87" s="32"/>
      <c r="I87" s="32"/>
      <c r="J87" s="32"/>
      <c r="K87" s="32"/>
      <c r="L87" s="32"/>
      <c r="M87" s="32"/>
    </row>
    <row r="88" spans="1:13">
      <c r="A88" s="23"/>
      <c r="B88" s="20" t="e">
        <f>VLOOKUP($A88,Scopus!$A$1:$D$62,2,FALSE)</f>
        <v>#N/A</v>
      </c>
      <c r="C88" s="20" t="e">
        <f>VLOOKUP($A88,Scopus!$A$1:$D$62,5,FALSE)</f>
        <v>#N/A</v>
      </c>
      <c r="D88" s="20"/>
      <c r="E88" s="32"/>
      <c r="F88" s="32"/>
      <c r="G88" s="32"/>
      <c r="H88" s="32"/>
      <c r="I88" s="32"/>
      <c r="J88" s="32"/>
      <c r="K88" s="32"/>
      <c r="L88" s="32"/>
      <c r="M88" s="32"/>
    </row>
    <row r="89" spans="1:13">
      <c r="A89" s="23"/>
      <c r="B89" s="20" t="e">
        <f>VLOOKUP($A89,Scopus!$A$1:$D$62,2,FALSE)</f>
        <v>#N/A</v>
      </c>
      <c r="C89" s="20" t="e">
        <f>VLOOKUP($A89,Scopus!$A$1:$D$62,5,FALSE)</f>
        <v>#N/A</v>
      </c>
      <c r="D89" s="20"/>
      <c r="E89" s="32"/>
      <c r="F89" s="32"/>
      <c r="G89" s="32"/>
      <c r="H89" s="32"/>
      <c r="I89" s="32"/>
      <c r="J89" s="32"/>
      <c r="K89" s="32"/>
      <c r="L89" s="32"/>
      <c r="M89" s="32"/>
    </row>
    <row r="90" spans="1:13">
      <c r="A90" s="23"/>
      <c r="B90" s="20" t="e">
        <f>VLOOKUP($A90,Scopus!$A$1:$D$62,2,FALSE)</f>
        <v>#N/A</v>
      </c>
      <c r="C90" s="20" t="e">
        <f>VLOOKUP($A90,Scopus!$A$1:$D$62,5,FALSE)</f>
        <v>#N/A</v>
      </c>
      <c r="D90" s="20"/>
      <c r="E90" s="32"/>
      <c r="F90" s="32"/>
      <c r="G90" s="32"/>
      <c r="H90" s="32"/>
      <c r="I90" s="32"/>
      <c r="J90" s="32"/>
      <c r="K90" s="32"/>
      <c r="L90" s="32"/>
      <c r="M90" s="32"/>
    </row>
    <row r="91" spans="1:13">
      <c r="A91" s="23"/>
      <c r="B91" s="20" t="e">
        <f>VLOOKUP($A91,Scopus!$A$1:$D$62,2,FALSE)</f>
        <v>#N/A</v>
      </c>
      <c r="C91" s="20" t="e">
        <f>VLOOKUP($A91,Scopus!$A$1:$D$62,5,FALSE)</f>
        <v>#N/A</v>
      </c>
      <c r="D91" s="20"/>
      <c r="E91" s="32"/>
      <c r="F91" s="32"/>
      <c r="G91" s="32"/>
      <c r="H91" s="32"/>
      <c r="I91" s="32"/>
      <c r="J91" s="32"/>
      <c r="K91" s="32"/>
      <c r="L91" s="32"/>
      <c r="M91" s="32"/>
    </row>
    <row r="92" spans="1:13">
      <c r="A92" s="23"/>
      <c r="B92" s="20" t="e">
        <f>VLOOKUP($A92,Scopus!$A$1:$D$62,2,FALSE)</f>
        <v>#N/A</v>
      </c>
      <c r="C92" s="20" t="e">
        <f>VLOOKUP($A92,Scopus!$A$1:$D$62,5,FALSE)</f>
        <v>#N/A</v>
      </c>
      <c r="D92" s="20"/>
      <c r="E92" s="32"/>
      <c r="F92" s="32"/>
      <c r="G92" s="32"/>
      <c r="H92" s="32"/>
      <c r="I92" s="32"/>
      <c r="J92" s="32"/>
      <c r="K92" s="32"/>
      <c r="L92" s="32"/>
      <c r="M92" s="32"/>
    </row>
    <row r="93" spans="1:13">
      <c r="A93" s="23"/>
      <c r="B93" s="20" t="e">
        <f>VLOOKUP($A93,Scopus!$A$1:$D$62,2,FALSE)</f>
        <v>#N/A</v>
      </c>
      <c r="C93" s="20" t="e">
        <f>VLOOKUP($A93,Scopus!$A$1:$D$62,5,FALSE)</f>
        <v>#N/A</v>
      </c>
      <c r="D93" s="20"/>
      <c r="E93" s="32"/>
      <c r="F93" s="32"/>
      <c r="G93" s="32"/>
      <c r="H93" s="32"/>
      <c r="I93" s="32"/>
      <c r="J93" s="32"/>
      <c r="K93" s="32"/>
      <c r="L93" s="32"/>
      <c r="M93" s="32"/>
    </row>
    <row r="94" spans="1:13">
      <c r="A94" s="23"/>
      <c r="B94" s="20" t="e">
        <f>VLOOKUP($A94,Scopus!$A$1:$D$62,2,FALSE)</f>
        <v>#N/A</v>
      </c>
      <c r="C94" s="20" t="e">
        <f>VLOOKUP($A94,Scopus!$A$1:$D$62,5,FALSE)</f>
        <v>#N/A</v>
      </c>
      <c r="D94" s="20"/>
      <c r="E94" s="32"/>
      <c r="F94" s="32"/>
      <c r="G94" s="32"/>
      <c r="H94" s="32"/>
      <c r="I94" s="32"/>
      <c r="J94" s="32"/>
      <c r="K94" s="32"/>
      <c r="L94" s="32"/>
      <c r="M94" s="32"/>
    </row>
    <row r="95" spans="1:13">
      <c r="A95" s="23"/>
      <c r="B95" s="20" t="e">
        <f>VLOOKUP($A95,Scopus!$A$1:$D$62,2,FALSE)</f>
        <v>#N/A</v>
      </c>
      <c r="C95" s="20" t="e">
        <f>VLOOKUP($A95,Scopus!$A$1:$D$62,5,FALSE)</f>
        <v>#N/A</v>
      </c>
      <c r="D95" s="20"/>
      <c r="E95" s="32"/>
      <c r="F95" s="32"/>
      <c r="G95" s="32"/>
      <c r="H95" s="32"/>
      <c r="I95" s="32"/>
      <c r="J95" s="32"/>
      <c r="K95" s="32"/>
      <c r="L95" s="32"/>
      <c r="M95" s="32"/>
    </row>
    <row r="96" spans="1:13">
      <c r="A96" s="23"/>
      <c r="B96" s="20" t="e">
        <f>VLOOKUP($A96,Scopus!$A$1:$D$62,2,FALSE)</f>
        <v>#N/A</v>
      </c>
      <c r="C96" s="20" t="e">
        <f>VLOOKUP($A96,Scopus!$A$1:$D$62,5,FALSE)</f>
        <v>#N/A</v>
      </c>
      <c r="D96" s="20"/>
      <c r="E96" s="32"/>
      <c r="F96" s="32"/>
      <c r="G96" s="32"/>
      <c r="H96" s="32"/>
      <c r="I96" s="32"/>
      <c r="J96" s="32"/>
      <c r="K96" s="32"/>
      <c r="L96" s="32"/>
      <c r="M96" s="32"/>
    </row>
    <row r="97" spans="1:13">
      <c r="A97" s="23"/>
      <c r="B97" s="20" t="e">
        <f>VLOOKUP($A97,Scopus!$A$1:$D$62,2,FALSE)</f>
        <v>#N/A</v>
      </c>
      <c r="C97" s="20" t="e">
        <f>VLOOKUP($A97,Scopus!$A$1:$D$62,5,FALSE)</f>
        <v>#N/A</v>
      </c>
      <c r="D97" s="20"/>
      <c r="E97" s="32"/>
      <c r="F97" s="32"/>
      <c r="G97" s="32"/>
      <c r="H97" s="32"/>
      <c r="I97" s="32"/>
      <c r="J97" s="32"/>
      <c r="K97" s="32"/>
      <c r="L97" s="32"/>
      <c r="M97" s="32"/>
    </row>
    <row r="98" spans="1:13">
      <c r="A98" s="23"/>
      <c r="B98" s="20" t="e">
        <f>VLOOKUP($A98,Scopus!$A$1:$D$62,2,FALSE)</f>
        <v>#N/A</v>
      </c>
      <c r="C98" s="20" t="e">
        <f>VLOOKUP($A98,Scopus!$A$1:$D$62,5,FALSE)</f>
        <v>#N/A</v>
      </c>
      <c r="D98" s="20"/>
      <c r="E98" s="32"/>
      <c r="F98" s="32"/>
      <c r="G98" s="32"/>
      <c r="H98" s="32"/>
      <c r="I98" s="32"/>
      <c r="J98" s="32"/>
      <c r="K98" s="32"/>
      <c r="L98" s="32"/>
      <c r="M98" s="32"/>
    </row>
    <row r="99" spans="1:13">
      <c r="A99" s="23"/>
      <c r="B99" s="20" t="e">
        <f>VLOOKUP($A99,Scopus!$A$1:$D$62,2,FALSE)</f>
        <v>#N/A</v>
      </c>
      <c r="C99" s="20" t="e">
        <f>VLOOKUP($A99,Scopus!$A$1:$D$62,5,FALSE)</f>
        <v>#N/A</v>
      </c>
      <c r="D99" s="20"/>
      <c r="E99" s="32"/>
      <c r="F99" s="32"/>
      <c r="G99" s="32"/>
      <c r="H99" s="32"/>
      <c r="I99" s="32"/>
      <c r="J99" s="32"/>
      <c r="K99" s="32"/>
      <c r="L99" s="32"/>
      <c r="M99" s="32"/>
    </row>
    <row r="100" spans="1:13">
      <c r="A100" s="23"/>
      <c r="B100" s="20" t="e">
        <f>VLOOKUP($A100,Scopus!$A$1:$D$62,2,FALSE)</f>
        <v>#N/A</v>
      </c>
      <c r="C100" s="20" t="e">
        <f>VLOOKUP($A100,Scopus!$A$1:$D$62,5,FALSE)</f>
        <v>#N/A</v>
      </c>
      <c r="D100" s="20"/>
      <c r="E100" s="32"/>
      <c r="F100" s="32"/>
      <c r="G100" s="32"/>
      <c r="H100" s="32"/>
      <c r="I100" s="32"/>
      <c r="J100" s="32"/>
      <c r="K100" s="32"/>
      <c r="L100" s="32"/>
      <c r="M100" s="32"/>
    </row>
    <row r="101" spans="1:13">
      <c r="A101" s="23"/>
      <c r="B101" s="20" t="e">
        <f>VLOOKUP($A101,Scopus!$A$1:$D$62,2,FALSE)</f>
        <v>#N/A</v>
      </c>
      <c r="C101" s="20" t="e">
        <f>VLOOKUP($A101,Scopus!$A$1:$D$62,5,FALSE)</f>
        <v>#N/A</v>
      </c>
      <c r="D101" s="20"/>
      <c r="E101" s="32"/>
      <c r="F101" s="32"/>
      <c r="G101" s="32"/>
      <c r="H101" s="32"/>
      <c r="I101" s="32"/>
      <c r="J101" s="32"/>
      <c r="K101" s="32"/>
      <c r="L101" s="32"/>
      <c r="M101" s="32"/>
    </row>
    <row r="102" spans="1:13">
      <c r="A102" s="23"/>
      <c r="B102" s="20" t="e">
        <f>VLOOKUP($A102,Scopus!$A$1:$D$62,2,FALSE)</f>
        <v>#N/A</v>
      </c>
      <c r="C102" s="20" t="e">
        <f>VLOOKUP($A102,Scopus!$A$1:$D$62,5,FALSE)</f>
        <v>#N/A</v>
      </c>
      <c r="D102" s="20"/>
      <c r="E102" s="32"/>
      <c r="F102" s="32"/>
      <c r="G102" s="32"/>
      <c r="H102" s="32"/>
      <c r="I102" s="32"/>
      <c r="J102" s="32"/>
      <c r="K102" s="32"/>
      <c r="L102" s="32"/>
      <c r="M102" s="32"/>
    </row>
    <row r="103" spans="1:13">
      <c r="A103" s="23"/>
      <c r="B103" s="20" t="e">
        <f>VLOOKUP($A103,Scopus!$A$1:$D$62,2,FALSE)</f>
        <v>#N/A</v>
      </c>
      <c r="C103" s="20" t="e">
        <f>VLOOKUP($A103,Scopus!$A$1:$D$62,5,FALSE)</f>
        <v>#N/A</v>
      </c>
      <c r="D103" s="20"/>
      <c r="E103" s="32"/>
      <c r="F103" s="32"/>
      <c r="G103" s="32"/>
      <c r="H103" s="32"/>
      <c r="I103" s="32"/>
      <c r="J103" s="32"/>
      <c r="K103" s="32"/>
      <c r="L103" s="32"/>
      <c r="M103" s="32"/>
    </row>
    <row r="104" spans="1:13">
      <c r="A104" s="23"/>
      <c r="B104" s="20" t="e">
        <f>VLOOKUP($A104,Scopus!$A$1:$D$62,2,FALSE)</f>
        <v>#N/A</v>
      </c>
      <c r="C104" s="20" t="e">
        <f>VLOOKUP($A104,Scopus!$A$1:$D$62,5,FALSE)</f>
        <v>#N/A</v>
      </c>
      <c r="D104" s="20"/>
      <c r="E104" s="32"/>
      <c r="F104" s="32"/>
      <c r="G104" s="32"/>
      <c r="H104" s="32"/>
      <c r="I104" s="32"/>
      <c r="J104" s="32"/>
      <c r="K104" s="32"/>
      <c r="L104" s="32"/>
      <c r="M104" s="32"/>
    </row>
    <row r="105" spans="1:13">
      <c r="A105" s="23"/>
      <c r="B105" s="20" t="e">
        <f>VLOOKUP($A105,Scopus!$A$1:$D$62,2,FALSE)</f>
        <v>#N/A</v>
      </c>
      <c r="C105" s="20" t="e">
        <f>VLOOKUP($A105,Scopus!$A$1:$D$62,5,FALSE)</f>
        <v>#N/A</v>
      </c>
      <c r="D105" s="20"/>
      <c r="E105" s="32"/>
      <c r="F105" s="32"/>
      <c r="G105" s="32"/>
      <c r="H105" s="32"/>
      <c r="I105" s="32"/>
      <c r="J105" s="32"/>
      <c r="K105" s="32"/>
      <c r="L105" s="32"/>
      <c r="M105" s="32"/>
    </row>
    <row r="106" spans="1:13">
      <c r="A106" s="23"/>
      <c r="B106" s="20" t="e">
        <f>VLOOKUP($A106,Scopus!$A$1:$D$62,2,FALSE)</f>
        <v>#N/A</v>
      </c>
      <c r="C106" s="20" t="e">
        <f>VLOOKUP($A106,Scopus!$A$1:$D$62,5,FALSE)</f>
        <v>#N/A</v>
      </c>
      <c r="D106" s="20"/>
      <c r="E106" s="32"/>
      <c r="F106" s="32"/>
      <c r="G106" s="32"/>
      <c r="H106" s="32"/>
      <c r="I106" s="32"/>
      <c r="J106" s="32"/>
      <c r="K106" s="32"/>
      <c r="L106" s="32"/>
      <c r="M106" s="32"/>
    </row>
    <row r="107" spans="1:13">
      <c r="A107" s="23"/>
      <c r="B107" s="20" t="e">
        <f>VLOOKUP($A107,Scopus!$A$1:$D$62,2,FALSE)</f>
        <v>#N/A</v>
      </c>
      <c r="C107" s="20" t="e">
        <f>VLOOKUP($A107,Scopus!$A$1:$D$62,5,FALSE)</f>
        <v>#N/A</v>
      </c>
      <c r="D107" s="20"/>
      <c r="E107" s="32"/>
      <c r="F107" s="32"/>
      <c r="G107" s="32"/>
      <c r="H107" s="32"/>
      <c r="I107" s="32"/>
      <c r="J107" s="32"/>
      <c r="K107" s="32"/>
      <c r="L107" s="32"/>
      <c r="M107" s="32"/>
    </row>
    <row r="108" spans="1:13">
      <c r="A108" s="23"/>
      <c r="B108" s="20" t="e">
        <f>VLOOKUP($A108,Scopus!$A$1:$D$62,2,FALSE)</f>
        <v>#N/A</v>
      </c>
      <c r="C108" s="20" t="e">
        <f>VLOOKUP($A108,Scopus!$A$1:$D$62,5,FALSE)</f>
        <v>#N/A</v>
      </c>
      <c r="D108" s="20"/>
      <c r="E108" s="32"/>
      <c r="F108" s="32"/>
      <c r="G108" s="32"/>
      <c r="H108" s="32"/>
      <c r="I108" s="32"/>
      <c r="J108" s="32"/>
      <c r="K108" s="32"/>
      <c r="L108" s="32"/>
      <c r="M108" s="32"/>
    </row>
    <row r="109" spans="1:13">
      <c r="A109" s="23"/>
      <c r="B109" s="20" t="e">
        <f>VLOOKUP($A109,Scopus!$A$1:$D$62,2,FALSE)</f>
        <v>#N/A</v>
      </c>
      <c r="C109" s="20" t="e">
        <f>VLOOKUP($A109,Scopus!$A$1:$D$62,5,FALSE)</f>
        <v>#N/A</v>
      </c>
      <c r="D109" s="20"/>
      <c r="E109" s="32"/>
      <c r="F109" s="32"/>
      <c r="G109" s="32"/>
      <c r="H109" s="32"/>
      <c r="I109" s="32"/>
      <c r="J109" s="32"/>
      <c r="K109" s="32"/>
      <c r="L109" s="32"/>
      <c r="M109" s="32"/>
    </row>
    <row r="110" spans="1:13">
      <c r="A110" s="23"/>
      <c r="B110" s="20" t="e">
        <f>VLOOKUP($A110,Scopus!$A$1:$D$62,2,FALSE)</f>
        <v>#N/A</v>
      </c>
      <c r="C110" s="20" t="e">
        <f>VLOOKUP($A110,Scopus!$A$1:$D$62,5,FALSE)</f>
        <v>#N/A</v>
      </c>
      <c r="D110" s="20"/>
      <c r="E110" s="32"/>
      <c r="F110" s="32"/>
      <c r="G110" s="32"/>
      <c r="H110" s="32"/>
      <c r="I110" s="32"/>
      <c r="J110" s="32"/>
      <c r="K110" s="32"/>
      <c r="L110" s="32"/>
      <c r="M110" s="32"/>
    </row>
    <row r="111" spans="1:13">
      <c r="A111" s="23"/>
      <c r="B111" s="20" t="e">
        <f>VLOOKUP($A111,Scopus!$A$1:$D$62,2,FALSE)</f>
        <v>#N/A</v>
      </c>
      <c r="C111" s="20" t="e">
        <f>VLOOKUP($A111,Scopus!$A$1:$D$62,5,FALSE)</f>
        <v>#N/A</v>
      </c>
      <c r="D111" s="20"/>
      <c r="E111" s="32"/>
      <c r="F111" s="32"/>
      <c r="G111" s="32"/>
      <c r="H111" s="32"/>
      <c r="I111" s="32"/>
      <c r="J111" s="32"/>
      <c r="K111" s="32"/>
      <c r="L111" s="32"/>
      <c r="M111" s="32"/>
    </row>
    <row r="112" spans="1:13">
      <c r="A112" s="23"/>
      <c r="B112" s="20" t="e">
        <f>VLOOKUP($A112,Scopus!$A$1:$D$62,2,FALSE)</f>
        <v>#N/A</v>
      </c>
      <c r="C112" s="20" t="e">
        <f>VLOOKUP($A112,Scopus!$A$1:$D$62,5,FALSE)</f>
        <v>#N/A</v>
      </c>
      <c r="D112" s="20"/>
      <c r="E112" s="32"/>
      <c r="F112" s="32"/>
      <c r="G112" s="32"/>
      <c r="H112" s="32"/>
      <c r="I112" s="32"/>
      <c r="J112" s="32"/>
      <c r="K112" s="32"/>
      <c r="L112" s="32"/>
      <c r="M112" s="32"/>
    </row>
    <row r="113" spans="1:13">
      <c r="A113" s="23"/>
      <c r="B113" s="20" t="e">
        <f>VLOOKUP($A113,Scopus!$A$1:$D$62,2,FALSE)</f>
        <v>#N/A</v>
      </c>
      <c r="C113" s="20" t="e">
        <f>VLOOKUP($A113,Scopus!$A$1:$D$62,5,FALSE)</f>
        <v>#N/A</v>
      </c>
      <c r="D113" s="20"/>
      <c r="E113" s="32"/>
      <c r="F113" s="32"/>
      <c r="G113" s="32"/>
      <c r="H113" s="32"/>
      <c r="I113" s="32"/>
      <c r="J113" s="32"/>
      <c r="K113" s="32"/>
      <c r="L113" s="32"/>
      <c r="M113" s="32"/>
    </row>
    <row r="114" spans="1:13">
      <c r="A114" s="23"/>
      <c r="B114" s="20" t="e">
        <f>VLOOKUP($A114,Scopus!$A$1:$D$62,2,FALSE)</f>
        <v>#N/A</v>
      </c>
      <c r="C114" s="20" t="e">
        <f>VLOOKUP($A114,Scopus!$A$1:$D$62,5,FALSE)</f>
        <v>#N/A</v>
      </c>
      <c r="D114" s="20"/>
      <c r="E114" s="32"/>
      <c r="F114" s="32"/>
      <c r="G114" s="32"/>
      <c r="H114" s="32"/>
      <c r="I114" s="32"/>
      <c r="J114" s="32"/>
      <c r="K114" s="32"/>
      <c r="L114" s="32"/>
      <c r="M114" s="32"/>
    </row>
    <row r="115" spans="1:13">
      <c r="A115" s="23"/>
      <c r="B115" s="20" t="e">
        <f>VLOOKUP($A115,Scopus!$A$1:$D$62,2,FALSE)</f>
        <v>#N/A</v>
      </c>
      <c r="C115" s="20" t="e">
        <f>VLOOKUP($A115,Scopus!$A$1:$D$62,5,FALSE)</f>
        <v>#N/A</v>
      </c>
      <c r="D115" s="20"/>
      <c r="E115" s="32"/>
      <c r="F115" s="32"/>
      <c r="G115" s="32"/>
      <c r="H115" s="32"/>
      <c r="I115" s="32"/>
      <c r="J115" s="32"/>
      <c r="K115" s="32"/>
      <c r="L115" s="32"/>
      <c r="M115" s="32"/>
    </row>
    <row r="116" spans="1:13">
      <c r="A116" s="23"/>
      <c r="B116" s="20" t="e">
        <f>VLOOKUP($A116,Scopus!$A$1:$D$62,2,FALSE)</f>
        <v>#N/A</v>
      </c>
      <c r="C116" s="20" t="e">
        <f>VLOOKUP($A116,Scopus!$A$1:$D$62,5,FALSE)</f>
        <v>#N/A</v>
      </c>
      <c r="D116" s="20"/>
      <c r="E116" s="32"/>
      <c r="F116" s="32"/>
      <c r="G116" s="32"/>
      <c r="H116" s="32"/>
      <c r="I116" s="32"/>
      <c r="J116" s="32"/>
      <c r="K116" s="32"/>
      <c r="L116" s="32"/>
      <c r="M116" s="32"/>
    </row>
    <row r="117" spans="1:13">
      <c r="A117" s="23"/>
      <c r="B117" s="20" t="e">
        <f>VLOOKUP($A117,Scopus!$A$1:$D$62,2,FALSE)</f>
        <v>#N/A</v>
      </c>
      <c r="C117" s="20" t="e">
        <f>VLOOKUP($A117,Scopus!$A$1:$D$62,5,FALSE)</f>
        <v>#N/A</v>
      </c>
      <c r="D117" s="20"/>
      <c r="E117" s="32"/>
      <c r="F117" s="32"/>
      <c r="G117" s="32"/>
      <c r="H117" s="32"/>
      <c r="I117" s="32"/>
      <c r="J117" s="32"/>
      <c r="K117" s="32"/>
      <c r="L117" s="32"/>
      <c r="M117" s="32"/>
    </row>
    <row r="118" spans="1:13">
      <c r="A118" s="23"/>
      <c r="B118" s="20" t="e">
        <f>VLOOKUP($A118,Scopus!$A$1:$D$62,2,FALSE)</f>
        <v>#N/A</v>
      </c>
      <c r="C118" s="20" t="e">
        <f>VLOOKUP($A118,Scopus!$A$1:$D$62,5,FALSE)</f>
        <v>#N/A</v>
      </c>
      <c r="D118" s="20"/>
      <c r="E118" s="32"/>
      <c r="F118" s="32"/>
      <c r="G118" s="32"/>
      <c r="H118" s="32"/>
      <c r="I118" s="32"/>
      <c r="J118" s="32"/>
      <c r="K118" s="32"/>
      <c r="L118" s="32"/>
      <c r="M118" s="32"/>
    </row>
    <row r="119" spans="1:13">
      <c r="A119" s="23"/>
      <c r="B119" s="20" t="e">
        <f>VLOOKUP($A119,Scopus!$A$1:$D$62,2,FALSE)</f>
        <v>#N/A</v>
      </c>
      <c r="C119" s="20" t="e">
        <f>VLOOKUP($A119,Scopus!$A$1:$D$62,5,FALSE)</f>
        <v>#N/A</v>
      </c>
      <c r="D119" s="20"/>
      <c r="E119" s="32"/>
      <c r="F119" s="32"/>
      <c r="G119" s="32"/>
      <c r="H119" s="32"/>
      <c r="I119" s="32"/>
      <c r="J119" s="32"/>
      <c r="K119" s="32"/>
      <c r="L119" s="32"/>
      <c r="M119" s="32"/>
    </row>
    <row r="120" spans="1:13">
      <c r="A120" s="23"/>
      <c r="B120" s="20" t="e">
        <f>VLOOKUP($A120,Scopus!$A$1:$D$62,2,FALSE)</f>
        <v>#N/A</v>
      </c>
      <c r="C120" s="20" t="e">
        <f>VLOOKUP($A120,Scopus!$A$1:$D$62,5,FALSE)</f>
        <v>#N/A</v>
      </c>
      <c r="D120" s="20"/>
      <c r="E120" s="32"/>
      <c r="F120" s="32"/>
      <c r="G120" s="32"/>
      <c r="H120" s="32"/>
      <c r="I120" s="32"/>
      <c r="J120" s="32"/>
      <c r="K120" s="32"/>
      <c r="L120" s="32"/>
      <c r="M120" s="32"/>
    </row>
    <row r="121" spans="1:13">
      <c r="A121" s="23"/>
      <c r="B121" s="20" t="e">
        <f>VLOOKUP($A121,Scopus!$A$1:$D$62,2,FALSE)</f>
        <v>#N/A</v>
      </c>
      <c r="C121" s="20" t="e">
        <f>VLOOKUP($A121,Scopus!$A$1:$D$62,5,FALSE)</f>
        <v>#N/A</v>
      </c>
      <c r="D121" s="20"/>
      <c r="E121" s="32"/>
      <c r="F121" s="32"/>
      <c r="G121" s="32"/>
      <c r="H121" s="32"/>
      <c r="I121" s="32"/>
      <c r="J121" s="32"/>
      <c r="K121" s="32"/>
      <c r="L121" s="32"/>
      <c r="M121" s="32"/>
    </row>
    <row r="122" spans="1:13">
      <c r="A122" s="23"/>
      <c r="B122" s="20" t="e">
        <f>VLOOKUP($A122,Scopus!$A$1:$D$62,2,FALSE)</f>
        <v>#N/A</v>
      </c>
      <c r="C122" s="20" t="e">
        <f>VLOOKUP($A122,Scopus!$A$1:$D$62,5,FALSE)</f>
        <v>#N/A</v>
      </c>
      <c r="D122" s="20"/>
      <c r="E122" s="32"/>
      <c r="F122" s="32"/>
      <c r="G122" s="32"/>
      <c r="H122" s="32"/>
      <c r="I122" s="32"/>
      <c r="J122" s="32"/>
      <c r="K122" s="32"/>
      <c r="L122" s="32"/>
      <c r="M122" s="32"/>
    </row>
    <row r="123" spans="1:13">
      <c r="A123" s="23"/>
      <c r="B123" s="20" t="e">
        <f>VLOOKUP($A123,Scopus!$A$1:$D$62,2,FALSE)</f>
        <v>#N/A</v>
      </c>
      <c r="C123" s="20" t="e">
        <f>VLOOKUP($A123,Scopus!$A$1:$D$62,5,FALSE)</f>
        <v>#N/A</v>
      </c>
      <c r="D123" s="20"/>
      <c r="E123" s="32"/>
      <c r="F123" s="32"/>
      <c r="G123" s="32"/>
      <c r="H123" s="32"/>
      <c r="I123" s="32"/>
      <c r="J123" s="32"/>
      <c r="K123" s="32"/>
      <c r="L123" s="32"/>
      <c r="M123" s="32"/>
    </row>
    <row r="124" spans="1:13">
      <c r="A124" s="23"/>
      <c r="B124" s="20" t="e">
        <f>VLOOKUP($A124,Scopus!$A$1:$D$62,2,FALSE)</f>
        <v>#N/A</v>
      </c>
      <c r="C124" s="20" t="e">
        <f>VLOOKUP($A124,Scopus!$A$1:$D$62,5,FALSE)</f>
        <v>#N/A</v>
      </c>
      <c r="D124" s="20"/>
      <c r="E124" s="32"/>
      <c r="F124" s="32"/>
      <c r="G124" s="32"/>
      <c r="H124" s="32"/>
      <c r="I124" s="32"/>
      <c r="J124" s="32"/>
      <c r="K124" s="32"/>
      <c r="L124" s="32"/>
      <c r="M124" s="32"/>
    </row>
    <row r="125" spans="1:13">
      <c r="A125" s="23"/>
      <c r="B125" s="20" t="e">
        <f>VLOOKUP($A125,Scopus!$A$1:$D$62,2,FALSE)</f>
        <v>#N/A</v>
      </c>
      <c r="C125" s="20" t="e">
        <f>VLOOKUP($A125,Scopus!$A$1:$D$62,5,FALSE)</f>
        <v>#N/A</v>
      </c>
      <c r="D125" s="20"/>
      <c r="E125" s="32"/>
      <c r="F125" s="32"/>
      <c r="G125" s="32"/>
      <c r="H125" s="32"/>
      <c r="I125" s="32"/>
      <c r="J125" s="32"/>
      <c r="K125" s="32"/>
      <c r="L125" s="32"/>
      <c r="M125" s="32"/>
    </row>
    <row r="126" spans="1:13">
      <c r="A126" s="23"/>
      <c r="B126" s="20" t="e">
        <f>VLOOKUP($A126,Scopus!$A$1:$D$62,2,FALSE)</f>
        <v>#N/A</v>
      </c>
      <c r="C126" s="20" t="e">
        <f>VLOOKUP($A126,Scopus!$A$1:$D$62,5,FALSE)</f>
        <v>#N/A</v>
      </c>
      <c r="D126" s="20"/>
      <c r="E126" s="32"/>
      <c r="F126" s="32"/>
      <c r="G126" s="32"/>
      <c r="H126" s="32"/>
      <c r="I126" s="32"/>
      <c r="J126" s="32"/>
      <c r="K126" s="32"/>
      <c r="L126" s="32"/>
      <c r="M126" s="32"/>
    </row>
    <row r="127" spans="1:13">
      <c r="A127" s="23"/>
      <c r="B127" s="20" t="e">
        <f>VLOOKUP($A127,Scopus!$A$1:$D$62,2,FALSE)</f>
        <v>#N/A</v>
      </c>
      <c r="C127" s="20" t="e">
        <f>VLOOKUP($A127,Scopus!$A$1:$D$62,5,FALSE)</f>
        <v>#N/A</v>
      </c>
      <c r="D127" s="20"/>
      <c r="E127" s="32"/>
      <c r="F127" s="32"/>
      <c r="G127" s="32"/>
      <c r="H127" s="32"/>
      <c r="I127" s="32"/>
      <c r="J127" s="32"/>
      <c r="K127" s="32"/>
      <c r="L127" s="32"/>
      <c r="M127" s="32"/>
    </row>
    <row r="128" spans="1:13">
      <c r="A128" s="23"/>
      <c r="B128" s="20" t="e">
        <f>VLOOKUP($A128,Scopus!$A$1:$D$62,2,FALSE)</f>
        <v>#N/A</v>
      </c>
      <c r="C128" s="20" t="e">
        <f>VLOOKUP($A128,Scopus!$A$1:$D$62,5,FALSE)</f>
        <v>#N/A</v>
      </c>
      <c r="D128" s="20"/>
      <c r="E128" s="34"/>
      <c r="F128" s="32"/>
      <c r="G128" s="32"/>
      <c r="H128" s="32"/>
      <c r="I128" s="32"/>
      <c r="J128" s="32"/>
      <c r="K128" s="32"/>
      <c r="L128" s="32"/>
      <c r="M128" s="32"/>
    </row>
    <row r="129" spans="1:13">
      <c r="A129" s="23"/>
      <c r="B129" s="20" t="e">
        <f>VLOOKUP($A129,Scopus!$A$1:$D$62,2,FALSE)</f>
        <v>#N/A</v>
      </c>
      <c r="C129" s="20" t="e">
        <f>VLOOKUP($A129,Scopus!$A$1:$D$62,5,FALSE)</f>
        <v>#N/A</v>
      </c>
      <c r="D129" s="20"/>
      <c r="E129" s="34"/>
      <c r="F129" s="32"/>
      <c r="G129" s="32"/>
      <c r="H129" s="32"/>
      <c r="I129" s="32"/>
      <c r="J129" s="32"/>
      <c r="K129" s="32"/>
      <c r="L129" s="32"/>
      <c r="M129" s="32"/>
    </row>
    <row r="130" spans="1:13">
      <c r="A130" s="23"/>
      <c r="B130" s="20" t="e">
        <f>VLOOKUP($A130,Scopus!$A$1:$D$62,2,FALSE)</f>
        <v>#N/A</v>
      </c>
      <c r="C130" s="20" t="e">
        <f>VLOOKUP($A130,Scopus!$A$1:$D$62,5,FALSE)</f>
        <v>#N/A</v>
      </c>
      <c r="D130" s="20"/>
      <c r="E130" s="34"/>
      <c r="F130" s="32"/>
      <c r="G130" s="32"/>
      <c r="H130" s="32"/>
      <c r="I130" s="32"/>
      <c r="J130" s="32"/>
      <c r="K130" s="32"/>
      <c r="L130" s="32"/>
      <c r="M130" s="32"/>
    </row>
    <row r="131" spans="1:13">
      <c r="A131" s="23"/>
      <c r="B131" s="20" t="e">
        <f>VLOOKUP($A131,Scopus!$A$1:$D$62,2,FALSE)</f>
        <v>#N/A</v>
      </c>
      <c r="C131" s="20" t="e">
        <f>VLOOKUP($A131,Scopus!$A$1:$D$62,5,FALSE)</f>
        <v>#N/A</v>
      </c>
      <c r="D131" s="20"/>
      <c r="E131" s="32"/>
      <c r="F131" s="32"/>
      <c r="G131" s="32"/>
      <c r="H131" s="32"/>
      <c r="I131" s="32"/>
      <c r="J131" s="32"/>
      <c r="K131" s="32"/>
      <c r="L131" s="32"/>
      <c r="M131" s="32"/>
    </row>
    <row r="132" spans="1:13">
      <c r="A132" s="23"/>
      <c r="B132" s="20" t="e">
        <f>VLOOKUP($A132,Scopus!$A$1:$D$62,2,FALSE)</f>
        <v>#N/A</v>
      </c>
      <c r="C132" s="20" t="e">
        <f>VLOOKUP($A132,Scopus!$A$1:$D$62,5,FALSE)</f>
        <v>#N/A</v>
      </c>
      <c r="D132" s="20"/>
      <c r="E132" s="32"/>
      <c r="F132" s="32"/>
      <c r="G132" s="32"/>
      <c r="H132" s="32"/>
      <c r="I132" s="32"/>
      <c r="J132" s="32"/>
      <c r="K132" s="32"/>
      <c r="L132" s="32"/>
      <c r="M132" s="32"/>
    </row>
    <row r="133" spans="1:13">
      <c r="A133" s="23"/>
      <c r="B133" s="20" t="e">
        <f>VLOOKUP($A133,Scopus!$A$1:$D$62,2,FALSE)</f>
        <v>#N/A</v>
      </c>
      <c r="C133" s="20" t="e">
        <f>VLOOKUP($A133,Scopus!$A$1:$D$62,5,FALSE)</f>
        <v>#N/A</v>
      </c>
      <c r="D133" s="20"/>
      <c r="E133" s="32"/>
      <c r="F133" s="32"/>
      <c r="G133" s="32"/>
      <c r="H133" s="32"/>
      <c r="I133" s="32"/>
      <c r="J133" s="32"/>
      <c r="K133" s="32"/>
      <c r="L133" s="32"/>
      <c r="M133" s="32"/>
    </row>
    <row r="134" spans="1:13">
      <c r="A134" s="23"/>
      <c r="B134" s="20" t="e">
        <f>VLOOKUP($A134,Scopus!$A$1:$D$62,2,FALSE)</f>
        <v>#N/A</v>
      </c>
      <c r="C134" s="20" t="e">
        <f>VLOOKUP($A134,Scopus!$A$1:$D$62,5,FALSE)</f>
        <v>#N/A</v>
      </c>
      <c r="D134" s="20"/>
      <c r="E134" s="34"/>
      <c r="F134" s="32"/>
      <c r="G134" s="32"/>
      <c r="H134" s="32"/>
      <c r="I134" s="32"/>
      <c r="J134" s="32"/>
      <c r="K134" s="32"/>
      <c r="L134" s="32"/>
      <c r="M134" s="32"/>
    </row>
    <row r="135" spans="1:13">
      <c r="A135" s="23"/>
      <c r="B135" s="20" t="e">
        <f>VLOOKUP($A135,Scopus!$A$1:$D$62,2,FALSE)</f>
        <v>#N/A</v>
      </c>
      <c r="C135" s="20" t="e">
        <f>VLOOKUP($A135,Scopus!$A$1:$D$62,5,FALSE)</f>
        <v>#N/A</v>
      </c>
      <c r="D135" s="20"/>
      <c r="E135" s="32"/>
      <c r="F135" s="32"/>
      <c r="G135" s="32"/>
      <c r="H135" s="32"/>
      <c r="I135" s="32"/>
      <c r="J135" s="32"/>
      <c r="K135" s="32"/>
      <c r="L135" s="32"/>
      <c r="M135" s="32"/>
    </row>
    <row r="136" spans="1:13">
      <c r="A136" s="23"/>
      <c r="B136" s="20" t="e">
        <f>VLOOKUP($A136,Scopus!$A$1:$D$62,2,FALSE)</f>
        <v>#N/A</v>
      </c>
      <c r="C136" s="20" t="e">
        <f>VLOOKUP($A136,Scopus!$A$1:$D$62,5,FALSE)</f>
        <v>#N/A</v>
      </c>
      <c r="D136" s="20"/>
      <c r="E136" s="32"/>
      <c r="F136" s="32"/>
      <c r="G136" s="32"/>
      <c r="H136" s="32"/>
      <c r="I136" s="32"/>
      <c r="J136" s="32"/>
      <c r="K136" s="32"/>
      <c r="L136" s="32"/>
      <c r="M136" s="32"/>
    </row>
    <row r="137" spans="1:13">
      <c r="A137" s="23"/>
      <c r="B137" s="20" t="e">
        <f>VLOOKUP($A137,Scopus!$A$1:$D$62,2,FALSE)</f>
        <v>#N/A</v>
      </c>
      <c r="C137" s="20" t="e">
        <f>VLOOKUP($A137,Scopus!$A$1:$D$62,5,FALSE)</f>
        <v>#N/A</v>
      </c>
      <c r="D137" s="20"/>
      <c r="E137" s="32"/>
      <c r="F137" s="32"/>
      <c r="G137" s="32"/>
      <c r="H137" s="32"/>
      <c r="I137" s="32"/>
      <c r="J137" s="32"/>
      <c r="K137" s="32"/>
      <c r="L137" s="32"/>
      <c r="M137" s="32"/>
    </row>
    <row r="138" spans="1:13">
      <c r="A138" s="23"/>
      <c r="B138" s="20" t="e">
        <f>VLOOKUP($A138,Scopus!$A$1:$D$62,2,FALSE)</f>
        <v>#N/A</v>
      </c>
      <c r="C138" s="20" t="e">
        <f>VLOOKUP($A138,Scopus!$A$1:$D$62,5,FALSE)</f>
        <v>#N/A</v>
      </c>
      <c r="D138" s="20"/>
      <c r="E138" s="32"/>
      <c r="F138" s="32"/>
      <c r="G138" s="32"/>
      <c r="H138" s="32"/>
      <c r="I138" s="32"/>
      <c r="J138" s="32"/>
      <c r="K138" s="32"/>
      <c r="L138" s="32"/>
      <c r="M138" s="32"/>
    </row>
    <row r="139" spans="1:13">
      <c r="A139" s="23"/>
      <c r="B139" s="20" t="e">
        <f>VLOOKUP($A139,Scopus!$A$1:$D$62,2,FALSE)</f>
        <v>#N/A</v>
      </c>
      <c r="C139" s="20" t="e">
        <f>VLOOKUP($A139,Scopus!$A$1:$D$62,5,FALSE)</f>
        <v>#N/A</v>
      </c>
      <c r="D139" s="20"/>
      <c r="E139" s="32"/>
      <c r="F139" s="32"/>
      <c r="G139" s="32"/>
      <c r="H139" s="32"/>
      <c r="I139" s="32"/>
      <c r="J139" s="32"/>
      <c r="K139" s="32"/>
      <c r="L139" s="32"/>
      <c r="M139" s="32"/>
    </row>
    <row r="140" spans="1:13">
      <c r="A140" s="23"/>
      <c r="B140" s="20" t="e">
        <f>VLOOKUP($A140,Scopus!$A$1:$D$62,2,FALSE)</f>
        <v>#N/A</v>
      </c>
      <c r="C140" s="20" t="e">
        <f>VLOOKUP($A140,Scopus!$A$1:$D$62,5,FALSE)</f>
        <v>#N/A</v>
      </c>
      <c r="D140" s="20"/>
      <c r="E140" s="32"/>
      <c r="F140" s="32"/>
      <c r="G140" s="32"/>
      <c r="H140" s="32"/>
      <c r="I140" s="32"/>
      <c r="J140" s="32"/>
      <c r="K140" s="32"/>
      <c r="L140" s="32"/>
      <c r="M140" s="32"/>
    </row>
    <row r="141" spans="1:13">
      <c r="A141" s="23"/>
      <c r="B141" s="20" t="e">
        <f>VLOOKUP($A141,Scopus!$A$1:$D$62,2,FALSE)</f>
        <v>#N/A</v>
      </c>
      <c r="C141" s="20" t="e">
        <f>VLOOKUP($A141,Scopus!$A$1:$D$62,5,FALSE)</f>
        <v>#N/A</v>
      </c>
      <c r="D141" s="20"/>
      <c r="E141" s="32"/>
      <c r="F141" s="32"/>
      <c r="G141" s="32"/>
      <c r="H141" s="32"/>
      <c r="I141" s="32"/>
      <c r="J141" s="32"/>
      <c r="K141" s="32"/>
      <c r="L141" s="32"/>
      <c r="M141" s="32"/>
    </row>
    <row r="142" spans="1:13">
      <c r="A142" s="23"/>
      <c r="B142" s="20" t="e">
        <f>VLOOKUP($A142,Scopus!$A$1:$D$62,2,FALSE)</f>
        <v>#N/A</v>
      </c>
      <c r="C142" s="20" t="e">
        <f>VLOOKUP($A142,Scopus!$A$1:$D$62,5,FALSE)</f>
        <v>#N/A</v>
      </c>
      <c r="D142" s="20"/>
      <c r="E142" s="32"/>
      <c r="F142" s="32"/>
      <c r="G142" s="32"/>
      <c r="H142" s="32"/>
      <c r="I142" s="32"/>
      <c r="J142" s="32"/>
      <c r="K142" s="32"/>
      <c r="L142" s="32"/>
      <c r="M142" s="32"/>
    </row>
    <row r="143" spans="1:13">
      <c r="A143" s="23"/>
      <c r="B143" s="20" t="e">
        <f>VLOOKUP($A143,Scopus!$A$1:$D$62,2,FALSE)</f>
        <v>#N/A</v>
      </c>
      <c r="C143" s="20" t="e">
        <f>VLOOKUP($A143,Scopus!$A$1:$D$62,5,FALSE)</f>
        <v>#N/A</v>
      </c>
      <c r="D143" s="20"/>
      <c r="E143" s="32"/>
      <c r="F143" s="32"/>
      <c r="G143" s="32"/>
      <c r="H143" s="32"/>
      <c r="I143" s="32"/>
      <c r="J143" s="32"/>
      <c r="K143" s="32"/>
      <c r="L143" s="32"/>
      <c r="M143" s="32"/>
    </row>
    <row r="144" spans="1:13">
      <c r="A144" s="23"/>
      <c r="B144" s="20" t="e">
        <f>VLOOKUP($A144,Scopus!$A$1:$D$62,2,FALSE)</f>
        <v>#N/A</v>
      </c>
      <c r="C144" s="20" t="e">
        <f>VLOOKUP($A144,Scopus!$A$1:$D$62,5,FALSE)</f>
        <v>#N/A</v>
      </c>
      <c r="D144" s="20"/>
      <c r="E144" s="32"/>
      <c r="F144" s="32"/>
      <c r="G144" s="32"/>
      <c r="H144" s="32"/>
      <c r="I144" s="32"/>
      <c r="J144" s="32"/>
      <c r="K144" s="32"/>
      <c r="L144" s="32"/>
      <c r="M144" s="32"/>
    </row>
    <row r="145" spans="1:13">
      <c r="A145" s="23"/>
      <c r="B145" s="20" t="e">
        <f>VLOOKUP($A145,Scopus!$A$1:$D$62,2,FALSE)</f>
        <v>#N/A</v>
      </c>
      <c r="C145" s="20" t="e">
        <f>VLOOKUP($A145,Scopus!$A$1:$D$62,5,FALSE)</f>
        <v>#N/A</v>
      </c>
      <c r="D145" s="20"/>
      <c r="E145" s="32"/>
      <c r="F145" s="32"/>
      <c r="G145" s="32"/>
      <c r="H145" s="32"/>
      <c r="I145" s="32"/>
      <c r="J145" s="32"/>
      <c r="K145" s="32"/>
      <c r="L145" s="32"/>
      <c r="M145" s="32"/>
    </row>
    <row r="146" spans="1:13">
      <c r="A146" s="23"/>
      <c r="B146" s="20" t="e">
        <f>VLOOKUP($A146,Scopus!$A$1:$D$62,2,FALSE)</f>
        <v>#N/A</v>
      </c>
      <c r="C146" s="20" t="e">
        <f>VLOOKUP($A146,Scopus!$A$1:$D$62,5,FALSE)</f>
        <v>#N/A</v>
      </c>
      <c r="D146" s="20"/>
      <c r="E146" s="32"/>
      <c r="F146" s="32"/>
      <c r="G146" s="32"/>
      <c r="H146" s="32"/>
      <c r="I146" s="32"/>
      <c r="J146" s="32"/>
      <c r="K146" s="32"/>
      <c r="L146" s="32"/>
      <c r="M146" s="32"/>
    </row>
    <row r="147" spans="1:13">
      <c r="A147" s="23"/>
      <c r="B147" s="20" t="e">
        <f>VLOOKUP($A147,Scopus!$A$1:$D$62,2,FALSE)</f>
        <v>#N/A</v>
      </c>
      <c r="C147" s="20" t="e">
        <f>VLOOKUP($A147,Scopus!$A$1:$D$62,5,FALSE)</f>
        <v>#N/A</v>
      </c>
      <c r="D147" s="20"/>
      <c r="E147" s="32"/>
      <c r="F147" s="32"/>
      <c r="G147" s="32"/>
      <c r="H147" s="32"/>
      <c r="I147" s="32"/>
      <c r="J147" s="32"/>
      <c r="K147" s="32"/>
      <c r="L147" s="32"/>
      <c r="M147" s="32"/>
    </row>
    <row r="148" spans="1:13">
      <c r="A148" s="23"/>
      <c r="B148" s="20" t="e">
        <f>VLOOKUP($A148,Scopus!$A$1:$D$62,2,FALSE)</f>
        <v>#N/A</v>
      </c>
      <c r="C148" s="20" t="e">
        <f>VLOOKUP($A148,Scopus!$A$1:$D$62,5,FALSE)</f>
        <v>#N/A</v>
      </c>
      <c r="D148" s="20"/>
      <c r="E148" s="32"/>
      <c r="F148" s="32"/>
      <c r="G148" s="32"/>
      <c r="H148" s="32"/>
      <c r="I148" s="32"/>
      <c r="J148" s="32"/>
      <c r="K148" s="32"/>
      <c r="L148" s="32"/>
      <c r="M148" s="32"/>
    </row>
    <row r="149" spans="1:13">
      <c r="A149" s="23"/>
      <c r="B149" s="20" t="e">
        <f>VLOOKUP($A149,Scopus!$A$1:$D$62,2,FALSE)</f>
        <v>#N/A</v>
      </c>
      <c r="C149" s="20" t="e">
        <f>VLOOKUP($A149,Scopus!$A$1:$D$62,5,FALSE)</f>
        <v>#N/A</v>
      </c>
      <c r="D149" s="20"/>
      <c r="E149" s="32"/>
      <c r="F149" s="32"/>
      <c r="G149" s="32"/>
      <c r="H149" s="32"/>
      <c r="I149" s="32"/>
      <c r="J149" s="32"/>
      <c r="K149" s="32"/>
      <c r="L149" s="32"/>
      <c r="M149" s="32"/>
    </row>
    <row r="150" spans="1:13">
      <c r="A150" s="23"/>
      <c r="B150" s="20" t="e">
        <f>VLOOKUP($A150,Scopus!$A$1:$D$62,2,FALSE)</f>
        <v>#N/A</v>
      </c>
      <c r="C150" s="20" t="e">
        <f>VLOOKUP($A150,Scopus!$A$1:$D$62,5,FALSE)</f>
        <v>#N/A</v>
      </c>
      <c r="D150" s="20"/>
      <c r="E150" s="32"/>
      <c r="F150" s="32"/>
      <c r="G150" s="32"/>
      <c r="H150" s="32"/>
      <c r="I150" s="32"/>
      <c r="J150" s="32"/>
      <c r="K150" s="32"/>
      <c r="L150" s="32"/>
      <c r="M150" s="32"/>
    </row>
    <row r="151" spans="1:13">
      <c r="A151" s="23"/>
      <c r="B151" s="20" t="e">
        <f>VLOOKUP($A151,Scopus!$A$1:$D$62,2,FALSE)</f>
        <v>#N/A</v>
      </c>
      <c r="C151" s="20" t="e">
        <f>VLOOKUP($A151,Scopus!$A$1:$D$62,5,FALSE)</f>
        <v>#N/A</v>
      </c>
      <c r="D151" s="20"/>
      <c r="E151" s="32"/>
      <c r="F151" s="32"/>
      <c r="G151" s="32"/>
      <c r="H151" s="32"/>
      <c r="I151" s="32"/>
      <c r="J151" s="32"/>
      <c r="K151" s="32"/>
      <c r="L151" s="32"/>
      <c r="M151" s="32"/>
    </row>
    <row r="152" spans="1:13">
      <c r="A152" s="23"/>
      <c r="B152" s="20" t="e">
        <f>VLOOKUP($A152,Scopus!$A$1:$D$62,2,FALSE)</f>
        <v>#N/A</v>
      </c>
      <c r="C152" s="20" t="e">
        <f>VLOOKUP($A152,Scopus!$A$1:$D$62,5,FALSE)</f>
        <v>#N/A</v>
      </c>
      <c r="D152" s="20"/>
      <c r="E152" s="32"/>
      <c r="F152" s="32"/>
      <c r="G152" s="32"/>
      <c r="H152" s="32"/>
      <c r="I152" s="32"/>
      <c r="J152" s="32"/>
      <c r="K152" s="32"/>
      <c r="L152" s="32"/>
      <c r="M152" s="32"/>
    </row>
    <row r="153" spans="1:13">
      <c r="A153" s="23"/>
      <c r="B153" s="20" t="e">
        <f>VLOOKUP($A153,Scopus!$A$1:$D$62,2,FALSE)</f>
        <v>#N/A</v>
      </c>
      <c r="C153" s="20" t="e">
        <f>VLOOKUP($A153,Scopus!$A$1:$D$62,5,FALSE)</f>
        <v>#N/A</v>
      </c>
      <c r="D153" s="20"/>
      <c r="E153" s="32"/>
      <c r="F153" s="32"/>
      <c r="G153" s="32"/>
      <c r="H153" s="32"/>
      <c r="I153" s="32"/>
      <c r="J153" s="32"/>
      <c r="K153" s="32"/>
      <c r="L153" s="32"/>
      <c r="M153" s="32"/>
    </row>
    <row r="154" spans="1:13">
      <c r="A154" s="23"/>
      <c r="B154" s="20" t="e">
        <f>VLOOKUP($A154,Scopus!$A$1:$D$62,2,FALSE)</f>
        <v>#N/A</v>
      </c>
      <c r="C154" s="20" t="e">
        <f>VLOOKUP($A154,Scopus!$A$1:$D$62,5,FALSE)</f>
        <v>#N/A</v>
      </c>
      <c r="D154" s="20"/>
      <c r="E154" s="32"/>
      <c r="F154" s="32"/>
      <c r="G154" s="32"/>
      <c r="H154" s="32"/>
      <c r="I154" s="32"/>
      <c r="J154" s="32"/>
      <c r="K154" s="32"/>
      <c r="L154" s="32"/>
      <c r="M154" s="32"/>
    </row>
    <row r="155" spans="1:13">
      <c r="A155" s="23"/>
      <c r="B155" s="20" t="e">
        <f>VLOOKUP($A155,Scopus!$A$1:$D$62,2,FALSE)</f>
        <v>#N/A</v>
      </c>
      <c r="C155" s="20" t="e">
        <f>VLOOKUP($A155,Scopus!$A$1:$D$62,5,FALSE)</f>
        <v>#N/A</v>
      </c>
      <c r="D155" s="20"/>
      <c r="E155" s="32"/>
      <c r="F155" s="32"/>
      <c r="G155" s="32"/>
      <c r="H155" s="32"/>
      <c r="I155" s="32"/>
      <c r="J155" s="32"/>
      <c r="K155" s="32"/>
      <c r="L155" s="32"/>
      <c r="M155" s="32"/>
    </row>
    <row r="156" spans="1:13">
      <c r="A156" s="23"/>
      <c r="B156" s="20" t="e">
        <f>VLOOKUP($A156,Scopus!$A$1:$D$62,2,FALSE)</f>
        <v>#N/A</v>
      </c>
      <c r="C156" s="20" t="e">
        <f>VLOOKUP($A156,Scopus!$A$1:$D$62,5,FALSE)</f>
        <v>#N/A</v>
      </c>
      <c r="D156" s="20"/>
      <c r="E156" s="32"/>
      <c r="F156" s="32"/>
      <c r="G156" s="32"/>
      <c r="H156" s="32"/>
      <c r="I156" s="32"/>
      <c r="J156" s="32"/>
      <c r="K156" s="32"/>
      <c r="L156" s="32"/>
      <c r="M156" s="32"/>
    </row>
    <row r="157" spans="1:13">
      <c r="A157" s="23"/>
      <c r="B157" s="20" t="e">
        <f>VLOOKUP($A157,Scopus!$A$1:$D$62,2,FALSE)</f>
        <v>#N/A</v>
      </c>
      <c r="C157" s="20" t="e">
        <f>VLOOKUP($A157,Scopus!$A$1:$D$62,5,FALSE)</f>
        <v>#N/A</v>
      </c>
      <c r="D157" s="20"/>
      <c r="E157" s="32"/>
      <c r="F157" s="32"/>
      <c r="G157" s="32"/>
      <c r="H157" s="32"/>
      <c r="I157" s="32"/>
      <c r="J157" s="32"/>
      <c r="K157" s="32"/>
      <c r="L157" s="32"/>
      <c r="M157" s="32"/>
    </row>
    <row r="158" spans="1:13">
      <c r="A158" s="23"/>
      <c r="B158" s="20" t="e">
        <f>VLOOKUP($A158,Scopus!$A$1:$D$62,2,FALSE)</f>
        <v>#N/A</v>
      </c>
      <c r="C158" s="20" t="e">
        <f>VLOOKUP($A158,Scopus!$A$1:$D$62,5,FALSE)</f>
        <v>#N/A</v>
      </c>
      <c r="D158" s="20"/>
      <c r="E158" s="32"/>
      <c r="F158" s="32"/>
      <c r="G158" s="32"/>
      <c r="H158" s="32"/>
      <c r="I158" s="32"/>
      <c r="J158" s="32"/>
      <c r="K158" s="32"/>
      <c r="L158" s="32"/>
      <c r="M158" s="32"/>
    </row>
    <row r="159" spans="1:13">
      <c r="A159" s="23"/>
      <c r="B159" s="20" t="e">
        <f>VLOOKUP($A159,Scopus!$A$1:$D$62,2,FALSE)</f>
        <v>#N/A</v>
      </c>
      <c r="C159" s="20" t="e">
        <f>VLOOKUP($A159,Scopus!$A$1:$D$62,5,FALSE)</f>
        <v>#N/A</v>
      </c>
      <c r="D159" s="20"/>
      <c r="E159" s="32"/>
      <c r="F159" s="32"/>
      <c r="G159" s="32"/>
      <c r="H159" s="32"/>
      <c r="I159" s="32"/>
      <c r="J159" s="32"/>
      <c r="K159" s="32"/>
      <c r="L159" s="32"/>
      <c r="M159" s="32"/>
    </row>
    <row r="160" spans="1:13">
      <c r="A160" s="23"/>
      <c r="B160" s="20" t="e">
        <f>VLOOKUP($A160,Scopus!$A$1:$D$62,2,FALSE)</f>
        <v>#N/A</v>
      </c>
      <c r="C160" s="20" t="e">
        <f>VLOOKUP($A160,Scopus!$A$1:$D$62,5,FALSE)</f>
        <v>#N/A</v>
      </c>
      <c r="D160" s="20"/>
      <c r="E160" s="32"/>
      <c r="F160" s="32"/>
      <c r="G160" s="32"/>
      <c r="H160" s="32"/>
      <c r="I160" s="32"/>
      <c r="J160" s="32"/>
      <c r="K160" s="32"/>
      <c r="L160" s="32"/>
      <c r="M160" s="32"/>
    </row>
    <row r="161" spans="1:14">
      <c r="A161" s="23"/>
      <c r="B161" s="20" t="e">
        <f>VLOOKUP($A161,Scopus!$A$1:$D$62,2,FALSE)</f>
        <v>#N/A</v>
      </c>
      <c r="C161" s="20" t="e">
        <f>VLOOKUP($A161,Scopus!$A$1:$D$62,5,FALSE)</f>
        <v>#N/A</v>
      </c>
      <c r="D161" s="20"/>
      <c r="E161" s="32"/>
      <c r="F161" s="32"/>
      <c r="G161" s="32"/>
      <c r="H161" s="32"/>
      <c r="I161" s="32"/>
      <c r="J161" s="32"/>
      <c r="K161" s="32"/>
      <c r="L161" s="32"/>
      <c r="M161" s="32"/>
    </row>
    <row r="162" spans="1:14">
      <c r="A162" s="23"/>
      <c r="B162" s="20" t="e">
        <f>VLOOKUP($A162,Scopus!$A$1:$D$62,2,FALSE)</f>
        <v>#N/A</v>
      </c>
      <c r="C162" s="20" t="e">
        <f>VLOOKUP($A162,Scopus!$A$1:$D$62,5,FALSE)</f>
        <v>#N/A</v>
      </c>
      <c r="D162" s="20"/>
      <c r="E162" s="32"/>
      <c r="F162" s="32"/>
      <c r="G162" s="32"/>
      <c r="H162" s="32"/>
      <c r="I162" s="32"/>
      <c r="J162" s="32"/>
      <c r="K162" s="32"/>
      <c r="L162" s="32"/>
      <c r="M162" s="32"/>
    </row>
    <row r="163" spans="1:14">
      <c r="A163" s="23"/>
      <c r="B163" s="20" t="e">
        <f>VLOOKUP($A163,Scopus!$A$1:$D$62,2,FALSE)</f>
        <v>#N/A</v>
      </c>
      <c r="C163" s="20" t="e">
        <f>VLOOKUP($A163,Scopus!$A$1:$D$62,5,FALSE)</f>
        <v>#N/A</v>
      </c>
      <c r="D163" s="20"/>
      <c r="E163" s="32"/>
      <c r="F163" s="32"/>
      <c r="G163" s="32"/>
      <c r="H163" s="32"/>
      <c r="I163" s="32"/>
      <c r="J163" s="32"/>
      <c r="K163" s="32"/>
      <c r="L163" s="32"/>
      <c r="M163" s="32"/>
    </row>
    <row r="164" spans="1:14">
      <c r="A164" s="23"/>
      <c r="B164" s="20" t="e">
        <f>VLOOKUP($A164,Scopus!$A$1:$D$62,2,FALSE)</f>
        <v>#N/A</v>
      </c>
      <c r="C164" s="20" t="e">
        <f>VLOOKUP($A164,Scopus!$A$1:$D$62,5,FALSE)</f>
        <v>#N/A</v>
      </c>
      <c r="D164" s="20"/>
      <c r="E164" s="32"/>
      <c r="F164" s="32"/>
      <c r="G164" s="32"/>
      <c r="H164" s="32"/>
      <c r="I164" s="32"/>
      <c r="J164" s="32"/>
      <c r="K164" s="32"/>
      <c r="L164" s="32"/>
      <c r="M164" s="32"/>
    </row>
    <row r="165" spans="1:14">
      <c r="A165" s="23"/>
      <c r="B165" s="20" t="e">
        <f>VLOOKUP($A165,Scopus!$A$1:$D$62,2,FALSE)</f>
        <v>#N/A</v>
      </c>
      <c r="C165" s="20" t="e">
        <f>VLOOKUP($A165,Scopus!$A$1:$D$62,5,FALSE)</f>
        <v>#N/A</v>
      </c>
      <c r="D165" s="20"/>
      <c r="E165" s="32"/>
      <c r="F165" s="32"/>
      <c r="G165" s="32"/>
      <c r="H165" s="32"/>
      <c r="I165" s="32"/>
      <c r="J165" s="32"/>
      <c r="K165" s="32"/>
      <c r="L165" s="32"/>
      <c r="M165" s="32"/>
    </row>
    <row r="166" spans="1:14">
      <c r="A166" s="23"/>
      <c r="B166" s="20" t="e">
        <f>VLOOKUP($A166,Scopus!$A$1:$D$62,2,FALSE)</f>
        <v>#N/A</v>
      </c>
      <c r="C166" s="20" t="e">
        <f>VLOOKUP($A166,Scopus!$A$1:$D$62,5,FALSE)</f>
        <v>#N/A</v>
      </c>
      <c r="D166" s="20"/>
      <c r="E166" s="32"/>
      <c r="F166" s="32"/>
      <c r="G166" s="32"/>
      <c r="H166" s="32"/>
      <c r="I166" s="32"/>
      <c r="J166" s="32"/>
      <c r="K166" s="32"/>
      <c r="L166" s="32"/>
      <c r="M166" s="32"/>
    </row>
    <row r="167" spans="1:14">
      <c r="A167" s="23"/>
      <c r="B167" s="20" t="e">
        <f>VLOOKUP($A167,Scopus!$A$1:$D$62,2,FALSE)</f>
        <v>#N/A</v>
      </c>
      <c r="C167" s="20" t="e">
        <f>VLOOKUP($A167,Scopus!$A$1:$D$62,5,FALSE)</f>
        <v>#N/A</v>
      </c>
      <c r="D167" s="20"/>
      <c r="E167" s="32"/>
      <c r="F167" s="32"/>
      <c r="G167" s="32"/>
      <c r="H167" s="32"/>
      <c r="I167" s="32"/>
      <c r="J167" s="32"/>
      <c r="K167" s="32"/>
      <c r="L167" s="32"/>
      <c r="M167" s="32"/>
    </row>
    <row r="168" spans="1:14">
      <c r="A168" s="23"/>
      <c r="B168" s="20" t="e">
        <f>VLOOKUP($A168,Scopus!$A$1:$D$62,2,FALSE)</f>
        <v>#N/A</v>
      </c>
      <c r="C168" s="20" t="e">
        <f>VLOOKUP($A168,Scopus!$A$1:$D$62,5,FALSE)</f>
        <v>#N/A</v>
      </c>
      <c r="D168" s="20"/>
      <c r="E168" s="32"/>
      <c r="F168" s="32"/>
      <c r="G168" s="32"/>
      <c r="H168" s="32"/>
      <c r="I168" s="32"/>
      <c r="J168" s="32"/>
      <c r="K168" s="32"/>
      <c r="L168" s="32"/>
      <c r="M168" s="32"/>
    </row>
    <row r="169" spans="1:14">
      <c r="A169" s="23"/>
      <c r="B169" s="20" t="e">
        <f>VLOOKUP($A169,Scopus!$A$1:$D$62,2,FALSE)</f>
        <v>#N/A</v>
      </c>
      <c r="C169" s="20" t="e">
        <f>VLOOKUP($A169,Scopus!$A$1:$D$62,5,FALSE)</f>
        <v>#N/A</v>
      </c>
      <c r="D169" s="20"/>
      <c r="E169" s="32"/>
      <c r="F169" s="32"/>
      <c r="G169" s="32"/>
      <c r="H169" s="32"/>
      <c r="I169" s="32"/>
      <c r="J169" s="32"/>
      <c r="K169" s="32"/>
      <c r="L169" s="32"/>
      <c r="M169" s="32"/>
    </row>
    <row r="170" spans="1:14">
      <c r="A170" s="23"/>
      <c r="B170" s="20" t="e">
        <f>VLOOKUP($A170,Scopus!$A$1:$D$62,2,FALSE)</f>
        <v>#N/A</v>
      </c>
      <c r="C170" s="20" t="e">
        <f>VLOOKUP($A170,Scopus!$A$1:$D$62,5,FALSE)</f>
        <v>#N/A</v>
      </c>
      <c r="D170" s="20"/>
      <c r="E170" s="32"/>
      <c r="F170" s="32"/>
      <c r="G170" s="32"/>
      <c r="H170" s="32"/>
      <c r="I170" s="32"/>
      <c r="J170" s="32"/>
      <c r="K170" s="32"/>
      <c r="L170" s="32"/>
      <c r="M170" s="32"/>
    </row>
    <row r="171" spans="1:14">
      <c r="A171" s="23"/>
      <c r="B171" s="20" t="e">
        <f>VLOOKUP($A171,Scopus!$A$1:$D$62,2,FALSE)</f>
        <v>#N/A</v>
      </c>
      <c r="C171" s="20" t="e">
        <f>VLOOKUP($A171,Scopus!$A$1:$D$62,5,FALSE)</f>
        <v>#N/A</v>
      </c>
      <c r="D171" s="20"/>
      <c r="E171" s="32"/>
      <c r="F171" s="32"/>
      <c r="G171" s="32"/>
      <c r="H171" s="32"/>
      <c r="I171" s="32"/>
      <c r="J171" s="32"/>
      <c r="K171" s="32"/>
      <c r="L171" s="32"/>
      <c r="M171" s="32"/>
    </row>
    <row r="172" spans="1:14">
      <c r="A172" s="23"/>
      <c r="B172" s="20" t="e">
        <f>VLOOKUP($A172,Scopus!$A$1:$D$62,2,FALSE)</f>
        <v>#N/A</v>
      </c>
      <c r="C172" s="20" t="e">
        <f>VLOOKUP($A172,Scopus!$A$1:$D$62,5,FALSE)</f>
        <v>#N/A</v>
      </c>
      <c r="D172" s="20"/>
      <c r="E172" s="32"/>
      <c r="F172" s="32"/>
      <c r="G172" s="32"/>
      <c r="H172" s="32"/>
      <c r="I172" s="32"/>
      <c r="J172" s="32"/>
      <c r="K172" s="32"/>
      <c r="L172" s="32"/>
      <c r="M172" s="32"/>
      <c r="N172" s="7"/>
    </row>
    <row r="173" spans="1:14">
      <c r="A173" s="23"/>
      <c r="B173" s="20" t="e">
        <f>VLOOKUP($A173,Scopus!$A$1:$D$62,2,FALSE)</f>
        <v>#N/A</v>
      </c>
      <c r="C173" s="20" t="e">
        <f>VLOOKUP($A173,Scopus!$A$1:$D$62,5,FALSE)</f>
        <v>#N/A</v>
      </c>
      <c r="D173" s="20"/>
      <c r="E173" s="32"/>
      <c r="F173" s="32"/>
      <c r="G173" s="32"/>
      <c r="H173" s="32"/>
      <c r="I173" s="32"/>
      <c r="J173" s="32"/>
      <c r="K173" s="32"/>
      <c r="L173" s="32"/>
      <c r="M173" s="32"/>
    </row>
    <row r="174" spans="1:14">
      <c r="A174" s="23"/>
      <c r="B174" s="20" t="e">
        <f>VLOOKUP($A174,Scopus!$A$1:$D$62,2,FALSE)</f>
        <v>#N/A</v>
      </c>
      <c r="C174" s="20" t="e">
        <f>VLOOKUP($A174,Scopus!$A$1:$D$62,5,FALSE)</f>
        <v>#N/A</v>
      </c>
      <c r="D174" s="20"/>
      <c r="E174" s="32"/>
      <c r="F174" s="32"/>
      <c r="G174" s="32"/>
      <c r="H174" s="32"/>
      <c r="I174" s="32"/>
      <c r="J174" s="32"/>
      <c r="K174" s="32"/>
      <c r="L174" s="32"/>
      <c r="M174" s="32"/>
    </row>
    <row r="175" spans="1:14">
      <c r="A175" s="23"/>
      <c r="B175" s="20" t="e">
        <f>VLOOKUP($A175,Scopus!$A$1:$D$62,2,FALSE)</f>
        <v>#N/A</v>
      </c>
      <c r="C175" s="20" t="e">
        <f>VLOOKUP($A175,Scopus!$A$1:$D$62,5,FALSE)</f>
        <v>#N/A</v>
      </c>
      <c r="D175" s="20"/>
      <c r="E175" s="32"/>
      <c r="F175" s="32"/>
      <c r="G175" s="32"/>
      <c r="H175" s="32"/>
      <c r="I175" s="32"/>
      <c r="J175" s="32"/>
      <c r="K175" s="32"/>
      <c r="L175" s="32"/>
      <c r="M175" s="32"/>
    </row>
    <row r="176" spans="1:14">
      <c r="A176" s="23"/>
      <c r="B176" s="20" t="e">
        <f>VLOOKUP($A176,Scopus!$A$1:$D$62,2,FALSE)</f>
        <v>#N/A</v>
      </c>
      <c r="C176" s="20" t="e">
        <f>VLOOKUP($A176,Scopus!$A$1:$D$62,5,FALSE)</f>
        <v>#N/A</v>
      </c>
      <c r="D176" s="20"/>
      <c r="E176" s="32"/>
      <c r="F176" s="32"/>
      <c r="G176" s="32"/>
      <c r="H176" s="32"/>
      <c r="I176" s="32"/>
      <c r="J176" s="32"/>
      <c r="K176" s="32"/>
      <c r="L176" s="32"/>
      <c r="M176" s="32"/>
    </row>
    <row r="177" spans="1:13">
      <c r="A177" s="23"/>
      <c r="B177" s="20" t="e">
        <f>VLOOKUP($A177,Scopus!$A$1:$D$62,2,FALSE)</f>
        <v>#N/A</v>
      </c>
      <c r="C177" s="20" t="e">
        <f>VLOOKUP($A177,Scopus!$A$1:$D$62,5,FALSE)</f>
        <v>#N/A</v>
      </c>
      <c r="D177" s="20"/>
      <c r="E177" s="32"/>
      <c r="F177" s="32"/>
      <c r="G177" s="32"/>
      <c r="H177" s="32"/>
      <c r="I177" s="32"/>
      <c r="J177" s="32"/>
      <c r="K177" s="32"/>
      <c r="L177" s="32"/>
      <c r="M177" s="32"/>
    </row>
    <row r="178" spans="1:13">
      <c r="A178" s="23"/>
      <c r="B178" s="20" t="e">
        <f>VLOOKUP($A178,Scopus!$A$1:$D$62,2,FALSE)</f>
        <v>#N/A</v>
      </c>
      <c r="C178" s="20" t="e">
        <f>VLOOKUP($A178,Scopus!$A$1:$D$62,5,FALSE)</f>
        <v>#N/A</v>
      </c>
      <c r="D178" s="20"/>
      <c r="E178" s="32"/>
      <c r="F178" s="32"/>
      <c r="G178" s="32"/>
      <c r="H178" s="32"/>
      <c r="I178" s="32"/>
      <c r="J178" s="32"/>
      <c r="K178" s="32"/>
      <c r="L178" s="32"/>
      <c r="M178" s="32"/>
    </row>
    <row r="179" spans="1:13">
      <c r="A179" s="23"/>
      <c r="B179" s="20" t="e">
        <f>VLOOKUP($A179,Scopus!$A$1:$D$62,2,FALSE)</f>
        <v>#N/A</v>
      </c>
      <c r="C179" s="20" t="e">
        <f>VLOOKUP($A179,Scopus!$A$1:$D$62,5,FALSE)</f>
        <v>#N/A</v>
      </c>
      <c r="D179" s="20"/>
      <c r="E179" s="32"/>
      <c r="F179" s="32"/>
      <c r="G179" s="32"/>
      <c r="H179" s="32"/>
      <c r="I179" s="32"/>
      <c r="J179" s="32"/>
      <c r="K179" s="32"/>
      <c r="L179" s="32"/>
      <c r="M179" s="32"/>
    </row>
    <row r="180" spans="1:13">
      <c r="A180" s="23"/>
      <c r="B180" s="20" t="e">
        <f>VLOOKUP($A180,Scopus!$A$1:$D$62,2,FALSE)</f>
        <v>#N/A</v>
      </c>
      <c r="C180" s="20" t="e">
        <f>VLOOKUP($A180,Scopus!$A$1:$D$62,5,FALSE)</f>
        <v>#N/A</v>
      </c>
      <c r="D180" s="20"/>
      <c r="E180" s="32"/>
      <c r="F180" s="32"/>
      <c r="G180" s="32"/>
      <c r="H180" s="32"/>
      <c r="I180" s="32"/>
      <c r="J180" s="32"/>
      <c r="K180" s="32"/>
      <c r="L180" s="32"/>
      <c r="M180" s="32"/>
    </row>
    <row r="181" spans="1:13">
      <c r="A181" s="23"/>
      <c r="B181" s="20" t="e">
        <f>VLOOKUP($A181,Scopus!$A$1:$D$62,2,FALSE)</f>
        <v>#N/A</v>
      </c>
      <c r="C181" s="20" t="e">
        <f>VLOOKUP($A181,Scopus!$A$1:$D$62,5,FALSE)</f>
        <v>#N/A</v>
      </c>
      <c r="D181" s="20"/>
      <c r="E181" s="32"/>
      <c r="F181" s="32"/>
      <c r="G181" s="32"/>
      <c r="H181" s="32"/>
      <c r="I181" s="32"/>
      <c r="J181" s="32"/>
      <c r="K181" s="32"/>
      <c r="L181" s="32"/>
      <c r="M181" s="32"/>
    </row>
    <row r="182" spans="1:13">
      <c r="A182" s="23"/>
      <c r="B182" s="20" t="e">
        <f>VLOOKUP($A182,Scopus!$A$1:$D$62,2,FALSE)</f>
        <v>#N/A</v>
      </c>
      <c r="C182" s="20" t="e">
        <f>VLOOKUP($A182,Scopus!$A$1:$D$62,5,FALSE)</f>
        <v>#N/A</v>
      </c>
      <c r="D182" s="20"/>
      <c r="E182" s="32"/>
      <c r="F182" s="32"/>
      <c r="G182" s="32"/>
      <c r="H182" s="32"/>
      <c r="I182" s="32"/>
      <c r="J182" s="32"/>
      <c r="K182" s="32"/>
      <c r="L182" s="32"/>
      <c r="M182" s="32"/>
    </row>
    <row r="183" spans="1:13">
      <c r="A183" s="23"/>
      <c r="B183" s="20" t="e">
        <f>VLOOKUP($A183,Scopus!$A$1:$D$62,2,FALSE)</f>
        <v>#N/A</v>
      </c>
      <c r="C183" s="20" t="e">
        <f>VLOOKUP($A183,Scopus!$A$1:$D$62,5,FALSE)</f>
        <v>#N/A</v>
      </c>
      <c r="D183" s="20"/>
      <c r="E183" s="32"/>
      <c r="F183" s="32"/>
      <c r="G183" s="32"/>
      <c r="H183" s="32"/>
      <c r="I183" s="32"/>
      <c r="J183" s="32"/>
      <c r="K183" s="32"/>
      <c r="L183" s="32"/>
      <c r="M183" s="32"/>
    </row>
    <row r="184" spans="1:13">
      <c r="A184" s="23"/>
      <c r="B184" s="20" t="e">
        <f>VLOOKUP($A184,Scopus!$A$1:$D$62,2,FALSE)</f>
        <v>#N/A</v>
      </c>
      <c r="C184" s="20" t="e">
        <f>VLOOKUP($A184,Scopus!$A$1:$D$62,5,FALSE)</f>
        <v>#N/A</v>
      </c>
      <c r="D184" s="20"/>
      <c r="E184" s="32"/>
      <c r="F184" s="32"/>
      <c r="G184" s="32"/>
      <c r="H184" s="32"/>
      <c r="I184" s="32"/>
      <c r="J184" s="32"/>
      <c r="K184" s="32"/>
      <c r="L184" s="32"/>
      <c r="M184" s="32"/>
    </row>
    <row r="185" spans="1:13">
      <c r="A185" s="23"/>
      <c r="B185" s="20" t="e">
        <f>VLOOKUP($A185,Scopus!$A$1:$D$62,2,FALSE)</f>
        <v>#N/A</v>
      </c>
      <c r="C185" s="20" t="e">
        <f>VLOOKUP($A185,Scopus!$A$1:$D$62,5,FALSE)</f>
        <v>#N/A</v>
      </c>
      <c r="D185" s="20"/>
      <c r="E185" s="32"/>
      <c r="F185" s="32"/>
      <c r="G185" s="32"/>
      <c r="H185" s="32"/>
      <c r="I185" s="32"/>
      <c r="J185" s="32"/>
      <c r="K185" s="32"/>
      <c r="L185" s="32"/>
      <c r="M185" s="32"/>
    </row>
    <row r="186" spans="1:13">
      <c r="A186" s="23"/>
      <c r="B186" s="20" t="e">
        <f>VLOOKUP($A186,Scopus!$A$1:$D$62,2,FALSE)</f>
        <v>#N/A</v>
      </c>
      <c r="C186" s="20" t="e">
        <f>VLOOKUP($A186,Scopus!$A$1:$D$62,5,FALSE)</f>
        <v>#N/A</v>
      </c>
      <c r="D186" s="20"/>
      <c r="E186" s="32"/>
      <c r="F186" s="32"/>
      <c r="G186" s="32"/>
      <c r="H186" s="32"/>
      <c r="I186" s="32"/>
      <c r="J186" s="32"/>
      <c r="K186" s="32"/>
      <c r="L186" s="32"/>
      <c r="M186" s="32"/>
    </row>
    <row r="187" spans="1:13">
      <c r="A187" s="23"/>
      <c r="B187" s="20" t="e">
        <f>VLOOKUP($A187,Scopus!$A$1:$D$62,2,FALSE)</f>
        <v>#N/A</v>
      </c>
      <c r="C187" s="20" t="e">
        <f>VLOOKUP($A187,Scopus!$A$1:$D$62,5,FALSE)</f>
        <v>#N/A</v>
      </c>
      <c r="D187" s="20"/>
      <c r="E187" s="32"/>
      <c r="F187" s="32"/>
      <c r="G187" s="32"/>
      <c r="H187" s="32"/>
      <c r="I187" s="32"/>
      <c r="J187" s="32"/>
      <c r="K187" s="32"/>
      <c r="L187" s="32"/>
      <c r="M187" s="32"/>
    </row>
    <row r="188" spans="1:13">
      <c r="A188" s="23"/>
      <c r="B188" s="20" t="e">
        <f>VLOOKUP($A188,Scopus!$A$1:$D$62,2,FALSE)</f>
        <v>#N/A</v>
      </c>
      <c r="C188" s="20" t="e">
        <f>VLOOKUP($A188,Scopus!$A$1:$D$62,5,FALSE)</f>
        <v>#N/A</v>
      </c>
      <c r="D188" s="20"/>
      <c r="E188" s="32"/>
      <c r="F188" s="32"/>
      <c r="G188" s="32"/>
      <c r="H188" s="32"/>
      <c r="I188" s="32"/>
      <c r="J188" s="32"/>
      <c r="K188" s="32"/>
      <c r="L188" s="32"/>
      <c r="M188" s="32"/>
    </row>
    <row r="189" spans="1:13">
      <c r="A189" s="23"/>
      <c r="B189" s="20" t="e">
        <f>VLOOKUP($A189,Scopus!$A$1:$D$62,2,FALSE)</f>
        <v>#N/A</v>
      </c>
      <c r="C189" s="20" t="e">
        <f>VLOOKUP($A189,Scopus!$A$1:$D$62,5,FALSE)</f>
        <v>#N/A</v>
      </c>
      <c r="D189" s="20"/>
      <c r="E189" s="32"/>
      <c r="F189" s="32"/>
      <c r="G189" s="32"/>
      <c r="H189" s="32"/>
      <c r="I189" s="32"/>
      <c r="J189" s="32"/>
      <c r="K189" s="32"/>
      <c r="L189" s="32"/>
      <c r="M189" s="32"/>
    </row>
    <row r="190" spans="1:13">
      <c r="A190" s="23"/>
      <c r="B190" s="20" t="e">
        <f>VLOOKUP($A190,Scopus!$A$1:$D$62,2,FALSE)</f>
        <v>#N/A</v>
      </c>
      <c r="C190" s="20" t="e">
        <f>VLOOKUP($A190,Scopus!$A$1:$D$62,5,FALSE)</f>
        <v>#N/A</v>
      </c>
      <c r="D190" s="20"/>
      <c r="E190" s="32"/>
      <c r="F190" s="32"/>
      <c r="G190" s="32"/>
      <c r="H190" s="32"/>
      <c r="I190" s="32"/>
      <c r="J190" s="32"/>
      <c r="K190" s="32"/>
      <c r="L190" s="32"/>
      <c r="M190" s="32"/>
    </row>
    <row r="191" spans="1:13">
      <c r="A191" s="23"/>
      <c r="B191" s="20" t="e">
        <f>VLOOKUP($A191,Scopus!$A$1:$D$62,2,FALSE)</f>
        <v>#N/A</v>
      </c>
      <c r="C191" s="20" t="e">
        <f>VLOOKUP($A191,Scopus!$A$1:$D$62,5,FALSE)</f>
        <v>#N/A</v>
      </c>
      <c r="D191" s="20"/>
      <c r="E191" s="32"/>
      <c r="F191" s="32"/>
      <c r="G191" s="32"/>
      <c r="H191" s="32"/>
      <c r="I191" s="32"/>
      <c r="J191" s="32"/>
      <c r="K191" s="32"/>
      <c r="L191" s="32"/>
      <c r="M191" s="32"/>
    </row>
    <row r="192" spans="1:13">
      <c r="A192" s="23"/>
      <c r="B192" s="20" t="e">
        <f>VLOOKUP($A192,Scopus!$A$1:$D$62,2,FALSE)</f>
        <v>#N/A</v>
      </c>
      <c r="C192" s="20" t="e">
        <f>VLOOKUP($A192,Scopus!$A$1:$D$62,5,FALSE)</f>
        <v>#N/A</v>
      </c>
      <c r="D192" s="20"/>
      <c r="E192" s="32"/>
      <c r="F192" s="32"/>
      <c r="G192" s="32"/>
      <c r="H192" s="32"/>
      <c r="I192" s="32"/>
      <c r="J192" s="32"/>
      <c r="K192" s="32"/>
      <c r="L192" s="32"/>
      <c r="M192" s="32"/>
    </row>
    <row r="193" spans="1:13">
      <c r="A193" s="23"/>
      <c r="B193" s="20" t="e">
        <f>VLOOKUP($A193,Scopus!$A$1:$D$62,2,FALSE)</f>
        <v>#N/A</v>
      </c>
      <c r="C193" s="20" t="e">
        <f>VLOOKUP($A193,Scopus!$A$1:$D$62,5,FALSE)</f>
        <v>#N/A</v>
      </c>
      <c r="D193" s="20"/>
      <c r="E193" s="32"/>
      <c r="F193" s="32"/>
      <c r="G193" s="32"/>
      <c r="H193" s="32"/>
      <c r="I193" s="32"/>
      <c r="J193" s="32"/>
      <c r="K193" s="32"/>
      <c r="L193" s="32"/>
      <c r="M193" s="32"/>
    </row>
    <row r="194" spans="1:13">
      <c r="A194" s="23"/>
      <c r="B194" s="20" t="e">
        <f>VLOOKUP($A194,Scopus!$A$1:$D$62,2,FALSE)</f>
        <v>#N/A</v>
      </c>
      <c r="C194" s="20" t="e">
        <f>VLOOKUP($A194,Scopus!$A$1:$D$62,5,FALSE)</f>
        <v>#N/A</v>
      </c>
      <c r="D194" s="20"/>
      <c r="E194" s="32"/>
      <c r="F194" s="32"/>
      <c r="G194" s="32"/>
      <c r="H194" s="32"/>
      <c r="I194" s="32"/>
      <c r="J194" s="32"/>
      <c r="K194" s="32"/>
      <c r="L194" s="32"/>
      <c r="M194" s="32"/>
    </row>
    <row r="195" spans="1:13">
      <c r="A195" s="23"/>
      <c r="B195" s="20" t="e">
        <f>VLOOKUP($A195,Scopus!$A$1:$D$62,2,FALSE)</f>
        <v>#N/A</v>
      </c>
      <c r="C195" s="20" t="e">
        <f>VLOOKUP($A195,Scopus!$A$1:$D$62,5,FALSE)</f>
        <v>#N/A</v>
      </c>
      <c r="D195" s="20"/>
      <c r="E195" s="32"/>
      <c r="F195" s="32"/>
      <c r="G195" s="32"/>
      <c r="H195" s="32"/>
      <c r="I195" s="32"/>
      <c r="J195" s="32"/>
      <c r="K195" s="32"/>
      <c r="L195" s="32"/>
      <c r="M195" s="32"/>
    </row>
    <row r="196" spans="1:13">
      <c r="A196" s="23"/>
      <c r="B196" s="20" t="e">
        <f>VLOOKUP($A196,Scopus!$A$1:$D$62,2,FALSE)</f>
        <v>#N/A</v>
      </c>
      <c r="C196" s="20" t="e">
        <f>VLOOKUP($A196,Scopus!$A$1:$D$62,5,FALSE)</f>
        <v>#N/A</v>
      </c>
      <c r="D196" s="20"/>
      <c r="E196" s="32"/>
      <c r="F196" s="32"/>
      <c r="G196" s="32"/>
      <c r="H196" s="32"/>
      <c r="I196" s="32"/>
      <c r="J196" s="32"/>
      <c r="K196" s="32"/>
      <c r="L196" s="32"/>
      <c r="M196" s="32"/>
    </row>
    <row r="197" spans="1:13">
      <c r="A197" s="23"/>
      <c r="B197" s="20" t="e">
        <f>VLOOKUP($A197,Scopus!$A$1:$D$62,2,FALSE)</f>
        <v>#N/A</v>
      </c>
      <c r="C197" s="20" t="e">
        <f>VLOOKUP($A197,Scopus!$A$1:$D$62,5,FALSE)</f>
        <v>#N/A</v>
      </c>
      <c r="D197" s="20"/>
      <c r="E197" s="32"/>
      <c r="F197" s="32"/>
      <c r="G197" s="32"/>
      <c r="H197" s="32"/>
      <c r="I197" s="32"/>
      <c r="J197" s="32"/>
      <c r="K197" s="32"/>
      <c r="L197" s="32"/>
      <c r="M197" s="32"/>
    </row>
    <row r="198" spans="1:13">
      <c r="A198" s="23"/>
      <c r="B198" s="20" t="e">
        <f>VLOOKUP($A198,Scopus!$A$1:$D$62,2,FALSE)</f>
        <v>#N/A</v>
      </c>
      <c r="C198" s="20" t="e">
        <f>VLOOKUP($A198,Scopus!$A$1:$D$62,5,FALSE)</f>
        <v>#N/A</v>
      </c>
      <c r="D198" s="20"/>
      <c r="E198" s="32"/>
      <c r="F198" s="32"/>
      <c r="G198" s="32"/>
      <c r="H198" s="32"/>
      <c r="I198" s="32"/>
      <c r="J198" s="32"/>
      <c r="K198" s="32"/>
      <c r="L198" s="32"/>
      <c r="M198" s="32"/>
    </row>
    <row r="199" spans="1:13">
      <c r="A199" s="23"/>
      <c r="B199" s="20" t="e">
        <f>VLOOKUP($A199,Scopus!$A$1:$D$62,2,FALSE)</f>
        <v>#N/A</v>
      </c>
      <c r="C199" s="20" t="e">
        <f>VLOOKUP($A199,Scopus!$A$1:$D$62,5,FALSE)</f>
        <v>#N/A</v>
      </c>
      <c r="D199" s="20"/>
      <c r="E199" s="32"/>
      <c r="F199" s="32"/>
      <c r="G199" s="32"/>
      <c r="H199" s="32"/>
      <c r="I199" s="32"/>
      <c r="J199" s="32"/>
      <c r="K199" s="32"/>
      <c r="L199" s="32"/>
      <c r="M199" s="32"/>
    </row>
    <row r="200" spans="1:13">
      <c r="A200" s="23"/>
      <c r="B200" s="20" t="e">
        <f>VLOOKUP($A200,Scopus!$A$1:$D$62,2,FALSE)</f>
        <v>#N/A</v>
      </c>
      <c r="C200" s="20" t="e">
        <f>VLOOKUP($A200,Scopus!$A$1:$D$62,5,FALSE)</f>
        <v>#N/A</v>
      </c>
      <c r="D200" s="20"/>
      <c r="E200" s="32"/>
      <c r="F200" s="32"/>
      <c r="G200" s="32"/>
      <c r="H200" s="32"/>
      <c r="I200" s="32"/>
      <c r="J200" s="32"/>
      <c r="K200" s="32"/>
      <c r="L200" s="32"/>
      <c r="M200" s="32"/>
    </row>
    <row r="201" spans="1:13">
      <c r="A201" s="23"/>
      <c r="B201" s="20" t="e">
        <f>VLOOKUP($A201,Scopus!$A$1:$D$62,2,FALSE)</f>
        <v>#N/A</v>
      </c>
      <c r="C201" s="20" t="e">
        <f>VLOOKUP($A201,Scopus!$A$1:$D$62,5,FALSE)</f>
        <v>#N/A</v>
      </c>
      <c r="D201" s="20"/>
      <c r="E201" s="32"/>
      <c r="F201" s="32"/>
      <c r="G201" s="32"/>
      <c r="H201" s="32"/>
      <c r="I201" s="32"/>
      <c r="J201" s="32"/>
      <c r="K201" s="32"/>
      <c r="L201" s="32"/>
      <c r="M201" s="32"/>
    </row>
    <row r="202" spans="1:13">
      <c r="A202" s="23"/>
      <c r="B202" s="20" t="e">
        <f>VLOOKUP($A202,Scopus!$A$1:$D$62,2,FALSE)</f>
        <v>#N/A</v>
      </c>
      <c r="C202" s="20" t="e">
        <f>VLOOKUP($A202,Scopus!$A$1:$D$62,5,FALSE)</f>
        <v>#N/A</v>
      </c>
      <c r="D202" s="20"/>
      <c r="E202" s="32"/>
      <c r="F202" s="32"/>
      <c r="G202" s="32"/>
      <c r="H202" s="32"/>
      <c r="I202" s="32"/>
      <c r="J202" s="32"/>
      <c r="K202" s="32"/>
      <c r="L202" s="32"/>
      <c r="M202" s="32"/>
    </row>
    <row r="203" spans="1:13">
      <c r="A203" s="23"/>
      <c r="B203" s="20" t="e">
        <f>VLOOKUP($A203,Scopus!$A$1:$D$62,2,FALSE)</f>
        <v>#N/A</v>
      </c>
      <c r="C203" s="20" t="e">
        <f>VLOOKUP($A203,Scopus!$A$1:$D$62,5,FALSE)</f>
        <v>#N/A</v>
      </c>
      <c r="D203" s="20"/>
      <c r="E203" s="32"/>
      <c r="F203" s="32"/>
      <c r="G203" s="32"/>
      <c r="H203" s="32"/>
      <c r="I203" s="32"/>
      <c r="J203" s="32"/>
      <c r="K203" s="32"/>
      <c r="L203" s="32"/>
      <c r="M203" s="32"/>
    </row>
    <row r="204" spans="1:13">
      <c r="A204" s="23"/>
      <c r="B204" s="20" t="e">
        <f>VLOOKUP($A204,Scopus!$A$1:$D$62,2,FALSE)</f>
        <v>#N/A</v>
      </c>
      <c r="C204" s="20" t="e">
        <f>VLOOKUP($A204,Scopus!$A$1:$D$62,5,FALSE)</f>
        <v>#N/A</v>
      </c>
      <c r="D204" s="20"/>
      <c r="E204" s="32"/>
      <c r="F204" s="32"/>
      <c r="G204" s="32"/>
      <c r="H204" s="32"/>
      <c r="I204" s="32"/>
      <c r="J204" s="32"/>
      <c r="K204" s="32"/>
      <c r="L204" s="32"/>
      <c r="M204" s="32"/>
    </row>
    <row r="205" spans="1:13">
      <c r="A205" s="23"/>
      <c r="B205" s="20" t="e">
        <f>VLOOKUP($A205,Scopus!$A$1:$D$62,2,FALSE)</f>
        <v>#N/A</v>
      </c>
      <c r="C205" s="20" t="e">
        <f>VLOOKUP($A205,Scopus!$A$1:$D$62,5,FALSE)</f>
        <v>#N/A</v>
      </c>
      <c r="D205" s="20"/>
      <c r="E205" s="32"/>
      <c r="F205" s="32"/>
      <c r="G205" s="32"/>
      <c r="H205" s="32"/>
      <c r="I205" s="32"/>
      <c r="J205" s="32"/>
      <c r="K205" s="32"/>
      <c r="L205" s="32"/>
      <c r="M205" s="32"/>
    </row>
    <row r="206" spans="1:13">
      <c r="A206" s="23"/>
      <c r="B206" s="20" t="e">
        <f>VLOOKUP($A206,Scopus!$A$1:$D$62,2,FALSE)</f>
        <v>#N/A</v>
      </c>
      <c r="C206" s="20" t="e">
        <f>VLOOKUP($A206,Scopus!$A$1:$D$62,5,FALSE)</f>
        <v>#N/A</v>
      </c>
      <c r="D206" s="20"/>
      <c r="E206" s="35"/>
      <c r="F206" s="35"/>
      <c r="G206" s="35"/>
      <c r="H206" s="35"/>
      <c r="I206" s="35"/>
      <c r="J206" s="35"/>
      <c r="K206" s="35"/>
      <c r="L206" s="35"/>
      <c r="M206" s="35"/>
    </row>
    <row r="207" spans="1:13">
      <c r="A207" s="23"/>
      <c r="B207" s="20" t="e">
        <f>VLOOKUP($A207,Scopus!$A$1:$D$62,2,FALSE)</f>
        <v>#N/A</v>
      </c>
      <c r="C207" s="20" t="e">
        <f>VLOOKUP($A207,Scopus!$A$1:$D$62,5,FALSE)</f>
        <v>#N/A</v>
      </c>
      <c r="D207" s="20"/>
      <c r="E207" s="35"/>
      <c r="F207" s="35"/>
      <c r="G207" s="35"/>
      <c r="H207" s="35"/>
      <c r="I207" s="35"/>
      <c r="J207" s="35"/>
      <c r="K207" s="35"/>
      <c r="L207" s="35"/>
      <c r="M207" s="35"/>
    </row>
    <row r="208" spans="1:13">
      <c r="A208" s="23"/>
      <c r="B208" s="20" t="e">
        <f>VLOOKUP($A208,Scopus!$A$1:$D$62,2,FALSE)</f>
        <v>#N/A</v>
      </c>
      <c r="C208" s="20" t="e">
        <f>VLOOKUP($A208,Scopus!$A$1:$D$62,5,FALSE)</f>
        <v>#N/A</v>
      </c>
      <c r="D208" s="20"/>
      <c r="E208" s="35"/>
      <c r="F208" s="35"/>
      <c r="G208" s="35"/>
      <c r="H208" s="35"/>
      <c r="I208" s="35"/>
      <c r="J208" s="35"/>
      <c r="K208" s="35"/>
      <c r="L208" s="35"/>
      <c r="M208" s="35"/>
    </row>
    <row r="209" spans="1:13">
      <c r="A209" s="23"/>
      <c r="B209" s="20" t="e">
        <f>VLOOKUP($A209,Scopus!$A$1:$D$62,2,FALSE)</f>
        <v>#N/A</v>
      </c>
      <c r="C209" s="20" t="e">
        <f>VLOOKUP($A209,Scopus!$A$1:$D$62,5,FALSE)</f>
        <v>#N/A</v>
      </c>
      <c r="D209" s="20"/>
      <c r="E209" s="35"/>
      <c r="F209" s="35"/>
      <c r="G209" s="35"/>
      <c r="H209" s="35"/>
      <c r="I209" s="35"/>
      <c r="J209" s="35"/>
      <c r="K209" s="35"/>
      <c r="L209" s="35"/>
      <c r="M209" s="35"/>
    </row>
    <row r="210" spans="1:13">
      <c r="A210" s="23"/>
      <c r="B210" s="20" t="e">
        <f>VLOOKUP($A210,Scopus!$A$1:$D$62,2,FALSE)</f>
        <v>#N/A</v>
      </c>
      <c r="C210" s="20" t="e">
        <f>VLOOKUP($A210,Scopus!$A$1:$D$62,5,FALSE)</f>
        <v>#N/A</v>
      </c>
      <c r="D210" s="20"/>
      <c r="E210" s="35"/>
      <c r="F210" s="35"/>
      <c r="G210" s="35"/>
      <c r="H210" s="35"/>
      <c r="I210" s="35"/>
      <c r="J210" s="35"/>
      <c r="K210" s="35"/>
      <c r="L210" s="35"/>
      <c r="M210" s="35"/>
    </row>
    <row r="211" spans="1:13">
      <c r="A211" s="23"/>
      <c r="B211" s="20" t="e">
        <f>VLOOKUP($A211,Scopus!$A$1:$D$62,2,FALSE)</f>
        <v>#N/A</v>
      </c>
      <c r="C211" s="20" t="e">
        <f>VLOOKUP($A211,Scopus!$A$1:$D$62,5,FALSE)</f>
        <v>#N/A</v>
      </c>
      <c r="D211" s="20"/>
      <c r="E211" s="35"/>
      <c r="F211" s="35"/>
      <c r="G211" s="35"/>
      <c r="H211" s="35"/>
      <c r="I211" s="35"/>
      <c r="J211" s="35"/>
      <c r="K211" s="35"/>
      <c r="L211" s="35"/>
      <c r="M211" s="35"/>
    </row>
    <row r="212" spans="1:13">
      <c r="A212" s="23"/>
      <c r="B212" s="20" t="e">
        <f>VLOOKUP($A212,Scopus!$A$1:$D$62,2,FALSE)</f>
        <v>#N/A</v>
      </c>
      <c r="C212" s="20" t="e">
        <f>VLOOKUP($A212,Scopus!$A$1:$D$62,5,FALSE)</f>
        <v>#N/A</v>
      </c>
      <c r="D212" s="20"/>
      <c r="E212" s="35"/>
      <c r="F212" s="35"/>
      <c r="G212" s="35"/>
      <c r="H212" s="35"/>
      <c r="I212" s="35"/>
      <c r="J212" s="35"/>
      <c r="K212" s="35"/>
      <c r="L212" s="35"/>
      <c r="M212" s="35"/>
    </row>
    <row r="213" spans="1:13">
      <c r="A213" s="23"/>
      <c r="B213" s="20" t="e">
        <f>VLOOKUP($A213,Scopus!$A$1:$D$62,2,FALSE)</f>
        <v>#N/A</v>
      </c>
      <c r="C213" s="20" t="e">
        <f>VLOOKUP($A213,Scopus!$A$1:$D$62,5,FALSE)</f>
        <v>#N/A</v>
      </c>
      <c r="D213" s="20"/>
      <c r="E213" s="35"/>
      <c r="F213" s="35"/>
      <c r="G213" s="35"/>
      <c r="H213" s="35"/>
      <c r="I213" s="35"/>
      <c r="J213" s="35"/>
      <c r="K213" s="35"/>
      <c r="L213" s="35"/>
      <c r="M213" s="35"/>
    </row>
    <row r="214" spans="1:13">
      <c r="A214" s="23"/>
      <c r="B214" s="20" t="e">
        <f>VLOOKUP($A214,Scopus!$A$1:$D$62,2,FALSE)</f>
        <v>#N/A</v>
      </c>
      <c r="C214" s="20" t="e">
        <f>VLOOKUP($A214,Scopus!$A$1:$D$62,5,FALSE)</f>
        <v>#N/A</v>
      </c>
      <c r="D214" s="20"/>
      <c r="E214" s="35"/>
      <c r="F214" s="35"/>
      <c r="G214" s="35"/>
      <c r="H214" s="35"/>
      <c r="I214" s="35"/>
      <c r="J214" s="35"/>
      <c r="K214" s="35"/>
      <c r="L214" s="35"/>
      <c r="M214" s="35"/>
    </row>
    <row r="215" spans="1:13">
      <c r="A215" s="23"/>
      <c r="B215" s="20" t="e">
        <f>VLOOKUP($A215,Scopus!$A$1:$D$62,2,FALSE)</f>
        <v>#N/A</v>
      </c>
      <c r="C215" s="20" t="e">
        <f>VLOOKUP($A215,Scopus!$A$1:$D$62,5,FALSE)</f>
        <v>#N/A</v>
      </c>
      <c r="D215" s="20"/>
      <c r="E215" s="35"/>
      <c r="F215" s="35"/>
      <c r="G215" s="35"/>
      <c r="H215" s="35"/>
      <c r="I215" s="35"/>
      <c r="J215" s="35"/>
      <c r="K215" s="35"/>
      <c r="L215" s="35"/>
      <c r="M215" s="35"/>
    </row>
    <row r="216" spans="1:13">
      <c r="A216" s="23"/>
      <c r="B216" s="20" t="e">
        <f>VLOOKUP($A216,Scopus!$A$1:$D$62,2,FALSE)</f>
        <v>#N/A</v>
      </c>
      <c r="C216" s="20" t="e">
        <f>VLOOKUP($A216,Scopus!$A$1:$D$62,5,FALSE)</f>
        <v>#N/A</v>
      </c>
      <c r="D216" s="20"/>
      <c r="E216" s="35"/>
      <c r="F216" s="35"/>
      <c r="G216" s="35"/>
      <c r="H216" s="35"/>
      <c r="I216" s="35"/>
      <c r="J216" s="35"/>
      <c r="K216" s="35"/>
      <c r="L216" s="35"/>
      <c r="M216" s="35"/>
    </row>
    <row r="217" spans="1:13">
      <c r="A217" s="23"/>
      <c r="B217" s="20" t="e">
        <f>VLOOKUP($A217,Scopus!$A$1:$D$62,2,FALSE)</f>
        <v>#N/A</v>
      </c>
      <c r="C217" s="20" t="e">
        <f>VLOOKUP($A217,Scopus!$A$1:$D$62,5,FALSE)</f>
        <v>#N/A</v>
      </c>
      <c r="D217" s="20"/>
      <c r="E217" s="35"/>
      <c r="F217" s="35"/>
      <c r="G217" s="35"/>
      <c r="H217" s="35"/>
      <c r="I217" s="35"/>
      <c r="J217" s="35"/>
      <c r="K217" s="35"/>
      <c r="L217" s="35"/>
      <c r="M217" s="35"/>
    </row>
    <row r="218" spans="1:13">
      <c r="A218" s="23"/>
      <c r="B218" s="20" t="e">
        <f>VLOOKUP($A218,Scopus!$A$1:$D$62,2,FALSE)</f>
        <v>#N/A</v>
      </c>
      <c r="C218" s="20" t="e">
        <f>VLOOKUP($A218,Scopus!$A$1:$D$62,5,FALSE)</f>
        <v>#N/A</v>
      </c>
      <c r="D218" s="20"/>
      <c r="E218" s="35"/>
      <c r="F218" s="35"/>
      <c r="G218" s="35"/>
      <c r="H218" s="35"/>
      <c r="I218" s="35"/>
      <c r="J218" s="35"/>
      <c r="K218" s="35"/>
      <c r="L218" s="35"/>
      <c r="M218" s="35"/>
    </row>
    <row r="219" spans="1:13">
      <c r="A219" s="23"/>
      <c r="B219" s="20" t="e">
        <f>VLOOKUP($A219,Scopus!$A$1:$D$62,2,FALSE)</f>
        <v>#N/A</v>
      </c>
      <c r="C219" s="20" t="e">
        <f>VLOOKUP($A219,Scopus!$A$1:$D$62,5,FALSE)</f>
        <v>#N/A</v>
      </c>
      <c r="D219" s="20"/>
      <c r="E219" s="35"/>
      <c r="F219" s="35"/>
      <c r="G219" s="35"/>
      <c r="H219" s="35"/>
      <c r="I219" s="35"/>
      <c r="J219" s="35"/>
      <c r="K219" s="35"/>
      <c r="L219" s="35"/>
      <c r="M219" s="35"/>
    </row>
    <row r="220" spans="1:13">
      <c r="A220" s="23"/>
      <c r="B220" s="20" t="e">
        <f>VLOOKUP($A220,Scopus!$A$1:$D$62,2,FALSE)</f>
        <v>#N/A</v>
      </c>
      <c r="C220" s="20" t="e">
        <f>VLOOKUP($A220,Scopus!$A$1:$D$62,5,FALSE)</f>
        <v>#N/A</v>
      </c>
      <c r="D220" s="20"/>
      <c r="E220" s="35"/>
      <c r="F220" s="35"/>
      <c r="G220" s="35"/>
      <c r="H220" s="35"/>
      <c r="I220" s="35"/>
      <c r="J220" s="35"/>
      <c r="K220" s="35"/>
      <c r="L220" s="35"/>
      <c r="M220" s="35"/>
    </row>
    <row r="221" spans="1:13">
      <c r="A221" s="23"/>
      <c r="B221" s="20" t="e">
        <f>VLOOKUP($A221,Scopus!$A$1:$D$62,2,FALSE)</f>
        <v>#N/A</v>
      </c>
      <c r="C221" s="20" t="e">
        <f>VLOOKUP($A221,Scopus!$A$1:$D$62,5,FALSE)</f>
        <v>#N/A</v>
      </c>
      <c r="D221" s="20"/>
      <c r="E221" s="35"/>
      <c r="F221" s="35"/>
      <c r="G221" s="35"/>
      <c r="H221" s="35"/>
      <c r="I221" s="35"/>
      <c r="J221" s="35"/>
      <c r="K221" s="35"/>
      <c r="L221" s="35"/>
      <c r="M221" s="35"/>
    </row>
    <row r="222" spans="1:13">
      <c r="A222" s="23"/>
      <c r="B222" s="20" t="e">
        <f>VLOOKUP($A222,Scopus!$A$1:$D$62,2,FALSE)</f>
        <v>#N/A</v>
      </c>
      <c r="C222" s="20" t="e">
        <f>VLOOKUP($A222,Scopus!$A$1:$D$62,5,FALSE)</f>
        <v>#N/A</v>
      </c>
      <c r="D222" s="20"/>
      <c r="E222" s="35"/>
      <c r="F222" s="35"/>
      <c r="G222" s="35"/>
      <c r="H222" s="35"/>
      <c r="I222" s="35"/>
      <c r="J222" s="35"/>
      <c r="K222" s="35"/>
      <c r="L222" s="35"/>
      <c r="M222" s="35"/>
    </row>
    <row r="223" spans="1:13">
      <c r="A223" s="23"/>
      <c r="B223" s="20" t="e">
        <f>VLOOKUP($A223,Scopus!$A$1:$D$62,2,FALSE)</f>
        <v>#N/A</v>
      </c>
      <c r="C223" s="20" t="e">
        <f>VLOOKUP($A223,Scopus!$A$1:$D$62,5,FALSE)</f>
        <v>#N/A</v>
      </c>
      <c r="D223" s="20"/>
      <c r="E223" s="35"/>
      <c r="F223" s="35"/>
      <c r="G223" s="35"/>
      <c r="H223" s="35"/>
      <c r="I223" s="35"/>
      <c r="J223" s="35"/>
      <c r="K223" s="35"/>
      <c r="L223" s="35"/>
      <c r="M223" s="35"/>
    </row>
    <row r="224" spans="1:13">
      <c r="A224" s="23"/>
      <c r="B224" s="20" t="e">
        <f>VLOOKUP($A224,Scopus!$A$1:$D$62,2,FALSE)</f>
        <v>#N/A</v>
      </c>
      <c r="C224" s="20" t="e">
        <f>VLOOKUP($A224,Scopus!$A$1:$D$62,5,FALSE)</f>
        <v>#N/A</v>
      </c>
      <c r="D224" s="20"/>
      <c r="E224" s="35"/>
      <c r="F224" s="35"/>
      <c r="G224" s="35"/>
      <c r="H224" s="35"/>
      <c r="I224" s="35"/>
      <c r="J224" s="35"/>
      <c r="K224" s="35"/>
      <c r="L224" s="35"/>
      <c r="M224" s="35"/>
    </row>
    <row r="225" spans="1:13">
      <c r="A225" s="23"/>
      <c r="B225" s="20" t="e">
        <f>VLOOKUP($A225,Scopus!$A$1:$D$62,2,FALSE)</f>
        <v>#N/A</v>
      </c>
      <c r="C225" s="20" t="e">
        <f>VLOOKUP($A225,Scopus!$A$1:$D$62,5,FALSE)</f>
        <v>#N/A</v>
      </c>
      <c r="D225" s="20"/>
      <c r="E225" s="35"/>
      <c r="F225" s="35"/>
      <c r="G225" s="35"/>
      <c r="H225" s="35"/>
      <c r="I225" s="35"/>
      <c r="J225" s="35"/>
      <c r="K225" s="35"/>
      <c r="L225" s="35"/>
      <c r="M225" s="35"/>
    </row>
    <row r="226" spans="1:13">
      <c r="A226" s="23"/>
      <c r="B226" s="20" t="e">
        <f>VLOOKUP($A226,Scopus!$A$1:$D$62,2,FALSE)</f>
        <v>#N/A</v>
      </c>
      <c r="C226" s="20" t="e">
        <f>VLOOKUP($A226,Scopus!$A$1:$D$62,5,FALSE)</f>
        <v>#N/A</v>
      </c>
      <c r="D226" s="20"/>
      <c r="E226" s="35"/>
      <c r="F226" s="35"/>
      <c r="G226" s="35"/>
      <c r="H226" s="35"/>
      <c r="I226" s="35"/>
      <c r="J226" s="35"/>
      <c r="K226" s="35"/>
      <c r="L226" s="35"/>
      <c r="M226" s="35"/>
    </row>
    <row r="227" spans="1:13">
      <c r="A227" s="23"/>
      <c r="B227" s="20" t="e">
        <f>VLOOKUP($A227,Scopus!$A$1:$D$62,2,FALSE)</f>
        <v>#N/A</v>
      </c>
      <c r="C227" s="20" t="e">
        <f>VLOOKUP($A227,Scopus!$A$1:$D$62,5,FALSE)</f>
        <v>#N/A</v>
      </c>
      <c r="D227" s="20"/>
      <c r="E227" s="35"/>
      <c r="F227" s="35"/>
      <c r="G227" s="35"/>
      <c r="H227" s="35"/>
      <c r="I227" s="35"/>
      <c r="J227" s="35"/>
      <c r="K227" s="35"/>
      <c r="L227" s="35"/>
      <c r="M227" s="35"/>
    </row>
    <row r="228" spans="1:13">
      <c r="A228" s="23"/>
      <c r="B228" s="20" t="e">
        <f>VLOOKUP($A228,Scopus!$A$1:$D$62,2,FALSE)</f>
        <v>#N/A</v>
      </c>
      <c r="C228" s="20" t="e">
        <f>VLOOKUP($A228,Scopus!$A$1:$D$62,5,FALSE)</f>
        <v>#N/A</v>
      </c>
      <c r="D228" s="20"/>
      <c r="E228" s="35"/>
      <c r="F228" s="35"/>
      <c r="G228" s="35"/>
      <c r="H228" s="35"/>
      <c r="I228" s="35"/>
      <c r="J228" s="35"/>
      <c r="K228" s="35"/>
      <c r="L228" s="35"/>
      <c r="M228" s="35"/>
    </row>
    <row r="229" spans="1:13">
      <c r="A229" s="23"/>
      <c r="B229" s="20" t="e">
        <f>VLOOKUP($A229,Scopus!$A$1:$D$62,2,FALSE)</f>
        <v>#N/A</v>
      </c>
      <c r="C229" s="20" t="e">
        <f>VLOOKUP($A229,Scopus!$A$1:$D$62,5,FALSE)</f>
        <v>#N/A</v>
      </c>
      <c r="D229" s="20"/>
      <c r="E229" s="35"/>
      <c r="F229" s="35"/>
      <c r="G229" s="35"/>
      <c r="H229" s="35"/>
      <c r="I229" s="35"/>
      <c r="J229" s="35"/>
      <c r="K229" s="35"/>
      <c r="L229" s="35"/>
      <c r="M229" s="35"/>
    </row>
    <row r="230" spans="1:13">
      <c r="A230" s="23"/>
      <c r="B230" s="20" t="e">
        <f>VLOOKUP($A230,Scopus!$A$1:$D$62,2,FALSE)</f>
        <v>#N/A</v>
      </c>
      <c r="C230" s="20" t="e">
        <f>VLOOKUP($A230,Scopus!$A$1:$D$62,5,FALSE)</f>
        <v>#N/A</v>
      </c>
      <c r="D230" s="20"/>
      <c r="E230" s="35"/>
      <c r="F230" s="35"/>
      <c r="G230" s="35"/>
      <c r="H230" s="35"/>
      <c r="I230" s="35"/>
      <c r="J230" s="35"/>
      <c r="K230" s="35"/>
      <c r="L230" s="35"/>
      <c r="M230" s="35"/>
    </row>
    <row r="231" spans="1:13">
      <c r="A231" s="23"/>
      <c r="B231" s="20" t="e">
        <f>VLOOKUP($A231,Scopus!$A$1:$D$62,2,FALSE)</f>
        <v>#N/A</v>
      </c>
      <c r="C231" s="20" t="e">
        <f>VLOOKUP($A231,Scopus!$A$1:$D$62,5,FALSE)</f>
        <v>#N/A</v>
      </c>
      <c r="D231" s="20"/>
      <c r="E231" s="35"/>
      <c r="F231" s="35"/>
      <c r="G231" s="35"/>
      <c r="H231" s="35"/>
      <c r="I231" s="35"/>
      <c r="J231" s="35"/>
      <c r="K231" s="35"/>
      <c r="L231" s="35"/>
      <c r="M231" s="35"/>
    </row>
    <row r="232" spans="1:13">
      <c r="A232" s="23"/>
      <c r="B232" s="20" t="e">
        <f>VLOOKUP($A232,Scopus!$A$1:$D$62,2,FALSE)</f>
        <v>#N/A</v>
      </c>
      <c r="C232" s="20" t="e">
        <f>VLOOKUP($A232,Scopus!$A$1:$D$62,5,FALSE)</f>
        <v>#N/A</v>
      </c>
      <c r="D232" s="20"/>
      <c r="E232" s="32"/>
      <c r="F232" s="32"/>
      <c r="G232" s="32"/>
      <c r="H232" s="32"/>
      <c r="I232" s="32"/>
      <c r="J232" s="32"/>
      <c r="K232" s="32"/>
      <c r="L232" s="32"/>
      <c r="M232" s="32"/>
    </row>
    <row r="233" spans="1:13">
      <c r="K233" s="1"/>
    </row>
    <row r="234" spans="1:13">
      <c r="K234" s="1"/>
    </row>
    <row r="235" spans="1:13">
      <c r="K235" s="1"/>
    </row>
    <row r="236" spans="1:13">
      <c r="K236" s="1"/>
    </row>
    <row r="237" spans="1:13">
      <c r="K237" s="1"/>
    </row>
    <row r="238" spans="1:13">
      <c r="K238" s="1"/>
    </row>
    <row r="239" spans="1:13">
      <c r="K239" s="1"/>
    </row>
    <row r="240" spans="1:13">
      <c r="K240" s="1"/>
    </row>
    <row r="241" spans="11:11">
      <c r="K241" s="1"/>
    </row>
    <row r="242" spans="11:11">
      <c r="K242" s="1"/>
    </row>
    <row r="243" spans="11:11">
      <c r="K243" s="1"/>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2DFB-BD53-4C7E-9E0A-6D8884830E4F}">
  <sheetPr>
    <tabColor theme="7" tint="0.59999389629810485"/>
  </sheetPr>
  <dimension ref="A1:BJ101"/>
  <sheetViews>
    <sheetView zoomScaleNormal="100" workbookViewId="0">
      <selection activeCell="B10" sqref="B10"/>
    </sheetView>
  </sheetViews>
  <sheetFormatPr defaultRowHeight="14.5"/>
  <cols>
    <col min="1" max="1" width="5.6328125" style="85" customWidth="1"/>
    <col min="2" max="4" width="55.6328125" customWidth="1"/>
    <col min="5" max="30" width="2.6328125" customWidth="1"/>
    <col min="33" max="33" width="8.6328125" customWidth="1"/>
    <col min="34" max="57" width="2.6328125" style="81" customWidth="1"/>
    <col min="58" max="59" width="2.6328125" customWidth="1"/>
  </cols>
  <sheetData>
    <row r="1" spans="1:62" ht="72.5">
      <c r="A1" s="82" t="s">
        <v>3271</v>
      </c>
      <c r="B1" s="66" t="s">
        <v>3272</v>
      </c>
      <c r="C1" s="67" t="s">
        <v>3273</v>
      </c>
      <c r="D1" s="68"/>
      <c r="E1" s="60" t="s">
        <v>3274</v>
      </c>
      <c r="F1" s="60"/>
      <c r="G1" s="60"/>
      <c r="H1" s="61" t="str">
        <f>E1</f>
        <v>keyword 1</v>
      </c>
      <c r="I1" s="62" t="s">
        <v>3275</v>
      </c>
      <c r="J1" s="63"/>
      <c r="K1" s="63"/>
      <c r="L1" s="61" t="str">
        <f>I1</f>
        <v>keyword 2</v>
      </c>
      <c r="M1" s="62" t="s">
        <v>3276</v>
      </c>
      <c r="N1" s="63"/>
      <c r="O1" s="63"/>
      <c r="P1" s="61" t="str">
        <f>M1</f>
        <v>keyword 3</v>
      </c>
      <c r="Q1" s="64" t="s">
        <v>3277</v>
      </c>
      <c r="R1" s="60"/>
      <c r="S1" s="60"/>
      <c r="T1" s="61" t="str">
        <f>Q1</f>
        <v>keyword 4</v>
      </c>
      <c r="U1" s="62" t="s">
        <v>3278</v>
      </c>
      <c r="V1" s="63"/>
      <c r="W1" s="63"/>
      <c r="X1" s="61" t="str">
        <f>U1</f>
        <v>keyword 5</v>
      </c>
      <c r="Y1" s="62" t="s">
        <v>3279</v>
      </c>
      <c r="Z1" s="63"/>
      <c r="AA1" s="63"/>
      <c r="AB1" s="65" t="str">
        <f>Y1</f>
        <v>keyword 6</v>
      </c>
      <c r="AC1" s="69" t="s">
        <v>3280</v>
      </c>
      <c r="AD1" s="70" t="s">
        <v>3281</v>
      </c>
      <c r="AE1" s="71" t="s">
        <v>3282</v>
      </c>
      <c r="AF1" s="72" t="s">
        <v>3282</v>
      </c>
      <c r="AG1" s="72" t="s">
        <v>3282</v>
      </c>
      <c r="AH1" s="60" t="s">
        <v>3274</v>
      </c>
      <c r="AI1" s="60"/>
      <c r="AJ1" s="60"/>
      <c r="AK1" s="61" t="str">
        <f>AH1</f>
        <v>keyword 1</v>
      </c>
      <c r="AL1" s="62" t="s">
        <v>3275</v>
      </c>
      <c r="AM1" s="63"/>
      <c r="AN1" s="63"/>
      <c r="AO1" s="61" t="str">
        <f>AL1</f>
        <v>keyword 2</v>
      </c>
      <c r="AP1" s="62" t="s">
        <v>3276</v>
      </c>
      <c r="AQ1" s="63"/>
      <c r="AR1" s="63"/>
      <c r="AS1" s="61" t="str">
        <f>AP1</f>
        <v>keyword 3</v>
      </c>
      <c r="AT1" s="64" t="s">
        <v>3277</v>
      </c>
      <c r="AU1" s="60"/>
      <c r="AV1" s="60"/>
      <c r="AW1" s="61" t="str">
        <f>AT1</f>
        <v>keyword 4</v>
      </c>
      <c r="AX1" s="62" t="s">
        <v>3278</v>
      </c>
      <c r="AY1" s="63"/>
      <c r="AZ1" s="63"/>
      <c r="BA1" s="61" t="str">
        <f>AX1</f>
        <v>keyword 5</v>
      </c>
      <c r="BB1" s="62" t="s">
        <v>3279</v>
      </c>
      <c r="BC1" s="63"/>
      <c r="BD1" s="63"/>
      <c r="BE1" s="65" t="str">
        <f>BB1</f>
        <v>keyword 6</v>
      </c>
      <c r="BF1" s="69" t="s">
        <v>3280</v>
      </c>
      <c r="BG1" s="70" t="s">
        <v>3281</v>
      </c>
      <c r="BH1" s="71" t="s">
        <v>3282</v>
      </c>
      <c r="BI1" s="72" t="s">
        <v>3282</v>
      </c>
      <c r="BJ1" s="72" t="s">
        <v>3282</v>
      </c>
    </row>
    <row r="2" spans="1:62">
      <c r="A2" s="83">
        <v>1</v>
      </c>
      <c r="B2" s="50" t="s">
        <v>3283</v>
      </c>
      <c r="C2" s="51" t="s">
        <v>3284</v>
      </c>
      <c r="D2" s="51" t="s">
        <v>3285</v>
      </c>
      <c r="E2" s="52">
        <f>(LEN($B2)-LEN(SUBSTITUTE(UPPER($B2),UPPER(E$1),"")))/LEN(E$1)</f>
        <v>1</v>
      </c>
      <c r="F2" s="52">
        <f>(LEN($C2)-LEN(SUBSTITUTE(UPPER($C2),UPPER(E$1),"")))/LEN(E$1)</f>
        <v>0</v>
      </c>
      <c r="G2" s="52">
        <f>(LEN($D2)-LEN(SUBSTITUTE(UPPER($D2),UPPER(E$1),"")))/LEN(E$1)</f>
        <v>0</v>
      </c>
      <c r="H2" s="53">
        <f>SUM(E2:G2)</f>
        <v>1</v>
      </c>
      <c r="I2" s="52">
        <f>(LEN($B2)-LEN(SUBSTITUTE(UPPER($B2),UPPER(I$1),"")))/LEN(I$1)</f>
        <v>0</v>
      </c>
      <c r="J2" s="52">
        <f>(LEN($C2)-LEN(SUBSTITUTE(UPPER($C2),UPPER(I$1),"")))/LEN(I$1)</f>
        <v>1</v>
      </c>
      <c r="K2" s="52">
        <f>(LEN($D2)-LEN(SUBSTITUTE(UPPER($D2),UPPER(I$1),"")))/LEN(I$1)</f>
        <v>0</v>
      </c>
      <c r="L2" s="53">
        <f t="shared" ref="L2:L61" si="0">SUM(I2:K2)</f>
        <v>1</v>
      </c>
      <c r="M2" s="52">
        <f>(LEN($B2)-LEN(SUBSTITUTE(UPPER($B2),UPPER(M$1),"")))/LEN(M$1)</f>
        <v>0</v>
      </c>
      <c r="N2" s="52">
        <f>(LEN($C2)-LEN(SUBSTITUTE(UPPER($C2),UPPER(M$1),"")))/LEN(M$1)</f>
        <v>0</v>
      </c>
      <c r="O2" s="52">
        <f>(LEN($D2)-LEN(SUBSTITUTE(UPPER($D2),UPPER(M$1),"")))/LEN(M$1)</f>
        <v>0</v>
      </c>
      <c r="P2" s="53">
        <f t="shared" ref="P2:P61" si="1">SUM(M2:O2)</f>
        <v>0</v>
      </c>
      <c r="Q2" s="54">
        <f>(LEN($B2)-LEN(SUBSTITUTE(UPPER($B2),UPPER(Q$1),"")))/LEN(Q$1)</f>
        <v>0</v>
      </c>
      <c r="R2" s="52">
        <f>(LEN($C2)-LEN(SUBSTITUTE(UPPER($C2),UPPER(Q$1),"")))/LEN(Q$1)</f>
        <v>0</v>
      </c>
      <c r="S2" s="52">
        <f>(LEN($D2)-LEN(SUBSTITUTE(UPPER($D2),UPPER(Q$1),"")))/LEN(Q$1)</f>
        <v>0</v>
      </c>
      <c r="T2" s="53">
        <f>SUM(Q2:S2)</f>
        <v>0</v>
      </c>
      <c r="U2" s="52">
        <f>(LEN($B2)-LEN(SUBSTITUTE(UPPER($B2),UPPER(U$1),"")))/LEN(U$1)</f>
        <v>0</v>
      </c>
      <c r="V2" s="52">
        <f>(LEN($C2)-LEN(SUBSTITUTE(UPPER($C2),UPPER(U$1),"")))/LEN(U$1)</f>
        <v>0</v>
      </c>
      <c r="W2" s="52">
        <f>(LEN($D2)-LEN(SUBSTITUTE(UPPER($D2),UPPER(U$1),"")))/LEN(U$1)</f>
        <v>0</v>
      </c>
      <c r="X2" s="53">
        <f t="shared" ref="X2:X61" si="2">SUM(U2:W2)</f>
        <v>0</v>
      </c>
      <c r="Y2" s="52">
        <f>(LEN($B2)-LEN(SUBSTITUTE(UPPER($B2),UPPER(Y$1),"")))/LEN(Y$1)</f>
        <v>0</v>
      </c>
      <c r="Z2" s="52">
        <f>(LEN($C2)-LEN(SUBSTITUTE(UPPER($C2),UPPER(Y$1),"")))/LEN(Y$1)</f>
        <v>0</v>
      </c>
      <c r="AA2" s="52">
        <f>(LEN($D2)-LEN(SUBSTITUTE(UPPER($D2),UPPER(Y$1),"")))/LEN(Y$1)</f>
        <v>0</v>
      </c>
      <c r="AB2" s="55">
        <f t="shared" ref="AB2:AB61" si="3">SUM(Y2:AA2)</f>
        <v>0</v>
      </c>
      <c r="AC2" s="56">
        <f>H2+L2+P2+T2+X2+AB2</f>
        <v>2</v>
      </c>
      <c r="AD2" s="57">
        <f>IF((AC2)&gt;0,1,0)</f>
        <v>1</v>
      </c>
      <c r="AE2" s="58"/>
      <c r="AF2" s="59"/>
      <c r="AG2" s="59"/>
      <c r="AH2" s="73">
        <f>(LEN($B2)-LEN(SUBSTITUTE(UPPER($B2),UPPER(AH$1),"")))/LEN(AH$1)</f>
        <v>1</v>
      </c>
      <c r="AI2" s="73">
        <f>(LEN($C2)-LEN(SUBSTITUTE(UPPER($C2),UPPER(AH$1),"")))/LEN(AH$1)</f>
        <v>0</v>
      </c>
      <c r="AJ2" s="73">
        <f>(LEN($D2)-LEN(SUBSTITUTE(UPPER($D2),UPPER(AH$1),"")))/LEN(AH$1)</f>
        <v>0</v>
      </c>
      <c r="AK2" s="74">
        <f>SUM(AH2:AJ2)</f>
        <v>1</v>
      </c>
      <c r="AL2" s="73">
        <f>(LEN($B2)-LEN(SUBSTITUTE(UPPER($B2),UPPER(AL$1),"")))/LEN(AL$1)</f>
        <v>0</v>
      </c>
      <c r="AM2" s="73">
        <f>(LEN($C2)-LEN(SUBSTITUTE(UPPER($C2),UPPER(AL$1),"")))/LEN(AL$1)</f>
        <v>1</v>
      </c>
      <c r="AN2" s="73">
        <f>(LEN($D2)-LEN(SUBSTITUTE(UPPER($D2),UPPER(AL$1),"")))/LEN(AL$1)</f>
        <v>0</v>
      </c>
      <c r="AO2" s="74">
        <f t="shared" ref="AO2:AO61" si="4">SUM(AL2:AN2)</f>
        <v>1</v>
      </c>
      <c r="AP2" s="73">
        <f>(LEN($B2)-LEN(SUBSTITUTE(UPPER($B2),UPPER(AP$1),"")))/LEN(AP$1)</f>
        <v>0</v>
      </c>
      <c r="AQ2" s="73">
        <f>(LEN($C2)-LEN(SUBSTITUTE(UPPER($C2),UPPER(AP$1),"")))/LEN(AP$1)</f>
        <v>0</v>
      </c>
      <c r="AR2" s="73">
        <f>(LEN($D2)-LEN(SUBSTITUTE(UPPER($D2),UPPER(AP$1),"")))/LEN(AP$1)</f>
        <v>0</v>
      </c>
      <c r="AS2" s="74">
        <f t="shared" ref="AS2:AS61" si="5">SUM(AP2:AR2)</f>
        <v>0</v>
      </c>
      <c r="AT2" s="75">
        <f>(LEN($B2)-LEN(SUBSTITUTE(UPPER($B2),UPPER(AT$1),"")))/LEN(AT$1)</f>
        <v>0</v>
      </c>
      <c r="AU2" s="73">
        <f>(LEN($C2)-LEN(SUBSTITUTE(UPPER($C2),UPPER(AT$1),"")))/LEN(AT$1)</f>
        <v>0</v>
      </c>
      <c r="AV2" s="73">
        <f>(LEN($D2)-LEN(SUBSTITUTE(UPPER($D2),UPPER(AT$1),"")))/LEN(AT$1)</f>
        <v>0</v>
      </c>
      <c r="AW2" s="74">
        <f>SUM(AT2:AV2)</f>
        <v>0</v>
      </c>
      <c r="AX2" s="73">
        <f>(LEN($B2)-LEN(SUBSTITUTE(UPPER($B2),UPPER(AX$1),"")))/LEN(AX$1)</f>
        <v>0</v>
      </c>
      <c r="AY2" s="73">
        <f>(LEN($C2)-LEN(SUBSTITUTE(UPPER($C2),UPPER(AX$1),"")))/LEN(AX$1)</f>
        <v>0</v>
      </c>
      <c r="AZ2" s="73">
        <f>(LEN($D2)-LEN(SUBSTITUTE(UPPER($D2),UPPER(AX$1),"")))/LEN(AX$1)</f>
        <v>0</v>
      </c>
      <c r="BA2" s="74">
        <f t="shared" ref="BA2:BA61" si="6">SUM(AX2:AZ2)</f>
        <v>0</v>
      </c>
      <c r="BB2" s="73">
        <f>(LEN($B2)-LEN(SUBSTITUTE(UPPER($B2),UPPER(BB$1),"")))/LEN(BB$1)</f>
        <v>0</v>
      </c>
      <c r="BC2" s="73">
        <f>(LEN($C2)-LEN(SUBSTITUTE(UPPER($C2),UPPER(BB$1),"")))/LEN(BB$1)</f>
        <v>0</v>
      </c>
      <c r="BD2" s="73">
        <f>(LEN($D2)-LEN(SUBSTITUTE(UPPER($D2),UPPER(BB$1),"")))/LEN(BB$1)</f>
        <v>0</v>
      </c>
      <c r="BE2" s="76">
        <f t="shared" ref="BE2:BE61" si="7">SUM(BB2:BD2)</f>
        <v>0</v>
      </c>
      <c r="BF2" s="56">
        <f>AK2+AO2+AS2+AW2+BA2+BE2</f>
        <v>2</v>
      </c>
      <c r="BG2" s="57">
        <f>IF((BF2)&gt;0,1,0)</f>
        <v>1</v>
      </c>
      <c r="BH2" s="58"/>
      <c r="BI2" s="59"/>
      <c r="BJ2" s="59"/>
    </row>
    <row r="3" spans="1:62">
      <c r="A3" s="84">
        <v>2</v>
      </c>
      <c r="B3" s="39" t="s">
        <v>3286</v>
      </c>
      <c r="C3" s="38" t="s">
        <v>3287</v>
      </c>
      <c r="D3" s="38" t="s">
        <v>3288</v>
      </c>
      <c r="E3" s="40">
        <f t="shared" ref="E3:E66" si="8">(LEN($B3)-LEN(SUBSTITUTE(UPPER($B3),UPPER(E$1),"")))/LEN(E$1)</f>
        <v>0</v>
      </c>
      <c r="F3" s="40">
        <f t="shared" ref="F3:F61" si="9">(LEN($C3)-LEN(SUBSTITUTE(UPPER($C3),UPPER(E$1),"")))/LEN(E$1)</f>
        <v>0</v>
      </c>
      <c r="G3" s="40">
        <f t="shared" ref="G3:G61" si="10">(LEN($D3)-LEN(SUBSTITUTE(UPPER($D3),UPPER(E$1),"")))/LEN(E$1)</f>
        <v>1</v>
      </c>
      <c r="H3" s="41">
        <f>SUM(E3:G3)</f>
        <v>1</v>
      </c>
      <c r="I3" s="40">
        <f t="shared" ref="I3:I66" si="11">(LEN($B3)-LEN(SUBSTITUTE(UPPER($B3),UPPER(I$1),"")))/LEN(I$1)</f>
        <v>0</v>
      </c>
      <c r="J3" s="40">
        <f t="shared" ref="J3:J61" si="12">(LEN($C3)-LEN(SUBSTITUTE(UPPER($C3),UPPER(I$1),"")))/LEN(I$1)</f>
        <v>1</v>
      </c>
      <c r="K3" s="40">
        <f t="shared" ref="K3:K61" si="13">(LEN($D3)-LEN(SUBSTITUTE(UPPER($D3),UPPER(I$1),"")))/LEN(I$1)</f>
        <v>1</v>
      </c>
      <c r="L3" s="41">
        <f t="shared" si="0"/>
        <v>2</v>
      </c>
      <c r="M3" s="40">
        <f t="shared" ref="M3:M66" si="14">(LEN($B3)-LEN(SUBSTITUTE(UPPER($B3),UPPER(M$1),"")))/LEN(M$1)</f>
        <v>0</v>
      </c>
      <c r="N3" s="40">
        <f t="shared" ref="N3:N61" si="15">(LEN($C3)-LEN(SUBSTITUTE(UPPER($C3),UPPER(M$1),"")))/LEN(M$1)</f>
        <v>0</v>
      </c>
      <c r="O3" s="40">
        <f t="shared" ref="O3:O61" si="16">(LEN($D3)-LEN(SUBSTITUTE(UPPER($D3),UPPER(M$1),"")))/LEN(M$1)</f>
        <v>1</v>
      </c>
      <c r="P3" s="41">
        <f t="shared" si="1"/>
        <v>1</v>
      </c>
      <c r="Q3" s="42">
        <f t="shared" ref="Q3:Q66" si="17">(LEN($B3)-LEN(SUBSTITUTE(UPPER($B3),UPPER(Q$1),"")))/LEN(Q$1)</f>
        <v>0</v>
      </c>
      <c r="R3" s="40">
        <f t="shared" ref="R3:R61" si="18">(LEN($C3)-LEN(SUBSTITUTE(UPPER($C3),UPPER(Q$1),"")))/LEN(Q$1)</f>
        <v>0</v>
      </c>
      <c r="S3" s="40">
        <f t="shared" ref="S3:S61" si="19">(LEN($D3)-LEN(SUBSTITUTE(UPPER($D3),UPPER(Q$1),"")))/LEN(Q$1)</f>
        <v>0</v>
      </c>
      <c r="T3" s="41">
        <f>SUM(Q3:S3)</f>
        <v>0</v>
      </c>
      <c r="U3" s="40">
        <f t="shared" ref="U3:U66" si="20">(LEN($B3)-LEN(SUBSTITUTE(UPPER($B3),UPPER(U$1),"")))/LEN(U$1)</f>
        <v>0</v>
      </c>
      <c r="V3" s="40">
        <f t="shared" ref="V3:V61" si="21">(LEN($C3)-LEN(SUBSTITUTE(UPPER($C3),UPPER(U$1),"")))/LEN(U$1)</f>
        <v>0</v>
      </c>
      <c r="W3" s="40">
        <f t="shared" ref="W3:W61" si="22">(LEN($D3)-LEN(SUBSTITUTE(UPPER($D3),UPPER(U$1),"")))/LEN(U$1)</f>
        <v>0</v>
      </c>
      <c r="X3" s="41">
        <f t="shared" si="2"/>
        <v>0</v>
      </c>
      <c r="Y3" s="40">
        <f t="shared" ref="Y3:Y66" si="23">(LEN($B3)-LEN(SUBSTITUTE(UPPER($B3),UPPER(Y$1),"")))/LEN(Y$1)</f>
        <v>0</v>
      </c>
      <c r="Z3" s="40">
        <f t="shared" ref="Z3:Z61" si="24">(LEN($C3)-LEN(SUBSTITUTE(UPPER($C3),UPPER(Y$1),"")))/LEN(Y$1)</f>
        <v>0</v>
      </c>
      <c r="AA3" s="40">
        <f t="shared" ref="AA3:AA61" si="25">(LEN($D3)-LEN(SUBSTITUTE(UPPER($D3),UPPER(Y$1),"")))/LEN(Y$1)</f>
        <v>0</v>
      </c>
      <c r="AB3" s="43">
        <f t="shared" si="3"/>
        <v>0</v>
      </c>
      <c r="AC3" s="44">
        <f t="shared" ref="AC3:AC61" si="26">H3+L3+P3+T3+X3+AB3</f>
        <v>4</v>
      </c>
      <c r="AD3" s="45">
        <f t="shared" ref="AD3:AD61" si="27">IF((AC3)&gt;0,1,0)</f>
        <v>1</v>
      </c>
      <c r="AE3" s="46"/>
      <c r="AF3" s="47"/>
      <c r="AG3" s="47"/>
      <c r="AH3" s="77">
        <f t="shared" ref="AH3:AH66" si="28">(LEN($B3)-LEN(SUBSTITUTE(UPPER($B3),UPPER(AH$1),"")))/LEN(AH$1)</f>
        <v>0</v>
      </c>
      <c r="AI3" s="77">
        <f t="shared" ref="AI3:AI61" si="29">(LEN($C3)-LEN(SUBSTITUTE(UPPER($C3),UPPER(AH$1),"")))/LEN(AH$1)</f>
        <v>0</v>
      </c>
      <c r="AJ3" s="77">
        <f t="shared" ref="AJ3:AJ61" si="30">(LEN($D3)-LEN(SUBSTITUTE(UPPER($D3),UPPER(AH$1),"")))/LEN(AH$1)</f>
        <v>1</v>
      </c>
      <c r="AK3" s="78">
        <f>SUM(AH3:AJ3)</f>
        <v>1</v>
      </c>
      <c r="AL3" s="77">
        <f t="shared" ref="AL3:AL66" si="31">(LEN($B3)-LEN(SUBSTITUTE(UPPER($B3),UPPER(AL$1),"")))/LEN(AL$1)</f>
        <v>0</v>
      </c>
      <c r="AM3" s="77">
        <f t="shared" ref="AM3:AM61" si="32">(LEN($C3)-LEN(SUBSTITUTE(UPPER($C3),UPPER(AL$1),"")))/LEN(AL$1)</f>
        <v>1</v>
      </c>
      <c r="AN3" s="77">
        <f t="shared" ref="AN3:AN61" si="33">(LEN($D3)-LEN(SUBSTITUTE(UPPER($D3),UPPER(AL$1),"")))/LEN(AL$1)</f>
        <v>1</v>
      </c>
      <c r="AO3" s="78">
        <f t="shared" si="4"/>
        <v>2</v>
      </c>
      <c r="AP3" s="77">
        <f t="shared" ref="AP3:AP66" si="34">(LEN($B3)-LEN(SUBSTITUTE(UPPER($B3),UPPER(AP$1),"")))/LEN(AP$1)</f>
        <v>0</v>
      </c>
      <c r="AQ3" s="77">
        <f t="shared" ref="AQ3:AQ61" si="35">(LEN($C3)-LEN(SUBSTITUTE(UPPER($C3),UPPER(AP$1),"")))/LEN(AP$1)</f>
        <v>0</v>
      </c>
      <c r="AR3" s="77">
        <f t="shared" ref="AR3:AR61" si="36">(LEN($D3)-LEN(SUBSTITUTE(UPPER($D3),UPPER(AP$1),"")))/LEN(AP$1)</f>
        <v>1</v>
      </c>
      <c r="AS3" s="78">
        <f t="shared" si="5"/>
        <v>1</v>
      </c>
      <c r="AT3" s="79">
        <f t="shared" ref="AT3:AT66" si="37">(LEN($B3)-LEN(SUBSTITUTE(UPPER($B3),UPPER(AT$1),"")))/LEN(AT$1)</f>
        <v>0</v>
      </c>
      <c r="AU3" s="77">
        <f t="shared" ref="AU3:AU61" si="38">(LEN($C3)-LEN(SUBSTITUTE(UPPER($C3),UPPER(AT$1),"")))/LEN(AT$1)</f>
        <v>0</v>
      </c>
      <c r="AV3" s="77">
        <f t="shared" ref="AV3:AV61" si="39">(LEN($D3)-LEN(SUBSTITUTE(UPPER($D3),UPPER(AT$1),"")))/LEN(AT$1)</f>
        <v>0</v>
      </c>
      <c r="AW3" s="78">
        <f>SUM(AT3:AV3)</f>
        <v>0</v>
      </c>
      <c r="AX3" s="77">
        <f t="shared" ref="AX3:AX66" si="40">(LEN($B3)-LEN(SUBSTITUTE(UPPER($B3),UPPER(AX$1),"")))/LEN(AX$1)</f>
        <v>0</v>
      </c>
      <c r="AY3" s="77">
        <f t="shared" ref="AY3:AY61" si="41">(LEN($C3)-LEN(SUBSTITUTE(UPPER($C3),UPPER(AX$1),"")))/LEN(AX$1)</f>
        <v>0</v>
      </c>
      <c r="AZ3" s="77">
        <f t="shared" ref="AZ3:AZ61" si="42">(LEN($D3)-LEN(SUBSTITUTE(UPPER($D3),UPPER(AX$1),"")))/LEN(AX$1)</f>
        <v>0</v>
      </c>
      <c r="BA3" s="78">
        <f t="shared" si="6"/>
        <v>0</v>
      </c>
      <c r="BB3" s="77">
        <f t="shared" ref="BB3:BB66" si="43">(LEN($B3)-LEN(SUBSTITUTE(UPPER($B3),UPPER(BB$1),"")))/LEN(BB$1)</f>
        <v>0</v>
      </c>
      <c r="BC3" s="77">
        <f t="shared" ref="BC3:BC61" si="44">(LEN($C3)-LEN(SUBSTITUTE(UPPER($C3),UPPER(BB$1),"")))/LEN(BB$1)</f>
        <v>0</v>
      </c>
      <c r="BD3" s="77">
        <f t="shared" ref="BD3:BD61" si="45">(LEN($D3)-LEN(SUBSTITUTE(UPPER($D3),UPPER(BB$1),"")))/LEN(BB$1)</f>
        <v>0</v>
      </c>
      <c r="BE3" s="80">
        <f t="shared" si="7"/>
        <v>0</v>
      </c>
      <c r="BF3" s="44">
        <f t="shared" ref="BF3:BF61" si="46">AK3+AO3+AS3+AW3+BA3+BE3</f>
        <v>4</v>
      </c>
      <c r="BG3" s="45">
        <f t="shared" ref="BG3:BG61" si="47">IF((BF3)&gt;0,1,0)</f>
        <v>1</v>
      </c>
      <c r="BH3" s="46"/>
      <c r="BI3" s="47"/>
      <c r="BJ3" s="47"/>
    </row>
    <row r="4" spans="1:62" ht="26">
      <c r="A4" s="84">
        <v>3</v>
      </c>
      <c r="B4" s="39" t="s">
        <v>3289</v>
      </c>
      <c r="C4" s="38" t="s">
        <v>3290</v>
      </c>
      <c r="D4" s="38"/>
      <c r="E4" s="40">
        <f t="shared" si="8"/>
        <v>0</v>
      </c>
      <c r="F4" s="40">
        <f t="shared" si="9"/>
        <v>1</v>
      </c>
      <c r="G4" s="40">
        <f t="shared" si="10"/>
        <v>0</v>
      </c>
      <c r="H4" s="41">
        <f>SUM(E4:G4)</f>
        <v>1</v>
      </c>
      <c r="I4" s="40">
        <f t="shared" si="11"/>
        <v>0</v>
      </c>
      <c r="J4" s="40">
        <f t="shared" si="12"/>
        <v>1</v>
      </c>
      <c r="K4" s="40">
        <f t="shared" si="13"/>
        <v>0</v>
      </c>
      <c r="L4" s="41">
        <f t="shared" si="0"/>
        <v>1</v>
      </c>
      <c r="M4" s="40">
        <f t="shared" si="14"/>
        <v>1</v>
      </c>
      <c r="N4" s="40">
        <f t="shared" si="15"/>
        <v>0</v>
      </c>
      <c r="O4" s="40">
        <f t="shared" si="16"/>
        <v>0</v>
      </c>
      <c r="P4" s="41">
        <f t="shared" si="1"/>
        <v>1</v>
      </c>
      <c r="Q4" s="42">
        <f t="shared" si="17"/>
        <v>0</v>
      </c>
      <c r="R4" s="40">
        <f t="shared" si="18"/>
        <v>2</v>
      </c>
      <c r="S4" s="40">
        <f t="shared" si="19"/>
        <v>0</v>
      </c>
      <c r="T4" s="41">
        <f>SUM(Q4:S4)</f>
        <v>2</v>
      </c>
      <c r="U4" s="40">
        <f t="shared" si="20"/>
        <v>0</v>
      </c>
      <c r="V4" s="40">
        <f t="shared" si="21"/>
        <v>1</v>
      </c>
      <c r="W4" s="40">
        <f t="shared" si="22"/>
        <v>0</v>
      </c>
      <c r="X4" s="41">
        <f t="shared" si="2"/>
        <v>1</v>
      </c>
      <c r="Y4" s="40">
        <f t="shared" si="23"/>
        <v>0</v>
      </c>
      <c r="Z4" s="40">
        <f t="shared" si="24"/>
        <v>2</v>
      </c>
      <c r="AA4" s="40">
        <f t="shared" si="25"/>
        <v>0</v>
      </c>
      <c r="AB4" s="43">
        <f t="shared" si="3"/>
        <v>2</v>
      </c>
      <c r="AC4" s="44">
        <f t="shared" si="26"/>
        <v>8</v>
      </c>
      <c r="AD4" s="45">
        <f t="shared" si="27"/>
        <v>1</v>
      </c>
      <c r="AE4" s="46"/>
      <c r="AF4" s="47"/>
      <c r="AG4" s="47"/>
      <c r="AH4" s="77">
        <f t="shared" si="28"/>
        <v>0</v>
      </c>
      <c r="AI4" s="77">
        <f t="shared" si="29"/>
        <v>1</v>
      </c>
      <c r="AJ4" s="77">
        <f t="shared" si="30"/>
        <v>0</v>
      </c>
      <c r="AK4" s="78">
        <f>SUM(AH4:AJ4)</f>
        <v>1</v>
      </c>
      <c r="AL4" s="77">
        <f t="shared" si="31"/>
        <v>0</v>
      </c>
      <c r="AM4" s="77">
        <f t="shared" si="32"/>
        <v>1</v>
      </c>
      <c r="AN4" s="77">
        <f t="shared" si="33"/>
        <v>0</v>
      </c>
      <c r="AO4" s="78">
        <f t="shared" si="4"/>
        <v>1</v>
      </c>
      <c r="AP4" s="77">
        <f t="shared" si="34"/>
        <v>1</v>
      </c>
      <c r="AQ4" s="77">
        <f t="shared" si="35"/>
        <v>0</v>
      </c>
      <c r="AR4" s="77">
        <f t="shared" si="36"/>
        <v>0</v>
      </c>
      <c r="AS4" s="78">
        <f t="shared" si="5"/>
        <v>1</v>
      </c>
      <c r="AT4" s="79">
        <f t="shared" si="37"/>
        <v>0</v>
      </c>
      <c r="AU4" s="77">
        <f t="shared" si="38"/>
        <v>2</v>
      </c>
      <c r="AV4" s="77">
        <f t="shared" si="39"/>
        <v>0</v>
      </c>
      <c r="AW4" s="78">
        <f>SUM(AT4:AV4)</f>
        <v>2</v>
      </c>
      <c r="AX4" s="77">
        <f t="shared" si="40"/>
        <v>0</v>
      </c>
      <c r="AY4" s="77">
        <f t="shared" si="41"/>
        <v>1</v>
      </c>
      <c r="AZ4" s="77">
        <f t="shared" si="42"/>
        <v>0</v>
      </c>
      <c r="BA4" s="78">
        <f t="shared" si="6"/>
        <v>1</v>
      </c>
      <c r="BB4" s="77">
        <f t="shared" si="43"/>
        <v>0</v>
      </c>
      <c r="BC4" s="77">
        <f t="shared" si="44"/>
        <v>2</v>
      </c>
      <c r="BD4" s="77">
        <f t="shared" si="45"/>
        <v>0</v>
      </c>
      <c r="BE4" s="80">
        <f t="shared" si="7"/>
        <v>2</v>
      </c>
      <c r="BF4" s="44">
        <f t="shared" si="46"/>
        <v>8</v>
      </c>
      <c r="BG4" s="45">
        <f t="shared" si="47"/>
        <v>1</v>
      </c>
      <c r="BH4" s="46"/>
      <c r="BI4" s="47"/>
      <c r="BJ4" s="47"/>
    </row>
    <row r="5" spans="1:62">
      <c r="A5" s="84">
        <v>4</v>
      </c>
      <c r="B5" s="39"/>
      <c r="C5" s="38"/>
      <c r="D5" s="38"/>
      <c r="E5" s="40">
        <f t="shared" si="8"/>
        <v>0</v>
      </c>
      <c r="F5" s="40">
        <f t="shared" si="9"/>
        <v>0</v>
      </c>
      <c r="G5" s="40">
        <f t="shared" si="10"/>
        <v>0</v>
      </c>
      <c r="H5" s="41">
        <f>SUM(E5:G5)</f>
        <v>0</v>
      </c>
      <c r="I5" s="40">
        <f t="shared" si="11"/>
        <v>0</v>
      </c>
      <c r="J5" s="40">
        <f t="shared" si="12"/>
        <v>0</v>
      </c>
      <c r="K5" s="40">
        <f t="shared" si="13"/>
        <v>0</v>
      </c>
      <c r="L5" s="41">
        <f t="shared" si="0"/>
        <v>0</v>
      </c>
      <c r="M5" s="40">
        <f t="shared" si="14"/>
        <v>0</v>
      </c>
      <c r="N5" s="40">
        <f t="shared" si="15"/>
        <v>0</v>
      </c>
      <c r="O5" s="40">
        <f t="shared" si="16"/>
        <v>0</v>
      </c>
      <c r="P5" s="41">
        <f t="shared" si="1"/>
        <v>0</v>
      </c>
      <c r="Q5" s="42">
        <f t="shared" si="17"/>
        <v>0</v>
      </c>
      <c r="R5" s="40">
        <f t="shared" si="18"/>
        <v>0</v>
      </c>
      <c r="S5" s="40">
        <f t="shared" si="19"/>
        <v>0</v>
      </c>
      <c r="T5" s="41">
        <f>SUM(Q5:S5)</f>
        <v>0</v>
      </c>
      <c r="U5" s="40">
        <f t="shared" si="20"/>
        <v>0</v>
      </c>
      <c r="V5" s="40">
        <f t="shared" si="21"/>
        <v>0</v>
      </c>
      <c r="W5" s="40">
        <f t="shared" si="22"/>
        <v>0</v>
      </c>
      <c r="X5" s="41">
        <f t="shared" si="2"/>
        <v>0</v>
      </c>
      <c r="Y5" s="40">
        <f t="shared" si="23"/>
        <v>0</v>
      </c>
      <c r="Z5" s="40">
        <f t="shared" si="24"/>
        <v>0</v>
      </c>
      <c r="AA5" s="40">
        <f t="shared" si="25"/>
        <v>0</v>
      </c>
      <c r="AB5" s="43">
        <f t="shared" si="3"/>
        <v>0</v>
      </c>
      <c r="AC5" s="44">
        <f t="shared" si="26"/>
        <v>0</v>
      </c>
      <c r="AD5" s="45">
        <f t="shared" si="27"/>
        <v>0</v>
      </c>
      <c r="AE5" s="46"/>
      <c r="AF5" s="47"/>
      <c r="AG5" s="47"/>
      <c r="AH5" s="77">
        <f t="shared" si="28"/>
        <v>0</v>
      </c>
      <c r="AI5" s="77">
        <f t="shared" si="29"/>
        <v>0</v>
      </c>
      <c r="AJ5" s="77">
        <f t="shared" si="30"/>
        <v>0</v>
      </c>
      <c r="AK5" s="78">
        <f>SUM(AH5:AJ5)</f>
        <v>0</v>
      </c>
      <c r="AL5" s="77">
        <f t="shared" si="31"/>
        <v>0</v>
      </c>
      <c r="AM5" s="77">
        <f t="shared" si="32"/>
        <v>0</v>
      </c>
      <c r="AN5" s="77">
        <f t="shared" si="33"/>
        <v>0</v>
      </c>
      <c r="AO5" s="78">
        <f t="shared" si="4"/>
        <v>0</v>
      </c>
      <c r="AP5" s="77">
        <f t="shared" si="34"/>
        <v>0</v>
      </c>
      <c r="AQ5" s="77">
        <f t="shared" si="35"/>
        <v>0</v>
      </c>
      <c r="AR5" s="77">
        <f t="shared" si="36"/>
        <v>0</v>
      </c>
      <c r="AS5" s="78">
        <f t="shared" si="5"/>
        <v>0</v>
      </c>
      <c r="AT5" s="79">
        <f t="shared" si="37"/>
        <v>0</v>
      </c>
      <c r="AU5" s="77">
        <f t="shared" si="38"/>
        <v>0</v>
      </c>
      <c r="AV5" s="77">
        <f t="shared" si="39"/>
        <v>0</v>
      </c>
      <c r="AW5" s="78">
        <f>SUM(AT5:AV5)</f>
        <v>0</v>
      </c>
      <c r="AX5" s="77">
        <f t="shared" si="40"/>
        <v>0</v>
      </c>
      <c r="AY5" s="77">
        <f t="shared" si="41"/>
        <v>0</v>
      </c>
      <c r="AZ5" s="77">
        <f t="shared" si="42"/>
        <v>0</v>
      </c>
      <c r="BA5" s="78">
        <f t="shared" si="6"/>
        <v>0</v>
      </c>
      <c r="BB5" s="77">
        <f t="shared" si="43"/>
        <v>0</v>
      </c>
      <c r="BC5" s="77">
        <f t="shared" si="44"/>
        <v>0</v>
      </c>
      <c r="BD5" s="77">
        <f t="shared" si="45"/>
        <v>0</v>
      </c>
      <c r="BE5" s="80">
        <f t="shared" si="7"/>
        <v>0</v>
      </c>
      <c r="BF5" s="44">
        <f t="shared" si="46"/>
        <v>0</v>
      </c>
      <c r="BG5" s="45">
        <f t="shared" si="47"/>
        <v>0</v>
      </c>
      <c r="BH5" s="46"/>
      <c r="BI5" s="47"/>
      <c r="BJ5" s="47"/>
    </row>
    <row r="6" spans="1:62">
      <c r="A6" s="84">
        <v>5</v>
      </c>
      <c r="B6" s="48"/>
      <c r="C6" s="49"/>
      <c r="D6" s="49"/>
      <c r="E6" s="40">
        <f t="shared" si="8"/>
        <v>0</v>
      </c>
      <c r="F6" s="40">
        <f t="shared" si="9"/>
        <v>0</v>
      </c>
      <c r="G6" s="40">
        <f t="shared" si="10"/>
        <v>0</v>
      </c>
      <c r="H6" s="41">
        <f t="shared" ref="H6:H61" si="48">SUM(E6:G6)</f>
        <v>0</v>
      </c>
      <c r="I6" s="40">
        <f t="shared" si="11"/>
        <v>0</v>
      </c>
      <c r="J6" s="40">
        <f t="shared" si="12"/>
        <v>0</v>
      </c>
      <c r="K6" s="40">
        <f t="shared" si="13"/>
        <v>0</v>
      </c>
      <c r="L6" s="41">
        <f t="shared" si="0"/>
        <v>0</v>
      </c>
      <c r="M6" s="40">
        <f t="shared" si="14"/>
        <v>0</v>
      </c>
      <c r="N6" s="40">
        <f t="shared" si="15"/>
        <v>0</v>
      </c>
      <c r="O6" s="40">
        <f t="shared" si="16"/>
        <v>0</v>
      </c>
      <c r="P6" s="41">
        <f t="shared" si="1"/>
        <v>0</v>
      </c>
      <c r="Q6" s="42">
        <f t="shared" si="17"/>
        <v>0</v>
      </c>
      <c r="R6" s="40">
        <f t="shared" si="18"/>
        <v>0</v>
      </c>
      <c r="S6" s="40">
        <f t="shared" si="19"/>
        <v>0</v>
      </c>
      <c r="T6" s="41">
        <f t="shared" ref="T6:T61" si="49">SUM(Q6:S6)</f>
        <v>0</v>
      </c>
      <c r="U6" s="40">
        <f t="shared" si="20"/>
        <v>0</v>
      </c>
      <c r="V6" s="40">
        <f t="shared" si="21"/>
        <v>0</v>
      </c>
      <c r="W6" s="40">
        <f t="shared" si="22"/>
        <v>0</v>
      </c>
      <c r="X6" s="41">
        <f t="shared" si="2"/>
        <v>0</v>
      </c>
      <c r="Y6" s="40">
        <f t="shared" si="23"/>
        <v>0</v>
      </c>
      <c r="Z6" s="40">
        <f t="shared" si="24"/>
        <v>0</v>
      </c>
      <c r="AA6" s="40">
        <f t="shared" si="25"/>
        <v>0</v>
      </c>
      <c r="AB6" s="43">
        <f t="shared" si="3"/>
        <v>0</v>
      </c>
      <c r="AC6" s="44">
        <f t="shared" si="26"/>
        <v>0</v>
      </c>
      <c r="AD6" s="45">
        <f t="shared" si="27"/>
        <v>0</v>
      </c>
      <c r="AE6" s="46"/>
      <c r="AF6" s="47"/>
      <c r="AG6" s="47"/>
      <c r="AH6" s="77">
        <f t="shared" si="28"/>
        <v>0</v>
      </c>
      <c r="AI6" s="77">
        <f t="shared" si="29"/>
        <v>0</v>
      </c>
      <c r="AJ6" s="77">
        <f t="shared" si="30"/>
        <v>0</v>
      </c>
      <c r="AK6" s="78">
        <f t="shared" ref="AK6:AK61" si="50">SUM(AH6:AJ6)</f>
        <v>0</v>
      </c>
      <c r="AL6" s="77">
        <f t="shared" si="31"/>
        <v>0</v>
      </c>
      <c r="AM6" s="77">
        <f t="shared" si="32"/>
        <v>0</v>
      </c>
      <c r="AN6" s="77">
        <f t="shared" si="33"/>
        <v>0</v>
      </c>
      <c r="AO6" s="78">
        <f t="shared" si="4"/>
        <v>0</v>
      </c>
      <c r="AP6" s="77">
        <f t="shared" si="34"/>
        <v>0</v>
      </c>
      <c r="AQ6" s="77">
        <f t="shared" si="35"/>
        <v>0</v>
      </c>
      <c r="AR6" s="77">
        <f t="shared" si="36"/>
        <v>0</v>
      </c>
      <c r="AS6" s="78">
        <f t="shared" si="5"/>
        <v>0</v>
      </c>
      <c r="AT6" s="79">
        <f t="shared" si="37"/>
        <v>0</v>
      </c>
      <c r="AU6" s="77">
        <f t="shared" si="38"/>
        <v>0</v>
      </c>
      <c r="AV6" s="77">
        <f t="shared" si="39"/>
        <v>0</v>
      </c>
      <c r="AW6" s="78">
        <f t="shared" ref="AW6:AW61" si="51">SUM(AT6:AV6)</f>
        <v>0</v>
      </c>
      <c r="AX6" s="77">
        <f t="shared" si="40"/>
        <v>0</v>
      </c>
      <c r="AY6" s="77">
        <f t="shared" si="41"/>
        <v>0</v>
      </c>
      <c r="AZ6" s="77">
        <f t="shared" si="42"/>
        <v>0</v>
      </c>
      <c r="BA6" s="78">
        <f t="shared" si="6"/>
        <v>0</v>
      </c>
      <c r="BB6" s="77">
        <f t="shared" si="43"/>
        <v>0</v>
      </c>
      <c r="BC6" s="77">
        <f t="shared" si="44"/>
        <v>0</v>
      </c>
      <c r="BD6" s="77">
        <f t="shared" si="45"/>
        <v>0</v>
      </c>
      <c r="BE6" s="80">
        <f t="shared" si="7"/>
        <v>0</v>
      </c>
      <c r="BF6" s="44">
        <f t="shared" si="46"/>
        <v>0</v>
      </c>
      <c r="BG6" s="45">
        <f t="shared" si="47"/>
        <v>0</v>
      </c>
      <c r="BH6" s="46"/>
      <c r="BI6" s="47"/>
      <c r="BJ6" s="47"/>
    </row>
    <row r="7" spans="1:62">
      <c r="A7" s="84">
        <v>6</v>
      </c>
      <c r="B7" s="48"/>
      <c r="C7" s="49"/>
      <c r="D7" s="49"/>
      <c r="E7" s="40">
        <f t="shared" si="8"/>
        <v>0</v>
      </c>
      <c r="F7" s="40">
        <f t="shared" si="9"/>
        <v>0</v>
      </c>
      <c r="G7" s="40">
        <f t="shared" si="10"/>
        <v>0</v>
      </c>
      <c r="H7" s="41">
        <f t="shared" si="48"/>
        <v>0</v>
      </c>
      <c r="I7" s="40">
        <f t="shared" si="11"/>
        <v>0</v>
      </c>
      <c r="J7" s="40">
        <f t="shared" si="12"/>
        <v>0</v>
      </c>
      <c r="K7" s="40">
        <f t="shared" si="13"/>
        <v>0</v>
      </c>
      <c r="L7" s="41">
        <f t="shared" si="0"/>
        <v>0</v>
      </c>
      <c r="M7" s="40">
        <f t="shared" si="14"/>
        <v>0</v>
      </c>
      <c r="N7" s="40">
        <f t="shared" si="15"/>
        <v>0</v>
      </c>
      <c r="O7" s="40">
        <f t="shared" si="16"/>
        <v>0</v>
      </c>
      <c r="P7" s="41">
        <f t="shared" si="1"/>
        <v>0</v>
      </c>
      <c r="Q7" s="42">
        <f t="shared" si="17"/>
        <v>0</v>
      </c>
      <c r="R7" s="40">
        <f t="shared" si="18"/>
        <v>0</v>
      </c>
      <c r="S7" s="40">
        <f t="shared" si="19"/>
        <v>0</v>
      </c>
      <c r="T7" s="41">
        <f t="shared" si="49"/>
        <v>0</v>
      </c>
      <c r="U7" s="40">
        <f t="shared" si="20"/>
        <v>0</v>
      </c>
      <c r="V7" s="40">
        <f t="shared" si="21"/>
        <v>0</v>
      </c>
      <c r="W7" s="40">
        <f t="shared" si="22"/>
        <v>0</v>
      </c>
      <c r="X7" s="41">
        <f t="shared" si="2"/>
        <v>0</v>
      </c>
      <c r="Y7" s="40">
        <f t="shared" si="23"/>
        <v>0</v>
      </c>
      <c r="Z7" s="40">
        <f t="shared" si="24"/>
        <v>0</v>
      </c>
      <c r="AA7" s="40">
        <f t="shared" si="25"/>
        <v>0</v>
      </c>
      <c r="AB7" s="43">
        <f t="shared" si="3"/>
        <v>0</v>
      </c>
      <c r="AC7" s="44">
        <f t="shared" si="26"/>
        <v>0</v>
      </c>
      <c r="AD7" s="45">
        <f t="shared" si="27"/>
        <v>0</v>
      </c>
      <c r="AE7" s="46"/>
      <c r="AF7" s="47"/>
      <c r="AG7" s="47"/>
      <c r="AH7" s="77">
        <f t="shared" si="28"/>
        <v>0</v>
      </c>
      <c r="AI7" s="77">
        <f t="shared" si="29"/>
        <v>0</v>
      </c>
      <c r="AJ7" s="77">
        <f t="shared" si="30"/>
        <v>0</v>
      </c>
      <c r="AK7" s="78">
        <f t="shared" si="50"/>
        <v>0</v>
      </c>
      <c r="AL7" s="77">
        <f t="shared" si="31"/>
        <v>0</v>
      </c>
      <c r="AM7" s="77">
        <f t="shared" si="32"/>
        <v>0</v>
      </c>
      <c r="AN7" s="77">
        <f t="shared" si="33"/>
        <v>0</v>
      </c>
      <c r="AO7" s="78">
        <f t="shared" si="4"/>
        <v>0</v>
      </c>
      <c r="AP7" s="77">
        <f t="shared" si="34"/>
        <v>0</v>
      </c>
      <c r="AQ7" s="77">
        <f t="shared" si="35"/>
        <v>0</v>
      </c>
      <c r="AR7" s="77">
        <f t="shared" si="36"/>
        <v>0</v>
      </c>
      <c r="AS7" s="78">
        <f t="shared" si="5"/>
        <v>0</v>
      </c>
      <c r="AT7" s="79">
        <f t="shared" si="37"/>
        <v>0</v>
      </c>
      <c r="AU7" s="77">
        <f t="shared" si="38"/>
        <v>0</v>
      </c>
      <c r="AV7" s="77">
        <f t="shared" si="39"/>
        <v>0</v>
      </c>
      <c r="AW7" s="78">
        <f t="shared" si="51"/>
        <v>0</v>
      </c>
      <c r="AX7" s="77">
        <f t="shared" si="40"/>
        <v>0</v>
      </c>
      <c r="AY7" s="77">
        <f t="shared" si="41"/>
        <v>0</v>
      </c>
      <c r="AZ7" s="77">
        <f t="shared" si="42"/>
        <v>0</v>
      </c>
      <c r="BA7" s="78">
        <f t="shared" si="6"/>
        <v>0</v>
      </c>
      <c r="BB7" s="77">
        <f t="shared" si="43"/>
        <v>0</v>
      </c>
      <c r="BC7" s="77">
        <f t="shared" si="44"/>
        <v>0</v>
      </c>
      <c r="BD7" s="77">
        <f t="shared" si="45"/>
        <v>0</v>
      </c>
      <c r="BE7" s="80">
        <f t="shared" si="7"/>
        <v>0</v>
      </c>
      <c r="BF7" s="44">
        <f t="shared" si="46"/>
        <v>0</v>
      </c>
      <c r="BG7" s="45">
        <f t="shared" si="47"/>
        <v>0</v>
      </c>
      <c r="BH7" s="46"/>
      <c r="BI7" s="47"/>
      <c r="BJ7" s="47"/>
    </row>
    <row r="8" spans="1:62">
      <c r="A8" s="84">
        <v>7</v>
      </c>
      <c r="B8" s="48"/>
      <c r="C8" s="49"/>
      <c r="D8" s="49"/>
      <c r="E8" s="40">
        <f t="shared" si="8"/>
        <v>0</v>
      </c>
      <c r="F8" s="40">
        <f t="shared" si="9"/>
        <v>0</v>
      </c>
      <c r="G8" s="40">
        <f t="shared" si="10"/>
        <v>0</v>
      </c>
      <c r="H8" s="41">
        <f t="shared" si="48"/>
        <v>0</v>
      </c>
      <c r="I8" s="40">
        <f t="shared" si="11"/>
        <v>0</v>
      </c>
      <c r="J8" s="40">
        <f t="shared" si="12"/>
        <v>0</v>
      </c>
      <c r="K8" s="40">
        <f t="shared" si="13"/>
        <v>0</v>
      </c>
      <c r="L8" s="41">
        <f t="shared" si="0"/>
        <v>0</v>
      </c>
      <c r="M8" s="40">
        <f t="shared" si="14"/>
        <v>0</v>
      </c>
      <c r="N8" s="40">
        <f t="shared" si="15"/>
        <v>0</v>
      </c>
      <c r="O8" s="40">
        <f t="shared" si="16"/>
        <v>0</v>
      </c>
      <c r="P8" s="41">
        <f t="shared" si="1"/>
        <v>0</v>
      </c>
      <c r="Q8" s="42">
        <f t="shared" si="17"/>
        <v>0</v>
      </c>
      <c r="R8" s="40">
        <f t="shared" si="18"/>
        <v>0</v>
      </c>
      <c r="S8" s="40">
        <f t="shared" si="19"/>
        <v>0</v>
      </c>
      <c r="T8" s="41">
        <f t="shared" si="49"/>
        <v>0</v>
      </c>
      <c r="U8" s="40">
        <f t="shared" si="20"/>
        <v>0</v>
      </c>
      <c r="V8" s="40">
        <f t="shared" si="21"/>
        <v>0</v>
      </c>
      <c r="W8" s="40">
        <f t="shared" si="22"/>
        <v>0</v>
      </c>
      <c r="X8" s="41">
        <f t="shared" si="2"/>
        <v>0</v>
      </c>
      <c r="Y8" s="40">
        <f t="shared" si="23"/>
        <v>0</v>
      </c>
      <c r="Z8" s="40">
        <f t="shared" si="24"/>
        <v>0</v>
      </c>
      <c r="AA8" s="40">
        <f t="shared" si="25"/>
        <v>0</v>
      </c>
      <c r="AB8" s="43">
        <f t="shared" si="3"/>
        <v>0</v>
      </c>
      <c r="AC8" s="44">
        <f t="shared" si="26"/>
        <v>0</v>
      </c>
      <c r="AD8" s="45">
        <f t="shared" si="27"/>
        <v>0</v>
      </c>
      <c r="AE8" s="46"/>
      <c r="AF8" s="47"/>
      <c r="AG8" s="47"/>
      <c r="AH8" s="77">
        <f t="shared" si="28"/>
        <v>0</v>
      </c>
      <c r="AI8" s="77">
        <f t="shared" si="29"/>
        <v>0</v>
      </c>
      <c r="AJ8" s="77">
        <f t="shared" si="30"/>
        <v>0</v>
      </c>
      <c r="AK8" s="78">
        <f t="shared" si="50"/>
        <v>0</v>
      </c>
      <c r="AL8" s="77">
        <f t="shared" si="31"/>
        <v>0</v>
      </c>
      <c r="AM8" s="77">
        <f t="shared" si="32"/>
        <v>0</v>
      </c>
      <c r="AN8" s="77">
        <f t="shared" si="33"/>
        <v>0</v>
      </c>
      <c r="AO8" s="78">
        <f t="shared" si="4"/>
        <v>0</v>
      </c>
      <c r="AP8" s="77">
        <f t="shared" si="34"/>
        <v>0</v>
      </c>
      <c r="AQ8" s="77">
        <f t="shared" si="35"/>
        <v>0</v>
      </c>
      <c r="AR8" s="77">
        <f t="shared" si="36"/>
        <v>0</v>
      </c>
      <c r="AS8" s="78">
        <f t="shared" si="5"/>
        <v>0</v>
      </c>
      <c r="AT8" s="79">
        <f t="shared" si="37"/>
        <v>0</v>
      </c>
      <c r="AU8" s="77">
        <f t="shared" si="38"/>
        <v>0</v>
      </c>
      <c r="AV8" s="77">
        <f t="shared" si="39"/>
        <v>0</v>
      </c>
      <c r="AW8" s="78">
        <f t="shared" si="51"/>
        <v>0</v>
      </c>
      <c r="AX8" s="77">
        <f t="shared" si="40"/>
        <v>0</v>
      </c>
      <c r="AY8" s="77">
        <f t="shared" si="41"/>
        <v>0</v>
      </c>
      <c r="AZ8" s="77">
        <f t="shared" si="42"/>
        <v>0</v>
      </c>
      <c r="BA8" s="78">
        <f t="shared" si="6"/>
        <v>0</v>
      </c>
      <c r="BB8" s="77">
        <f t="shared" si="43"/>
        <v>0</v>
      </c>
      <c r="BC8" s="77">
        <f t="shared" si="44"/>
        <v>0</v>
      </c>
      <c r="BD8" s="77">
        <f t="shared" si="45"/>
        <v>0</v>
      </c>
      <c r="BE8" s="80">
        <f t="shared" si="7"/>
        <v>0</v>
      </c>
      <c r="BF8" s="44">
        <f t="shared" si="46"/>
        <v>0</v>
      </c>
      <c r="BG8" s="45">
        <f t="shared" si="47"/>
        <v>0</v>
      </c>
      <c r="BH8" s="46"/>
      <c r="BI8" s="47"/>
      <c r="BJ8" s="47"/>
    </row>
    <row r="9" spans="1:62">
      <c r="A9" s="84">
        <v>8</v>
      </c>
      <c r="B9" s="48"/>
      <c r="C9" s="49"/>
      <c r="D9" s="49"/>
      <c r="E9" s="40">
        <f t="shared" si="8"/>
        <v>0</v>
      </c>
      <c r="F9" s="40">
        <f t="shared" si="9"/>
        <v>0</v>
      </c>
      <c r="G9" s="40">
        <f t="shared" si="10"/>
        <v>0</v>
      </c>
      <c r="H9" s="41">
        <f t="shared" si="48"/>
        <v>0</v>
      </c>
      <c r="I9" s="40">
        <f t="shared" si="11"/>
        <v>0</v>
      </c>
      <c r="J9" s="40">
        <f t="shared" si="12"/>
        <v>0</v>
      </c>
      <c r="K9" s="40">
        <f t="shared" si="13"/>
        <v>0</v>
      </c>
      <c r="L9" s="41">
        <f t="shared" si="0"/>
        <v>0</v>
      </c>
      <c r="M9" s="40">
        <f t="shared" si="14"/>
        <v>0</v>
      </c>
      <c r="N9" s="40">
        <f t="shared" si="15"/>
        <v>0</v>
      </c>
      <c r="O9" s="40">
        <f t="shared" si="16"/>
        <v>0</v>
      </c>
      <c r="P9" s="41">
        <f t="shared" si="1"/>
        <v>0</v>
      </c>
      <c r="Q9" s="42">
        <f t="shared" si="17"/>
        <v>0</v>
      </c>
      <c r="R9" s="40">
        <f t="shared" si="18"/>
        <v>0</v>
      </c>
      <c r="S9" s="40">
        <f t="shared" si="19"/>
        <v>0</v>
      </c>
      <c r="T9" s="41">
        <f t="shared" si="49"/>
        <v>0</v>
      </c>
      <c r="U9" s="40">
        <f t="shared" si="20"/>
        <v>0</v>
      </c>
      <c r="V9" s="40">
        <f t="shared" si="21"/>
        <v>0</v>
      </c>
      <c r="W9" s="40">
        <f t="shared" si="22"/>
        <v>0</v>
      </c>
      <c r="X9" s="41">
        <f t="shared" si="2"/>
        <v>0</v>
      </c>
      <c r="Y9" s="40">
        <f t="shared" si="23"/>
        <v>0</v>
      </c>
      <c r="Z9" s="40">
        <f t="shared" si="24"/>
        <v>0</v>
      </c>
      <c r="AA9" s="40">
        <f t="shared" si="25"/>
        <v>0</v>
      </c>
      <c r="AB9" s="43">
        <f t="shared" si="3"/>
        <v>0</v>
      </c>
      <c r="AC9" s="44">
        <f t="shared" si="26"/>
        <v>0</v>
      </c>
      <c r="AD9" s="45">
        <f t="shared" si="27"/>
        <v>0</v>
      </c>
      <c r="AE9" s="46"/>
      <c r="AF9" s="47"/>
      <c r="AG9" s="47"/>
      <c r="AH9" s="77">
        <f t="shared" si="28"/>
        <v>0</v>
      </c>
      <c r="AI9" s="77">
        <f t="shared" si="29"/>
        <v>0</v>
      </c>
      <c r="AJ9" s="77">
        <f t="shared" si="30"/>
        <v>0</v>
      </c>
      <c r="AK9" s="78">
        <f t="shared" si="50"/>
        <v>0</v>
      </c>
      <c r="AL9" s="77">
        <f t="shared" si="31"/>
        <v>0</v>
      </c>
      <c r="AM9" s="77">
        <f t="shared" si="32"/>
        <v>0</v>
      </c>
      <c r="AN9" s="77">
        <f t="shared" si="33"/>
        <v>0</v>
      </c>
      <c r="AO9" s="78">
        <f t="shared" si="4"/>
        <v>0</v>
      </c>
      <c r="AP9" s="77">
        <f t="shared" si="34"/>
        <v>0</v>
      </c>
      <c r="AQ9" s="77">
        <f t="shared" si="35"/>
        <v>0</v>
      </c>
      <c r="AR9" s="77">
        <f t="shared" si="36"/>
        <v>0</v>
      </c>
      <c r="AS9" s="78">
        <f t="shared" si="5"/>
        <v>0</v>
      </c>
      <c r="AT9" s="79">
        <f t="shared" si="37"/>
        <v>0</v>
      </c>
      <c r="AU9" s="77">
        <f t="shared" si="38"/>
        <v>0</v>
      </c>
      <c r="AV9" s="77">
        <f t="shared" si="39"/>
        <v>0</v>
      </c>
      <c r="AW9" s="78">
        <f t="shared" si="51"/>
        <v>0</v>
      </c>
      <c r="AX9" s="77">
        <f t="shared" si="40"/>
        <v>0</v>
      </c>
      <c r="AY9" s="77">
        <f t="shared" si="41"/>
        <v>0</v>
      </c>
      <c r="AZ9" s="77">
        <f t="shared" si="42"/>
        <v>0</v>
      </c>
      <c r="BA9" s="78">
        <f t="shared" si="6"/>
        <v>0</v>
      </c>
      <c r="BB9" s="77">
        <f t="shared" si="43"/>
        <v>0</v>
      </c>
      <c r="BC9" s="77">
        <f t="shared" si="44"/>
        <v>0</v>
      </c>
      <c r="BD9" s="77">
        <f t="shared" si="45"/>
        <v>0</v>
      </c>
      <c r="BE9" s="80">
        <f t="shared" si="7"/>
        <v>0</v>
      </c>
      <c r="BF9" s="44">
        <f t="shared" si="46"/>
        <v>0</v>
      </c>
      <c r="BG9" s="45">
        <f t="shared" si="47"/>
        <v>0</v>
      </c>
      <c r="BH9" s="46"/>
      <c r="BI9" s="47"/>
      <c r="BJ9" s="47"/>
    </row>
    <row r="10" spans="1:62">
      <c r="A10" s="84">
        <v>9</v>
      </c>
      <c r="B10" s="48"/>
      <c r="C10" s="49"/>
      <c r="D10" s="49"/>
      <c r="E10" s="40">
        <f t="shared" si="8"/>
        <v>0</v>
      </c>
      <c r="F10" s="40">
        <f t="shared" si="9"/>
        <v>0</v>
      </c>
      <c r="G10" s="40">
        <f t="shared" si="10"/>
        <v>0</v>
      </c>
      <c r="H10" s="41">
        <f t="shared" si="48"/>
        <v>0</v>
      </c>
      <c r="I10" s="40">
        <f t="shared" si="11"/>
        <v>0</v>
      </c>
      <c r="J10" s="40">
        <f t="shared" si="12"/>
        <v>0</v>
      </c>
      <c r="K10" s="40">
        <f t="shared" si="13"/>
        <v>0</v>
      </c>
      <c r="L10" s="41">
        <f t="shared" si="0"/>
        <v>0</v>
      </c>
      <c r="M10" s="40">
        <f t="shared" si="14"/>
        <v>0</v>
      </c>
      <c r="N10" s="40">
        <f t="shared" si="15"/>
        <v>0</v>
      </c>
      <c r="O10" s="40">
        <f t="shared" si="16"/>
        <v>0</v>
      </c>
      <c r="P10" s="41">
        <f t="shared" si="1"/>
        <v>0</v>
      </c>
      <c r="Q10" s="42">
        <f t="shared" si="17"/>
        <v>0</v>
      </c>
      <c r="R10" s="40">
        <f t="shared" si="18"/>
        <v>0</v>
      </c>
      <c r="S10" s="40">
        <f t="shared" si="19"/>
        <v>0</v>
      </c>
      <c r="T10" s="41">
        <f t="shared" si="49"/>
        <v>0</v>
      </c>
      <c r="U10" s="40">
        <f t="shared" si="20"/>
        <v>0</v>
      </c>
      <c r="V10" s="40">
        <f t="shared" si="21"/>
        <v>0</v>
      </c>
      <c r="W10" s="40">
        <f t="shared" si="22"/>
        <v>0</v>
      </c>
      <c r="X10" s="41">
        <f t="shared" si="2"/>
        <v>0</v>
      </c>
      <c r="Y10" s="40">
        <f t="shared" si="23"/>
        <v>0</v>
      </c>
      <c r="Z10" s="40">
        <f t="shared" si="24"/>
        <v>0</v>
      </c>
      <c r="AA10" s="40">
        <f t="shared" si="25"/>
        <v>0</v>
      </c>
      <c r="AB10" s="43">
        <f t="shared" si="3"/>
        <v>0</v>
      </c>
      <c r="AC10" s="44">
        <f t="shared" si="26"/>
        <v>0</v>
      </c>
      <c r="AD10" s="45">
        <f t="shared" si="27"/>
        <v>0</v>
      </c>
      <c r="AE10" s="46"/>
      <c r="AF10" s="47"/>
      <c r="AG10" s="47"/>
      <c r="AH10" s="77">
        <f t="shared" si="28"/>
        <v>0</v>
      </c>
      <c r="AI10" s="77">
        <f t="shared" si="29"/>
        <v>0</v>
      </c>
      <c r="AJ10" s="77">
        <f t="shared" si="30"/>
        <v>0</v>
      </c>
      <c r="AK10" s="78">
        <f t="shared" si="50"/>
        <v>0</v>
      </c>
      <c r="AL10" s="77">
        <f t="shared" si="31"/>
        <v>0</v>
      </c>
      <c r="AM10" s="77">
        <f t="shared" si="32"/>
        <v>0</v>
      </c>
      <c r="AN10" s="77">
        <f t="shared" si="33"/>
        <v>0</v>
      </c>
      <c r="AO10" s="78">
        <f t="shared" si="4"/>
        <v>0</v>
      </c>
      <c r="AP10" s="77">
        <f t="shared" si="34"/>
        <v>0</v>
      </c>
      <c r="AQ10" s="77">
        <f t="shared" si="35"/>
        <v>0</v>
      </c>
      <c r="AR10" s="77">
        <f t="shared" si="36"/>
        <v>0</v>
      </c>
      <c r="AS10" s="78">
        <f t="shared" si="5"/>
        <v>0</v>
      </c>
      <c r="AT10" s="79">
        <f t="shared" si="37"/>
        <v>0</v>
      </c>
      <c r="AU10" s="77">
        <f t="shared" si="38"/>
        <v>0</v>
      </c>
      <c r="AV10" s="77">
        <f t="shared" si="39"/>
        <v>0</v>
      </c>
      <c r="AW10" s="78">
        <f t="shared" si="51"/>
        <v>0</v>
      </c>
      <c r="AX10" s="77">
        <f t="shared" si="40"/>
        <v>0</v>
      </c>
      <c r="AY10" s="77">
        <f t="shared" si="41"/>
        <v>0</v>
      </c>
      <c r="AZ10" s="77">
        <f t="shared" si="42"/>
        <v>0</v>
      </c>
      <c r="BA10" s="78">
        <f t="shared" si="6"/>
        <v>0</v>
      </c>
      <c r="BB10" s="77">
        <f t="shared" si="43"/>
        <v>0</v>
      </c>
      <c r="BC10" s="77">
        <f t="shared" si="44"/>
        <v>0</v>
      </c>
      <c r="BD10" s="77">
        <f t="shared" si="45"/>
        <v>0</v>
      </c>
      <c r="BE10" s="80">
        <f t="shared" si="7"/>
        <v>0</v>
      </c>
      <c r="BF10" s="44">
        <f t="shared" si="46"/>
        <v>0</v>
      </c>
      <c r="BG10" s="45">
        <f t="shared" si="47"/>
        <v>0</v>
      </c>
      <c r="BH10" s="46"/>
      <c r="BI10" s="47"/>
      <c r="BJ10" s="47"/>
    </row>
    <row r="11" spans="1:62">
      <c r="A11" s="84">
        <v>10</v>
      </c>
      <c r="B11" s="48"/>
      <c r="C11" s="49"/>
      <c r="D11" s="49"/>
      <c r="E11" s="40">
        <f t="shared" si="8"/>
        <v>0</v>
      </c>
      <c r="F11" s="40">
        <f t="shared" si="9"/>
        <v>0</v>
      </c>
      <c r="G11" s="40">
        <f t="shared" si="10"/>
        <v>0</v>
      </c>
      <c r="H11" s="41">
        <f t="shared" si="48"/>
        <v>0</v>
      </c>
      <c r="I11" s="40">
        <f t="shared" si="11"/>
        <v>0</v>
      </c>
      <c r="J11" s="40">
        <f t="shared" si="12"/>
        <v>0</v>
      </c>
      <c r="K11" s="40">
        <f t="shared" si="13"/>
        <v>0</v>
      </c>
      <c r="L11" s="41">
        <f t="shared" si="0"/>
        <v>0</v>
      </c>
      <c r="M11" s="40">
        <f t="shared" si="14"/>
        <v>0</v>
      </c>
      <c r="N11" s="40">
        <f t="shared" si="15"/>
        <v>0</v>
      </c>
      <c r="O11" s="40">
        <f t="shared" si="16"/>
        <v>0</v>
      </c>
      <c r="P11" s="41">
        <f t="shared" si="1"/>
        <v>0</v>
      </c>
      <c r="Q11" s="42">
        <f t="shared" si="17"/>
        <v>0</v>
      </c>
      <c r="R11" s="40">
        <f t="shared" si="18"/>
        <v>0</v>
      </c>
      <c r="S11" s="40">
        <f t="shared" si="19"/>
        <v>0</v>
      </c>
      <c r="T11" s="41">
        <f t="shared" si="49"/>
        <v>0</v>
      </c>
      <c r="U11" s="40">
        <f t="shared" si="20"/>
        <v>0</v>
      </c>
      <c r="V11" s="40">
        <f t="shared" si="21"/>
        <v>0</v>
      </c>
      <c r="W11" s="40">
        <f t="shared" si="22"/>
        <v>0</v>
      </c>
      <c r="X11" s="41">
        <f t="shared" si="2"/>
        <v>0</v>
      </c>
      <c r="Y11" s="40">
        <f t="shared" si="23"/>
        <v>0</v>
      </c>
      <c r="Z11" s="40">
        <f t="shared" si="24"/>
        <v>0</v>
      </c>
      <c r="AA11" s="40">
        <f t="shared" si="25"/>
        <v>0</v>
      </c>
      <c r="AB11" s="43">
        <f t="shared" si="3"/>
        <v>0</v>
      </c>
      <c r="AC11" s="44">
        <f t="shared" si="26"/>
        <v>0</v>
      </c>
      <c r="AD11" s="45">
        <f t="shared" si="27"/>
        <v>0</v>
      </c>
      <c r="AE11" s="46"/>
      <c r="AF11" s="47"/>
      <c r="AG11" s="47"/>
      <c r="AH11" s="77">
        <f t="shared" si="28"/>
        <v>0</v>
      </c>
      <c r="AI11" s="77">
        <f t="shared" si="29"/>
        <v>0</v>
      </c>
      <c r="AJ11" s="77">
        <f t="shared" si="30"/>
        <v>0</v>
      </c>
      <c r="AK11" s="78">
        <f t="shared" si="50"/>
        <v>0</v>
      </c>
      <c r="AL11" s="77">
        <f t="shared" si="31"/>
        <v>0</v>
      </c>
      <c r="AM11" s="77">
        <f t="shared" si="32"/>
        <v>0</v>
      </c>
      <c r="AN11" s="77">
        <f t="shared" si="33"/>
        <v>0</v>
      </c>
      <c r="AO11" s="78">
        <f t="shared" si="4"/>
        <v>0</v>
      </c>
      <c r="AP11" s="77">
        <f t="shared" si="34"/>
        <v>0</v>
      </c>
      <c r="AQ11" s="77">
        <f t="shared" si="35"/>
        <v>0</v>
      </c>
      <c r="AR11" s="77">
        <f t="shared" si="36"/>
        <v>0</v>
      </c>
      <c r="AS11" s="78">
        <f t="shared" si="5"/>
        <v>0</v>
      </c>
      <c r="AT11" s="79">
        <f t="shared" si="37"/>
        <v>0</v>
      </c>
      <c r="AU11" s="77">
        <f t="shared" si="38"/>
        <v>0</v>
      </c>
      <c r="AV11" s="77">
        <f t="shared" si="39"/>
        <v>0</v>
      </c>
      <c r="AW11" s="78">
        <f t="shared" si="51"/>
        <v>0</v>
      </c>
      <c r="AX11" s="77">
        <f t="shared" si="40"/>
        <v>0</v>
      </c>
      <c r="AY11" s="77">
        <f t="shared" si="41"/>
        <v>0</v>
      </c>
      <c r="AZ11" s="77">
        <f t="shared" si="42"/>
        <v>0</v>
      </c>
      <c r="BA11" s="78">
        <f t="shared" si="6"/>
        <v>0</v>
      </c>
      <c r="BB11" s="77">
        <f t="shared" si="43"/>
        <v>0</v>
      </c>
      <c r="BC11" s="77">
        <f t="shared" si="44"/>
        <v>0</v>
      </c>
      <c r="BD11" s="77">
        <f t="shared" si="45"/>
        <v>0</v>
      </c>
      <c r="BE11" s="80">
        <f t="shared" si="7"/>
        <v>0</v>
      </c>
      <c r="BF11" s="44">
        <f t="shared" si="46"/>
        <v>0</v>
      </c>
      <c r="BG11" s="45">
        <f t="shared" si="47"/>
        <v>0</v>
      </c>
      <c r="BH11" s="46"/>
      <c r="BI11" s="47"/>
      <c r="BJ11" s="47"/>
    </row>
    <row r="12" spans="1:62">
      <c r="A12" s="84">
        <v>11</v>
      </c>
      <c r="B12" s="48"/>
      <c r="C12" s="49"/>
      <c r="D12" s="49"/>
      <c r="E12" s="40">
        <f t="shared" si="8"/>
        <v>0</v>
      </c>
      <c r="F12" s="40">
        <f t="shared" si="9"/>
        <v>0</v>
      </c>
      <c r="G12" s="40">
        <f t="shared" si="10"/>
        <v>0</v>
      </c>
      <c r="H12" s="41">
        <f t="shared" si="48"/>
        <v>0</v>
      </c>
      <c r="I12" s="40">
        <f t="shared" si="11"/>
        <v>0</v>
      </c>
      <c r="J12" s="40">
        <f t="shared" si="12"/>
        <v>0</v>
      </c>
      <c r="K12" s="40">
        <f t="shared" si="13"/>
        <v>0</v>
      </c>
      <c r="L12" s="41">
        <f t="shared" si="0"/>
        <v>0</v>
      </c>
      <c r="M12" s="40">
        <f t="shared" si="14"/>
        <v>0</v>
      </c>
      <c r="N12" s="40">
        <f t="shared" si="15"/>
        <v>0</v>
      </c>
      <c r="O12" s="40">
        <f t="shared" si="16"/>
        <v>0</v>
      </c>
      <c r="P12" s="41">
        <f t="shared" si="1"/>
        <v>0</v>
      </c>
      <c r="Q12" s="42">
        <f t="shared" si="17"/>
        <v>0</v>
      </c>
      <c r="R12" s="40">
        <f t="shared" si="18"/>
        <v>0</v>
      </c>
      <c r="S12" s="40">
        <f t="shared" si="19"/>
        <v>0</v>
      </c>
      <c r="T12" s="41">
        <f t="shared" si="49"/>
        <v>0</v>
      </c>
      <c r="U12" s="40">
        <f t="shared" si="20"/>
        <v>0</v>
      </c>
      <c r="V12" s="40">
        <f t="shared" si="21"/>
        <v>0</v>
      </c>
      <c r="W12" s="40">
        <f t="shared" si="22"/>
        <v>0</v>
      </c>
      <c r="X12" s="41">
        <f t="shared" si="2"/>
        <v>0</v>
      </c>
      <c r="Y12" s="40">
        <f t="shared" si="23"/>
        <v>0</v>
      </c>
      <c r="Z12" s="40">
        <f t="shared" si="24"/>
        <v>0</v>
      </c>
      <c r="AA12" s="40">
        <f t="shared" si="25"/>
        <v>0</v>
      </c>
      <c r="AB12" s="43">
        <f t="shared" si="3"/>
        <v>0</v>
      </c>
      <c r="AC12" s="44">
        <f t="shared" si="26"/>
        <v>0</v>
      </c>
      <c r="AD12" s="45">
        <f t="shared" si="27"/>
        <v>0</v>
      </c>
      <c r="AE12" s="46"/>
      <c r="AF12" s="47"/>
      <c r="AG12" s="47"/>
      <c r="AH12" s="77">
        <f t="shared" si="28"/>
        <v>0</v>
      </c>
      <c r="AI12" s="77">
        <f t="shared" si="29"/>
        <v>0</v>
      </c>
      <c r="AJ12" s="77">
        <f t="shared" si="30"/>
        <v>0</v>
      </c>
      <c r="AK12" s="78">
        <f t="shared" si="50"/>
        <v>0</v>
      </c>
      <c r="AL12" s="77">
        <f t="shared" si="31"/>
        <v>0</v>
      </c>
      <c r="AM12" s="77">
        <f t="shared" si="32"/>
        <v>0</v>
      </c>
      <c r="AN12" s="77">
        <f t="shared" si="33"/>
        <v>0</v>
      </c>
      <c r="AO12" s="78">
        <f t="shared" si="4"/>
        <v>0</v>
      </c>
      <c r="AP12" s="77">
        <f t="shared" si="34"/>
        <v>0</v>
      </c>
      <c r="AQ12" s="77">
        <f t="shared" si="35"/>
        <v>0</v>
      </c>
      <c r="AR12" s="77">
        <f t="shared" si="36"/>
        <v>0</v>
      </c>
      <c r="AS12" s="78">
        <f t="shared" si="5"/>
        <v>0</v>
      </c>
      <c r="AT12" s="79">
        <f t="shared" si="37"/>
        <v>0</v>
      </c>
      <c r="AU12" s="77">
        <f t="shared" si="38"/>
        <v>0</v>
      </c>
      <c r="AV12" s="77">
        <f t="shared" si="39"/>
        <v>0</v>
      </c>
      <c r="AW12" s="78">
        <f t="shared" si="51"/>
        <v>0</v>
      </c>
      <c r="AX12" s="77">
        <f t="shared" si="40"/>
        <v>0</v>
      </c>
      <c r="AY12" s="77">
        <f t="shared" si="41"/>
        <v>0</v>
      </c>
      <c r="AZ12" s="77">
        <f t="shared" si="42"/>
        <v>0</v>
      </c>
      <c r="BA12" s="78">
        <f t="shared" si="6"/>
        <v>0</v>
      </c>
      <c r="BB12" s="77">
        <f t="shared" si="43"/>
        <v>0</v>
      </c>
      <c r="BC12" s="77">
        <f t="shared" si="44"/>
        <v>0</v>
      </c>
      <c r="BD12" s="77">
        <f t="shared" si="45"/>
        <v>0</v>
      </c>
      <c r="BE12" s="80">
        <f t="shared" si="7"/>
        <v>0</v>
      </c>
      <c r="BF12" s="44">
        <f t="shared" si="46"/>
        <v>0</v>
      </c>
      <c r="BG12" s="45">
        <f t="shared" si="47"/>
        <v>0</v>
      </c>
      <c r="BH12" s="46"/>
      <c r="BI12" s="47"/>
      <c r="BJ12" s="47"/>
    </row>
    <row r="13" spans="1:62">
      <c r="A13" s="84">
        <v>12</v>
      </c>
      <c r="B13" s="48"/>
      <c r="C13" s="49"/>
      <c r="D13" s="49"/>
      <c r="E13" s="40">
        <f t="shared" si="8"/>
        <v>0</v>
      </c>
      <c r="F13" s="40">
        <f t="shared" si="9"/>
        <v>0</v>
      </c>
      <c r="G13" s="40">
        <f t="shared" si="10"/>
        <v>0</v>
      </c>
      <c r="H13" s="41">
        <f t="shared" si="48"/>
        <v>0</v>
      </c>
      <c r="I13" s="40">
        <f t="shared" si="11"/>
        <v>0</v>
      </c>
      <c r="J13" s="40">
        <f t="shared" si="12"/>
        <v>0</v>
      </c>
      <c r="K13" s="40">
        <f t="shared" si="13"/>
        <v>0</v>
      </c>
      <c r="L13" s="41">
        <f t="shared" si="0"/>
        <v>0</v>
      </c>
      <c r="M13" s="40">
        <f t="shared" si="14"/>
        <v>0</v>
      </c>
      <c r="N13" s="40">
        <f t="shared" si="15"/>
        <v>0</v>
      </c>
      <c r="O13" s="40">
        <f t="shared" si="16"/>
        <v>0</v>
      </c>
      <c r="P13" s="41">
        <f t="shared" si="1"/>
        <v>0</v>
      </c>
      <c r="Q13" s="42">
        <f t="shared" si="17"/>
        <v>0</v>
      </c>
      <c r="R13" s="40">
        <f t="shared" si="18"/>
        <v>0</v>
      </c>
      <c r="S13" s="40">
        <f t="shared" si="19"/>
        <v>0</v>
      </c>
      <c r="T13" s="41">
        <f t="shared" si="49"/>
        <v>0</v>
      </c>
      <c r="U13" s="40">
        <f t="shared" si="20"/>
        <v>0</v>
      </c>
      <c r="V13" s="40">
        <f t="shared" si="21"/>
        <v>0</v>
      </c>
      <c r="W13" s="40">
        <f t="shared" si="22"/>
        <v>0</v>
      </c>
      <c r="X13" s="41">
        <f t="shared" si="2"/>
        <v>0</v>
      </c>
      <c r="Y13" s="40">
        <f t="shared" si="23"/>
        <v>0</v>
      </c>
      <c r="Z13" s="40">
        <f t="shared" si="24"/>
        <v>0</v>
      </c>
      <c r="AA13" s="40">
        <f t="shared" si="25"/>
        <v>0</v>
      </c>
      <c r="AB13" s="43">
        <f t="shared" si="3"/>
        <v>0</v>
      </c>
      <c r="AC13" s="44">
        <f t="shared" si="26"/>
        <v>0</v>
      </c>
      <c r="AD13" s="45">
        <f t="shared" si="27"/>
        <v>0</v>
      </c>
      <c r="AE13" s="46"/>
      <c r="AF13" s="47"/>
      <c r="AG13" s="47"/>
      <c r="AH13" s="77">
        <f t="shared" si="28"/>
        <v>0</v>
      </c>
      <c r="AI13" s="77">
        <f t="shared" si="29"/>
        <v>0</v>
      </c>
      <c r="AJ13" s="77">
        <f t="shared" si="30"/>
        <v>0</v>
      </c>
      <c r="AK13" s="78">
        <f t="shared" si="50"/>
        <v>0</v>
      </c>
      <c r="AL13" s="77">
        <f t="shared" si="31"/>
        <v>0</v>
      </c>
      <c r="AM13" s="77">
        <f t="shared" si="32"/>
        <v>0</v>
      </c>
      <c r="AN13" s="77">
        <f t="shared" si="33"/>
        <v>0</v>
      </c>
      <c r="AO13" s="78">
        <f t="shared" si="4"/>
        <v>0</v>
      </c>
      <c r="AP13" s="77">
        <f t="shared" si="34"/>
        <v>0</v>
      </c>
      <c r="AQ13" s="77">
        <f t="shared" si="35"/>
        <v>0</v>
      </c>
      <c r="AR13" s="77">
        <f t="shared" si="36"/>
        <v>0</v>
      </c>
      <c r="AS13" s="78">
        <f t="shared" si="5"/>
        <v>0</v>
      </c>
      <c r="AT13" s="79">
        <f t="shared" si="37"/>
        <v>0</v>
      </c>
      <c r="AU13" s="77">
        <f t="shared" si="38"/>
        <v>0</v>
      </c>
      <c r="AV13" s="77">
        <f t="shared" si="39"/>
        <v>0</v>
      </c>
      <c r="AW13" s="78">
        <f t="shared" si="51"/>
        <v>0</v>
      </c>
      <c r="AX13" s="77">
        <f t="shared" si="40"/>
        <v>0</v>
      </c>
      <c r="AY13" s="77">
        <f t="shared" si="41"/>
        <v>0</v>
      </c>
      <c r="AZ13" s="77">
        <f t="shared" si="42"/>
        <v>0</v>
      </c>
      <c r="BA13" s="78">
        <f t="shared" si="6"/>
        <v>0</v>
      </c>
      <c r="BB13" s="77">
        <f t="shared" si="43"/>
        <v>0</v>
      </c>
      <c r="BC13" s="77">
        <f t="shared" si="44"/>
        <v>0</v>
      </c>
      <c r="BD13" s="77">
        <f t="shared" si="45"/>
        <v>0</v>
      </c>
      <c r="BE13" s="80">
        <f t="shared" si="7"/>
        <v>0</v>
      </c>
      <c r="BF13" s="44">
        <f t="shared" si="46"/>
        <v>0</v>
      </c>
      <c r="BG13" s="45">
        <f t="shared" si="47"/>
        <v>0</v>
      </c>
      <c r="BH13" s="46"/>
      <c r="BI13" s="47"/>
      <c r="BJ13" s="47"/>
    </row>
    <row r="14" spans="1:62">
      <c r="A14" s="84">
        <v>13</v>
      </c>
      <c r="B14" s="48"/>
      <c r="C14" s="49"/>
      <c r="D14" s="49"/>
      <c r="E14" s="40">
        <f t="shared" si="8"/>
        <v>0</v>
      </c>
      <c r="F14" s="40">
        <f t="shared" si="9"/>
        <v>0</v>
      </c>
      <c r="G14" s="40">
        <f t="shared" si="10"/>
        <v>0</v>
      </c>
      <c r="H14" s="41">
        <f t="shared" si="48"/>
        <v>0</v>
      </c>
      <c r="I14" s="40">
        <f t="shared" si="11"/>
        <v>0</v>
      </c>
      <c r="J14" s="40">
        <f t="shared" si="12"/>
        <v>0</v>
      </c>
      <c r="K14" s="40">
        <f t="shared" si="13"/>
        <v>0</v>
      </c>
      <c r="L14" s="41">
        <f t="shared" si="0"/>
        <v>0</v>
      </c>
      <c r="M14" s="40">
        <f t="shared" si="14"/>
        <v>0</v>
      </c>
      <c r="N14" s="40">
        <f t="shared" si="15"/>
        <v>0</v>
      </c>
      <c r="O14" s="40">
        <f t="shared" si="16"/>
        <v>0</v>
      </c>
      <c r="P14" s="41">
        <f t="shared" si="1"/>
        <v>0</v>
      </c>
      <c r="Q14" s="42">
        <f t="shared" si="17"/>
        <v>0</v>
      </c>
      <c r="R14" s="40">
        <f t="shared" si="18"/>
        <v>0</v>
      </c>
      <c r="S14" s="40">
        <f t="shared" si="19"/>
        <v>0</v>
      </c>
      <c r="T14" s="41">
        <f t="shared" si="49"/>
        <v>0</v>
      </c>
      <c r="U14" s="40">
        <f t="shared" si="20"/>
        <v>0</v>
      </c>
      <c r="V14" s="40">
        <f t="shared" si="21"/>
        <v>0</v>
      </c>
      <c r="W14" s="40">
        <f t="shared" si="22"/>
        <v>0</v>
      </c>
      <c r="X14" s="41">
        <f t="shared" si="2"/>
        <v>0</v>
      </c>
      <c r="Y14" s="40">
        <f t="shared" si="23"/>
        <v>0</v>
      </c>
      <c r="Z14" s="40">
        <f t="shared" si="24"/>
        <v>0</v>
      </c>
      <c r="AA14" s="40">
        <f t="shared" si="25"/>
        <v>0</v>
      </c>
      <c r="AB14" s="43">
        <f t="shared" si="3"/>
        <v>0</v>
      </c>
      <c r="AC14" s="44">
        <f t="shared" si="26"/>
        <v>0</v>
      </c>
      <c r="AD14" s="45">
        <f t="shared" si="27"/>
        <v>0</v>
      </c>
      <c r="AE14" s="46"/>
      <c r="AF14" s="47"/>
      <c r="AG14" s="47"/>
      <c r="AH14" s="77">
        <f t="shared" si="28"/>
        <v>0</v>
      </c>
      <c r="AI14" s="77">
        <f t="shared" si="29"/>
        <v>0</v>
      </c>
      <c r="AJ14" s="77">
        <f t="shared" si="30"/>
        <v>0</v>
      </c>
      <c r="AK14" s="78">
        <f t="shared" si="50"/>
        <v>0</v>
      </c>
      <c r="AL14" s="77">
        <f t="shared" si="31"/>
        <v>0</v>
      </c>
      <c r="AM14" s="77">
        <f t="shared" si="32"/>
        <v>0</v>
      </c>
      <c r="AN14" s="77">
        <f t="shared" si="33"/>
        <v>0</v>
      </c>
      <c r="AO14" s="78">
        <f t="shared" si="4"/>
        <v>0</v>
      </c>
      <c r="AP14" s="77">
        <f t="shared" si="34"/>
        <v>0</v>
      </c>
      <c r="AQ14" s="77">
        <f t="shared" si="35"/>
        <v>0</v>
      </c>
      <c r="AR14" s="77">
        <f t="shared" si="36"/>
        <v>0</v>
      </c>
      <c r="AS14" s="78">
        <f t="shared" si="5"/>
        <v>0</v>
      </c>
      <c r="AT14" s="79">
        <f t="shared" si="37"/>
        <v>0</v>
      </c>
      <c r="AU14" s="77">
        <f t="shared" si="38"/>
        <v>0</v>
      </c>
      <c r="AV14" s="77">
        <f t="shared" si="39"/>
        <v>0</v>
      </c>
      <c r="AW14" s="78">
        <f t="shared" si="51"/>
        <v>0</v>
      </c>
      <c r="AX14" s="77">
        <f t="shared" si="40"/>
        <v>0</v>
      </c>
      <c r="AY14" s="77">
        <f t="shared" si="41"/>
        <v>0</v>
      </c>
      <c r="AZ14" s="77">
        <f t="shared" si="42"/>
        <v>0</v>
      </c>
      <c r="BA14" s="78">
        <f t="shared" si="6"/>
        <v>0</v>
      </c>
      <c r="BB14" s="77">
        <f t="shared" si="43"/>
        <v>0</v>
      </c>
      <c r="BC14" s="77">
        <f t="shared" si="44"/>
        <v>0</v>
      </c>
      <c r="BD14" s="77">
        <f t="shared" si="45"/>
        <v>0</v>
      </c>
      <c r="BE14" s="80">
        <f t="shared" si="7"/>
        <v>0</v>
      </c>
      <c r="BF14" s="44">
        <f t="shared" si="46"/>
        <v>0</v>
      </c>
      <c r="BG14" s="45">
        <f t="shared" si="47"/>
        <v>0</v>
      </c>
      <c r="BH14" s="46"/>
      <c r="BI14" s="47"/>
      <c r="BJ14" s="47"/>
    </row>
    <row r="15" spans="1:62">
      <c r="A15" s="84">
        <v>14</v>
      </c>
      <c r="B15" s="48"/>
      <c r="C15" s="49"/>
      <c r="D15" s="49"/>
      <c r="E15" s="40">
        <f t="shared" si="8"/>
        <v>0</v>
      </c>
      <c r="F15" s="40">
        <f t="shared" si="9"/>
        <v>0</v>
      </c>
      <c r="G15" s="40">
        <f t="shared" si="10"/>
        <v>0</v>
      </c>
      <c r="H15" s="41">
        <f t="shared" si="48"/>
        <v>0</v>
      </c>
      <c r="I15" s="40">
        <f t="shared" si="11"/>
        <v>0</v>
      </c>
      <c r="J15" s="40">
        <f t="shared" si="12"/>
        <v>0</v>
      </c>
      <c r="K15" s="40">
        <f t="shared" si="13"/>
        <v>0</v>
      </c>
      <c r="L15" s="41">
        <f t="shared" si="0"/>
        <v>0</v>
      </c>
      <c r="M15" s="40">
        <f t="shared" si="14"/>
        <v>0</v>
      </c>
      <c r="N15" s="40">
        <f t="shared" si="15"/>
        <v>0</v>
      </c>
      <c r="O15" s="40">
        <f t="shared" si="16"/>
        <v>0</v>
      </c>
      <c r="P15" s="41">
        <f t="shared" si="1"/>
        <v>0</v>
      </c>
      <c r="Q15" s="42">
        <f t="shared" si="17"/>
        <v>0</v>
      </c>
      <c r="R15" s="40">
        <f t="shared" si="18"/>
        <v>0</v>
      </c>
      <c r="S15" s="40">
        <f t="shared" si="19"/>
        <v>0</v>
      </c>
      <c r="T15" s="41">
        <f t="shared" si="49"/>
        <v>0</v>
      </c>
      <c r="U15" s="40">
        <f t="shared" si="20"/>
        <v>0</v>
      </c>
      <c r="V15" s="40">
        <f t="shared" si="21"/>
        <v>0</v>
      </c>
      <c r="W15" s="40">
        <f t="shared" si="22"/>
        <v>0</v>
      </c>
      <c r="X15" s="41">
        <f t="shared" si="2"/>
        <v>0</v>
      </c>
      <c r="Y15" s="40">
        <f t="shared" si="23"/>
        <v>0</v>
      </c>
      <c r="Z15" s="40">
        <f t="shared" si="24"/>
        <v>0</v>
      </c>
      <c r="AA15" s="40">
        <f t="shared" si="25"/>
        <v>0</v>
      </c>
      <c r="AB15" s="43">
        <f t="shared" si="3"/>
        <v>0</v>
      </c>
      <c r="AC15" s="44">
        <f t="shared" si="26"/>
        <v>0</v>
      </c>
      <c r="AD15" s="45">
        <f t="shared" si="27"/>
        <v>0</v>
      </c>
      <c r="AE15" s="46"/>
      <c r="AF15" s="47"/>
      <c r="AG15" s="47"/>
      <c r="AH15" s="77">
        <f t="shared" si="28"/>
        <v>0</v>
      </c>
      <c r="AI15" s="77">
        <f t="shared" si="29"/>
        <v>0</v>
      </c>
      <c r="AJ15" s="77">
        <f t="shared" si="30"/>
        <v>0</v>
      </c>
      <c r="AK15" s="78">
        <f t="shared" si="50"/>
        <v>0</v>
      </c>
      <c r="AL15" s="77">
        <f t="shared" si="31"/>
        <v>0</v>
      </c>
      <c r="AM15" s="77">
        <f t="shared" si="32"/>
        <v>0</v>
      </c>
      <c r="AN15" s="77">
        <f t="shared" si="33"/>
        <v>0</v>
      </c>
      <c r="AO15" s="78">
        <f t="shared" si="4"/>
        <v>0</v>
      </c>
      <c r="AP15" s="77">
        <f t="shared" si="34"/>
        <v>0</v>
      </c>
      <c r="AQ15" s="77">
        <f t="shared" si="35"/>
        <v>0</v>
      </c>
      <c r="AR15" s="77">
        <f t="shared" si="36"/>
        <v>0</v>
      </c>
      <c r="AS15" s="78">
        <f t="shared" si="5"/>
        <v>0</v>
      </c>
      <c r="AT15" s="79">
        <f t="shared" si="37"/>
        <v>0</v>
      </c>
      <c r="AU15" s="77">
        <f t="shared" si="38"/>
        <v>0</v>
      </c>
      <c r="AV15" s="77">
        <f t="shared" si="39"/>
        <v>0</v>
      </c>
      <c r="AW15" s="78">
        <f t="shared" si="51"/>
        <v>0</v>
      </c>
      <c r="AX15" s="77">
        <f t="shared" si="40"/>
        <v>0</v>
      </c>
      <c r="AY15" s="77">
        <f t="shared" si="41"/>
        <v>0</v>
      </c>
      <c r="AZ15" s="77">
        <f t="shared" si="42"/>
        <v>0</v>
      </c>
      <c r="BA15" s="78">
        <f t="shared" si="6"/>
        <v>0</v>
      </c>
      <c r="BB15" s="77">
        <f t="shared" si="43"/>
        <v>0</v>
      </c>
      <c r="BC15" s="77">
        <f t="shared" si="44"/>
        <v>0</v>
      </c>
      <c r="BD15" s="77">
        <f t="shared" si="45"/>
        <v>0</v>
      </c>
      <c r="BE15" s="80">
        <f t="shared" si="7"/>
        <v>0</v>
      </c>
      <c r="BF15" s="44">
        <f t="shared" si="46"/>
        <v>0</v>
      </c>
      <c r="BG15" s="45">
        <f t="shared" si="47"/>
        <v>0</v>
      </c>
      <c r="BH15" s="46"/>
      <c r="BI15" s="47"/>
      <c r="BJ15" s="47"/>
    </row>
    <row r="16" spans="1:62">
      <c r="A16" s="84">
        <v>15</v>
      </c>
      <c r="B16" s="48"/>
      <c r="C16" s="49"/>
      <c r="D16" s="49"/>
      <c r="E16" s="40">
        <f t="shared" si="8"/>
        <v>0</v>
      </c>
      <c r="F16" s="40">
        <f t="shared" si="9"/>
        <v>0</v>
      </c>
      <c r="G16" s="40">
        <f t="shared" si="10"/>
        <v>0</v>
      </c>
      <c r="H16" s="41">
        <f t="shared" si="48"/>
        <v>0</v>
      </c>
      <c r="I16" s="40">
        <f t="shared" si="11"/>
        <v>0</v>
      </c>
      <c r="J16" s="40">
        <f t="shared" si="12"/>
        <v>0</v>
      </c>
      <c r="K16" s="40">
        <f t="shared" si="13"/>
        <v>0</v>
      </c>
      <c r="L16" s="41">
        <f t="shared" si="0"/>
        <v>0</v>
      </c>
      <c r="M16" s="40">
        <f t="shared" si="14"/>
        <v>0</v>
      </c>
      <c r="N16" s="40">
        <f t="shared" si="15"/>
        <v>0</v>
      </c>
      <c r="O16" s="40">
        <f t="shared" si="16"/>
        <v>0</v>
      </c>
      <c r="P16" s="41">
        <f t="shared" si="1"/>
        <v>0</v>
      </c>
      <c r="Q16" s="42">
        <f t="shared" si="17"/>
        <v>0</v>
      </c>
      <c r="R16" s="40">
        <f t="shared" si="18"/>
        <v>0</v>
      </c>
      <c r="S16" s="40">
        <f t="shared" si="19"/>
        <v>0</v>
      </c>
      <c r="T16" s="41">
        <f t="shared" si="49"/>
        <v>0</v>
      </c>
      <c r="U16" s="40">
        <f t="shared" si="20"/>
        <v>0</v>
      </c>
      <c r="V16" s="40">
        <f t="shared" si="21"/>
        <v>0</v>
      </c>
      <c r="W16" s="40">
        <f t="shared" si="22"/>
        <v>0</v>
      </c>
      <c r="X16" s="41">
        <f t="shared" si="2"/>
        <v>0</v>
      </c>
      <c r="Y16" s="40">
        <f t="shared" si="23"/>
        <v>0</v>
      </c>
      <c r="Z16" s="40">
        <f t="shared" si="24"/>
        <v>0</v>
      </c>
      <c r="AA16" s="40">
        <f t="shared" si="25"/>
        <v>0</v>
      </c>
      <c r="AB16" s="43">
        <f t="shared" si="3"/>
        <v>0</v>
      </c>
      <c r="AC16" s="44">
        <f t="shared" si="26"/>
        <v>0</v>
      </c>
      <c r="AD16" s="45">
        <f t="shared" si="27"/>
        <v>0</v>
      </c>
      <c r="AE16" s="46"/>
      <c r="AF16" s="47"/>
      <c r="AG16" s="47"/>
      <c r="AH16" s="77">
        <f t="shared" si="28"/>
        <v>0</v>
      </c>
      <c r="AI16" s="77">
        <f t="shared" si="29"/>
        <v>0</v>
      </c>
      <c r="AJ16" s="77">
        <f t="shared" si="30"/>
        <v>0</v>
      </c>
      <c r="AK16" s="78">
        <f t="shared" si="50"/>
        <v>0</v>
      </c>
      <c r="AL16" s="77">
        <f t="shared" si="31"/>
        <v>0</v>
      </c>
      <c r="AM16" s="77">
        <f t="shared" si="32"/>
        <v>0</v>
      </c>
      <c r="AN16" s="77">
        <f t="shared" si="33"/>
        <v>0</v>
      </c>
      <c r="AO16" s="78">
        <f t="shared" si="4"/>
        <v>0</v>
      </c>
      <c r="AP16" s="77">
        <f t="shared" si="34"/>
        <v>0</v>
      </c>
      <c r="AQ16" s="77">
        <f t="shared" si="35"/>
        <v>0</v>
      </c>
      <c r="AR16" s="77">
        <f t="shared" si="36"/>
        <v>0</v>
      </c>
      <c r="AS16" s="78">
        <f t="shared" si="5"/>
        <v>0</v>
      </c>
      <c r="AT16" s="79">
        <f t="shared" si="37"/>
        <v>0</v>
      </c>
      <c r="AU16" s="77">
        <f t="shared" si="38"/>
        <v>0</v>
      </c>
      <c r="AV16" s="77">
        <f t="shared" si="39"/>
        <v>0</v>
      </c>
      <c r="AW16" s="78">
        <f t="shared" si="51"/>
        <v>0</v>
      </c>
      <c r="AX16" s="77">
        <f t="shared" si="40"/>
        <v>0</v>
      </c>
      <c r="AY16" s="77">
        <f t="shared" si="41"/>
        <v>0</v>
      </c>
      <c r="AZ16" s="77">
        <f t="shared" si="42"/>
        <v>0</v>
      </c>
      <c r="BA16" s="78">
        <f t="shared" si="6"/>
        <v>0</v>
      </c>
      <c r="BB16" s="77">
        <f t="shared" si="43"/>
        <v>0</v>
      </c>
      <c r="BC16" s="77">
        <f t="shared" si="44"/>
        <v>0</v>
      </c>
      <c r="BD16" s="77">
        <f t="shared" si="45"/>
        <v>0</v>
      </c>
      <c r="BE16" s="80">
        <f t="shared" si="7"/>
        <v>0</v>
      </c>
      <c r="BF16" s="44">
        <f t="shared" si="46"/>
        <v>0</v>
      </c>
      <c r="BG16" s="45">
        <f t="shared" si="47"/>
        <v>0</v>
      </c>
      <c r="BH16" s="46"/>
      <c r="BI16" s="47"/>
      <c r="BJ16" s="47"/>
    </row>
    <row r="17" spans="1:62">
      <c r="A17" s="84">
        <v>16</v>
      </c>
      <c r="B17" s="48"/>
      <c r="C17" s="49"/>
      <c r="D17" s="49"/>
      <c r="E17" s="40">
        <f t="shared" si="8"/>
        <v>0</v>
      </c>
      <c r="F17" s="40">
        <f t="shared" si="9"/>
        <v>0</v>
      </c>
      <c r="G17" s="40">
        <f t="shared" si="10"/>
        <v>0</v>
      </c>
      <c r="H17" s="41">
        <f t="shared" si="48"/>
        <v>0</v>
      </c>
      <c r="I17" s="40">
        <f t="shared" si="11"/>
        <v>0</v>
      </c>
      <c r="J17" s="40">
        <f t="shared" si="12"/>
        <v>0</v>
      </c>
      <c r="K17" s="40">
        <f t="shared" si="13"/>
        <v>0</v>
      </c>
      <c r="L17" s="41">
        <f t="shared" si="0"/>
        <v>0</v>
      </c>
      <c r="M17" s="40">
        <f t="shared" si="14"/>
        <v>0</v>
      </c>
      <c r="N17" s="40">
        <f t="shared" si="15"/>
        <v>0</v>
      </c>
      <c r="O17" s="40">
        <f t="shared" si="16"/>
        <v>0</v>
      </c>
      <c r="P17" s="41">
        <f t="shared" si="1"/>
        <v>0</v>
      </c>
      <c r="Q17" s="42">
        <f t="shared" si="17"/>
        <v>0</v>
      </c>
      <c r="R17" s="40">
        <f t="shared" si="18"/>
        <v>0</v>
      </c>
      <c r="S17" s="40">
        <f t="shared" si="19"/>
        <v>0</v>
      </c>
      <c r="T17" s="41">
        <f t="shared" si="49"/>
        <v>0</v>
      </c>
      <c r="U17" s="40">
        <f t="shared" si="20"/>
        <v>0</v>
      </c>
      <c r="V17" s="40">
        <f t="shared" si="21"/>
        <v>0</v>
      </c>
      <c r="W17" s="40">
        <f t="shared" si="22"/>
        <v>0</v>
      </c>
      <c r="X17" s="41">
        <f t="shared" si="2"/>
        <v>0</v>
      </c>
      <c r="Y17" s="40">
        <f t="shared" si="23"/>
        <v>0</v>
      </c>
      <c r="Z17" s="40">
        <f t="shared" si="24"/>
        <v>0</v>
      </c>
      <c r="AA17" s="40">
        <f t="shared" si="25"/>
        <v>0</v>
      </c>
      <c r="AB17" s="43">
        <f t="shared" si="3"/>
        <v>0</v>
      </c>
      <c r="AC17" s="44">
        <f t="shared" si="26"/>
        <v>0</v>
      </c>
      <c r="AD17" s="45">
        <f t="shared" si="27"/>
        <v>0</v>
      </c>
      <c r="AE17" s="46"/>
      <c r="AF17" s="47"/>
      <c r="AG17" s="47"/>
      <c r="AH17" s="77">
        <f t="shared" si="28"/>
        <v>0</v>
      </c>
      <c r="AI17" s="77">
        <f t="shared" si="29"/>
        <v>0</v>
      </c>
      <c r="AJ17" s="77">
        <f t="shared" si="30"/>
        <v>0</v>
      </c>
      <c r="AK17" s="78">
        <f t="shared" si="50"/>
        <v>0</v>
      </c>
      <c r="AL17" s="77">
        <f t="shared" si="31"/>
        <v>0</v>
      </c>
      <c r="AM17" s="77">
        <f t="shared" si="32"/>
        <v>0</v>
      </c>
      <c r="AN17" s="77">
        <f t="shared" si="33"/>
        <v>0</v>
      </c>
      <c r="AO17" s="78">
        <f t="shared" si="4"/>
        <v>0</v>
      </c>
      <c r="AP17" s="77">
        <f t="shared" si="34"/>
        <v>0</v>
      </c>
      <c r="AQ17" s="77">
        <f t="shared" si="35"/>
        <v>0</v>
      </c>
      <c r="AR17" s="77">
        <f t="shared" si="36"/>
        <v>0</v>
      </c>
      <c r="AS17" s="78">
        <f t="shared" si="5"/>
        <v>0</v>
      </c>
      <c r="AT17" s="79">
        <f t="shared" si="37"/>
        <v>0</v>
      </c>
      <c r="AU17" s="77">
        <f t="shared" si="38"/>
        <v>0</v>
      </c>
      <c r="AV17" s="77">
        <f t="shared" si="39"/>
        <v>0</v>
      </c>
      <c r="AW17" s="78">
        <f t="shared" si="51"/>
        <v>0</v>
      </c>
      <c r="AX17" s="77">
        <f t="shared" si="40"/>
        <v>0</v>
      </c>
      <c r="AY17" s="77">
        <f t="shared" si="41"/>
        <v>0</v>
      </c>
      <c r="AZ17" s="77">
        <f t="shared" si="42"/>
        <v>0</v>
      </c>
      <c r="BA17" s="78">
        <f t="shared" si="6"/>
        <v>0</v>
      </c>
      <c r="BB17" s="77">
        <f t="shared" si="43"/>
        <v>0</v>
      </c>
      <c r="BC17" s="77">
        <f t="shared" si="44"/>
        <v>0</v>
      </c>
      <c r="BD17" s="77">
        <f t="shared" si="45"/>
        <v>0</v>
      </c>
      <c r="BE17" s="80">
        <f t="shared" si="7"/>
        <v>0</v>
      </c>
      <c r="BF17" s="44">
        <f t="shared" si="46"/>
        <v>0</v>
      </c>
      <c r="BG17" s="45">
        <f t="shared" si="47"/>
        <v>0</v>
      </c>
      <c r="BH17" s="46"/>
      <c r="BI17" s="47"/>
      <c r="BJ17" s="47"/>
    </row>
    <row r="18" spans="1:62">
      <c r="A18" s="84">
        <v>17</v>
      </c>
      <c r="B18" s="48"/>
      <c r="C18" s="49"/>
      <c r="D18" s="49"/>
      <c r="E18" s="40">
        <f t="shared" si="8"/>
        <v>0</v>
      </c>
      <c r="F18" s="40">
        <f t="shared" si="9"/>
        <v>0</v>
      </c>
      <c r="G18" s="40">
        <f t="shared" si="10"/>
        <v>0</v>
      </c>
      <c r="H18" s="41">
        <f t="shared" si="48"/>
        <v>0</v>
      </c>
      <c r="I18" s="40">
        <f t="shared" si="11"/>
        <v>0</v>
      </c>
      <c r="J18" s="40">
        <f t="shared" si="12"/>
        <v>0</v>
      </c>
      <c r="K18" s="40">
        <f t="shared" si="13"/>
        <v>0</v>
      </c>
      <c r="L18" s="41">
        <f t="shared" si="0"/>
        <v>0</v>
      </c>
      <c r="M18" s="40">
        <f t="shared" si="14"/>
        <v>0</v>
      </c>
      <c r="N18" s="40">
        <f t="shared" si="15"/>
        <v>0</v>
      </c>
      <c r="O18" s="40">
        <f t="shared" si="16"/>
        <v>0</v>
      </c>
      <c r="P18" s="41">
        <f t="shared" si="1"/>
        <v>0</v>
      </c>
      <c r="Q18" s="42">
        <f t="shared" si="17"/>
        <v>0</v>
      </c>
      <c r="R18" s="40">
        <f t="shared" si="18"/>
        <v>0</v>
      </c>
      <c r="S18" s="40">
        <f t="shared" si="19"/>
        <v>0</v>
      </c>
      <c r="T18" s="41">
        <f t="shared" si="49"/>
        <v>0</v>
      </c>
      <c r="U18" s="40">
        <f t="shared" si="20"/>
        <v>0</v>
      </c>
      <c r="V18" s="40">
        <f t="shared" si="21"/>
        <v>0</v>
      </c>
      <c r="W18" s="40">
        <f t="shared" si="22"/>
        <v>0</v>
      </c>
      <c r="X18" s="41">
        <f t="shared" si="2"/>
        <v>0</v>
      </c>
      <c r="Y18" s="40">
        <f t="shared" si="23"/>
        <v>0</v>
      </c>
      <c r="Z18" s="40">
        <f t="shared" si="24"/>
        <v>0</v>
      </c>
      <c r="AA18" s="40">
        <f t="shared" si="25"/>
        <v>0</v>
      </c>
      <c r="AB18" s="43">
        <f t="shared" si="3"/>
        <v>0</v>
      </c>
      <c r="AC18" s="44">
        <f t="shared" si="26"/>
        <v>0</v>
      </c>
      <c r="AD18" s="45">
        <f t="shared" si="27"/>
        <v>0</v>
      </c>
      <c r="AE18" s="46"/>
      <c r="AF18" s="47"/>
      <c r="AG18" s="47"/>
      <c r="AH18" s="77">
        <f t="shared" si="28"/>
        <v>0</v>
      </c>
      <c r="AI18" s="77">
        <f t="shared" si="29"/>
        <v>0</v>
      </c>
      <c r="AJ18" s="77">
        <f t="shared" si="30"/>
        <v>0</v>
      </c>
      <c r="AK18" s="78">
        <f t="shared" si="50"/>
        <v>0</v>
      </c>
      <c r="AL18" s="77">
        <f t="shared" si="31"/>
        <v>0</v>
      </c>
      <c r="AM18" s="77">
        <f t="shared" si="32"/>
        <v>0</v>
      </c>
      <c r="AN18" s="77">
        <f t="shared" si="33"/>
        <v>0</v>
      </c>
      <c r="AO18" s="78">
        <f t="shared" si="4"/>
        <v>0</v>
      </c>
      <c r="AP18" s="77">
        <f t="shared" si="34"/>
        <v>0</v>
      </c>
      <c r="AQ18" s="77">
        <f t="shared" si="35"/>
        <v>0</v>
      </c>
      <c r="AR18" s="77">
        <f t="shared" si="36"/>
        <v>0</v>
      </c>
      <c r="AS18" s="78">
        <f t="shared" si="5"/>
        <v>0</v>
      </c>
      <c r="AT18" s="79">
        <f t="shared" si="37"/>
        <v>0</v>
      </c>
      <c r="AU18" s="77">
        <f t="shared" si="38"/>
        <v>0</v>
      </c>
      <c r="AV18" s="77">
        <f t="shared" si="39"/>
        <v>0</v>
      </c>
      <c r="AW18" s="78">
        <f t="shared" si="51"/>
        <v>0</v>
      </c>
      <c r="AX18" s="77">
        <f t="shared" si="40"/>
        <v>0</v>
      </c>
      <c r="AY18" s="77">
        <f t="shared" si="41"/>
        <v>0</v>
      </c>
      <c r="AZ18" s="77">
        <f t="shared" si="42"/>
        <v>0</v>
      </c>
      <c r="BA18" s="78">
        <f t="shared" si="6"/>
        <v>0</v>
      </c>
      <c r="BB18" s="77">
        <f t="shared" si="43"/>
        <v>0</v>
      </c>
      <c r="BC18" s="77">
        <f t="shared" si="44"/>
        <v>0</v>
      </c>
      <c r="BD18" s="77">
        <f t="shared" si="45"/>
        <v>0</v>
      </c>
      <c r="BE18" s="80">
        <f t="shared" si="7"/>
        <v>0</v>
      </c>
      <c r="BF18" s="44">
        <f t="shared" si="46"/>
        <v>0</v>
      </c>
      <c r="BG18" s="45">
        <f t="shared" si="47"/>
        <v>0</v>
      </c>
      <c r="BH18" s="46"/>
      <c r="BI18" s="47"/>
      <c r="BJ18" s="47"/>
    </row>
    <row r="19" spans="1:62">
      <c r="A19" s="84">
        <v>18</v>
      </c>
      <c r="B19" s="48"/>
      <c r="C19" s="49"/>
      <c r="D19" s="49"/>
      <c r="E19" s="40">
        <f t="shared" si="8"/>
        <v>0</v>
      </c>
      <c r="F19" s="40">
        <f t="shared" si="9"/>
        <v>0</v>
      </c>
      <c r="G19" s="40">
        <f t="shared" si="10"/>
        <v>0</v>
      </c>
      <c r="H19" s="41">
        <f t="shared" si="48"/>
        <v>0</v>
      </c>
      <c r="I19" s="40">
        <f t="shared" si="11"/>
        <v>0</v>
      </c>
      <c r="J19" s="40">
        <f t="shared" si="12"/>
        <v>0</v>
      </c>
      <c r="K19" s="40">
        <f t="shared" si="13"/>
        <v>0</v>
      </c>
      <c r="L19" s="41">
        <f t="shared" si="0"/>
        <v>0</v>
      </c>
      <c r="M19" s="40">
        <f t="shared" si="14"/>
        <v>0</v>
      </c>
      <c r="N19" s="40">
        <f t="shared" si="15"/>
        <v>0</v>
      </c>
      <c r="O19" s="40">
        <f t="shared" si="16"/>
        <v>0</v>
      </c>
      <c r="P19" s="41">
        <f t="shared" si="1"/>
        <v>0</v>
      </c>
      <c r="Q19" s="42">
        <f t="shared" si="17"/>
        <v>0</v>
      </c>
      <c r="R19" s="40">
        <f t="shared" si="18"/>
        <v>0</v>
      </c>
      <c r="S19" s="40">
        <f t="shared" si="19"/>
        <v>0</v>
      </c>
      <c r="T19" s="41">
        <f t="shared" si="49"/>
        <v>0</v>
      </c>
      <c r="U19" s="40">
        <f t="shared" si="20"/>
        <v>0</v>
      </c>
      <c r="V19" s="40">
        <f t="shared" si="21"/>
        <v>0</v>
      </c>
      <c r="W19" s="40">
        <f t="shared" si="22"/>
        <v>0</v>
      </c>
      <c r="X19" s="41">
        <f t="shared" si="2"/>
        <v>0</v>
      </c>
      <c r="Y19" s="40">
        <f t="shared" si="23"/>
        <v>0</v>
      </c>
      <c r="Z19" s="40">
        <f t="shared" si="24"/>
        <v>0</v>
      </c>
      <c r="AA19" s="40">
        <f t="shared" si="25"/>
        <v>0</v>
      </c>
      <c r="AB19" s="43">
        <f t="shared" si="3"/>
        <v>0</v>
      </c>
      <c r="AC19" s="44">
        <f t="shared" si="26"/>
        <v>0</v>
      </c>
      <c r="AD19" s="45">
        <f t="shared" si="27"/>
        <v>0</v>
      </c>
      <c r="AE19" s="46"/>
      <c r="AF19" s="47"/>
      <c r="AG19" s="47"/>
      <c r="AH19" s="77">
        <f t="shared" si="28"/>
        <v>0</v>
      </c>
      <c r="AI19" s="77">
        <f t="shared" si="29"/>
        <v>0</v>
      </c>
      <c r="AJ19" s="77">
        <f t="shared" si="30"/>
        <v>0</v>
      </c>
      <c r="AK19" s="78">
        <f t="shared" si="50"/>
        <v>0</v>
      </c>
      <c r="AL19" s="77">
        <f t="shared" si="31"/>
        <v>0</v>
      </c>
      <c r="AM19" s="77">
        <f t="shared" si="32"/>
        <v>0</v>
      </c>
      <c r="AN19" s="77">
        <f t="shared" si="33"/>
        <v>0</v>
      </c>
      <c r="AO19" s="78">
        <f t="shared" si="4"/>
        <v>0</v>
      </c>
      <c r="AP19" s="77">
        <f t="shared" si="34"/>
        <v>0</v>
      </c>
      <c r="AQ19" s="77">
        <f t="shared" si="35"/>
        <v>0</v>
      </c>
      <c r="AR19" s="77">
        <f t="shared" si="36"/>
        <v>0</v>
      </c>
      <c r="AS19" s="78">
        <f t="shared" si="5"/>
        <v>0</v>
      </c>
      <c r="AT19" s="79">
        <f t="shared" si="37"/>
        <v>0</v>
      </c>
      <c r="AU19" s="77">
        <f t="shared" si="38"/>
        <v>0</v>
      </c>
      <c r="AV19" s="77">
        <f t="shared" si="39"/>
        <v>0</v>
      </c>
      <c r="AW19" s="78">
        <f t="shared" si="51"/>
        <v>0</v>
      </c>
      <c r="AX19" s="77">
        <f t="shared" si="40"/>
        <v>0</v>
      </c>
      <c r="AY19" s="77">
        <f t="shared" si="41"/>
        <v>0</v>
      </c>
      <c r="AZ19" s="77">
        <f t="shared" si="42"/>
        <v>0</v>
      </c>
      <c r="BA19" s="78">
        <f t="shared" si="6"/>
        <v>0</v>
      </c>
      <c r="BB19" s="77">
        <f t="shared" si="43"/>
        <v>0</v>
      </c>
      <c r="BC19" s="77">
        <f t="shared" si="44"/>
        <v>0</v>
      </c>
      <c r="BD19" s="77">
        <f t="shared" si="45"/>
        <v>0</v>
      </c>
      <c r="BE19" s="80">
        <f t="shared" si="7"/>
        <v>0</v>
      </c>
      <c r="BF19" s="44">
        <f t="shared" si="46"/>
        <v>0</v>
      </c>
      <c r="BG19" s="45">
        <f t="shared" si="47"/>
        <v>0</v>
      </c>
      <c r="BH19" s="46"/>
      <c r="BI19" s="47"/>
      <c r="BJ19" s="47"/>
    </row>
    <row r="20" spans="1:62">
      <c r="A20" s="84">
        <v>19</v>
      </c>
      <c r="B20" s="48"/>
      <c r="C20" s="49"/>
      <c r="D20" s="49"/>
      <c r="E20" s="40">
        <f t="shared" si="8"/>
        <v>0</v>
      </c>
      <c r="F20" s="40">
        <f t="shared" si="9"/>
        <v>0</v>
      </c>
      <c r="G20" s="40">
        <f t="shared" si="10"/>
        <v>0</v>
      </c>
      <c r="H20" s="41">
        <f t="shared" si="48"/>
        <v>0</v>
      </c>
      <c r="I20" s="40">
        <f t="shared" si="11"/>
        <v>0</v>
      </c>
      <c r="J20" s="40">
        <f t="shared" si="12"/>
        <v>0</v>
      </c>
      <c r="K20" s="40">
        <f t="shared" si="13"/>
        <v>0</v>
      </c>
      <c r="L20" s="41">
        <f t="shared" si="0"/>
        <v>0</v>
      </c>
      <c r="M20" s="40">
        <f t="shared" si="14"/>
        <v>0</v>
      </c>
      <c r="N20" s="40">
        <f t="shared" si="15"/>
        <v>0</v>
      </c>
      <c r="O20" s="40">
        <f t="shared" si="16"/>
        <v>0</v>
      </c>
      <c r="P20" s="41">
        <f t="shared" si="1"/>
        <v>0</v>
      </c>
      <c r="Q20" s="42">
        <f t="shared" si="17"/>
        <v>0</v>
      </c>
      <c r="R20" s="40">
        <f t="shared" si="18"/>
        <v>0</v>
      </c>
      <c r="S20" s="40">
        <f t="shared" si="19"/>
        <v>0</v>
      </c>
      <c r="T20" s="41">
        <f t="shared" si="49"/>
        <v>0</v>
      </c>
      <c r="U20" s="40">
        <f t="shared" si="20"/>
        <v>0</v>
      </c>
      <c r="V20" s="40">
        <f t="shared" si="21"/>
        <v>0</v>
      </c>
      <c r="W20" s="40">
        <f t="shared" si="22"/>
        <v>0</v>
      </c>
      <c r="X20" s="41">
        <f t="shared" si="2"/>
        <v>0</v>
      </c>
      <c r="Y20" s="40">
        <f t="shared" si="23"/>
        <v>0</v>
      </c>
      <c r="Z20" s="40">
        <f t="shared" si="24"/>
        <v>0</v>
      </c>
      <c r="AA20" s="40">
        <f t="shared" si="25"/>
        <v>0</v>
      </c>
      <c r="AB20" s="43">
        <f t="shared" si="3"/>
        <v>0</v>
      </c>
      <c r="AC20" s="44">
        <f t="shared" si="26"/>
        <v>0</v>
      </c>
      <c r="AD20" s="45">
        <f t="shared" si="27"/>
        <v>0</v>
      </c>
      <c r="AE20" s="46"/>
      <c r="AF20" s="47"/>
      <c r="AG20" s="47"/>
      <c r="AH20" s="77">
        <f t="shared" si="28"/>
        <v>0</v>
      </c>
      <c r="AI20" s="77">
        <f t="shared" si="29"/>
        <v>0</v>
      </c>
      <c r="AJ20" s="77">
        <f t="shared" si="30"/>
        <v>0</v>
      </c>
      <c r="AK20" s="78">
        <f t="shared" si="50"/>
        <v>0</v>
      </c>
      <c r="AL20" s="77">
        <f t="shared" si="31"/>
        <v>0</v>
      </c>
      <c r="AM20" s="77">
        <f t="shared" si="32"/>
        <v>0</v>
      </c>
      <c r="AN20" s="77">
        <f t="shared" si="33"/>
        <v>0</v>
      </c>
      <c r="AO20" s="78">
        <f t="shared" si="4"/>
        <v>0</v>
      </c>
      <c r="AP20" s="77">
        <f t="shared" si="34"/>
        <v>0</v>
      </c>
      <c r="AQ20" s="77">
        <f t="shared" si="35"/>
        <v>0</v>
      </c>
      <c r="AR20" s="77">
        <f t="shared" si="36"/>
        <v>0</v>
      </c>
      <c r="AS20" s="78">
        <f t="shared" si="5"/>
        <v>0</v>
      </c>
      <c r="AT20" s="79">
        <f t="shared" si="37"/>
        <v>0</v>
      </c>
      <c r="AU20" s="77">
        <f t="shared" si="38"/>
        <v>0</v>
      </c>
      <c r="AV20" s="77">
        <f t="shared" si="39"/>
        <v>0</v>
      </c>
      <c r="AW20" s="78">
        <f t="shared" si="51"/>
        <v>0</v>
      </c>
      <c r="AX20" s="77">
        <f t="shared" si="40"/>
        <v>0</v>
      </c>
      <c r="AY20" s="77">
        <f t="shared" si="41"/>
        <v>0</v>
      </c>
      <c r="AZ20" s="77">
        <f t="shared" si="42"/>
        <v>0</v>
      </c>
      <c r="BA20" s="78">
        <f t="shared" si="6"/>
        <v>0</v>
      </c>
      <c r="BB20" s="77">
        <f t="shared" si="43"/>
        <v>0</v>
      </c>
      <c r="BC20" s="77">
        <f t="shared" si="44"/>
        <v>0</v>
      </c>
      <c r="BD20" s="77">
        <f t="shared" si="45"/>
        <v>0</v>
      </c>
      <c r="BE20" s="80">
        <f t="shared" si="7"/>
        <v>0</v>
      </c>
      <c r="BF20" s="44">
        <f t="shared" si="46"/>
        <v>0</v>
      </c>
      <c r="BG20" s="45">
        <f t="shared" si="47"/>
        <v>0</v>
      </c>
      <c r="BH20" s="46"/>
      <c r="BI20" s="47"/>
      <c r="BJ20" s="47"/>
    </row>
    <row r="21" spans="1:62">
      <c r="A21" s="84">
        <v>20</v>
      </c>
      <c r="B21" s="48"/>
      <c r="C21" s="49"/>
      <c r="D21" s="49"/>
      <c r="E21" s="40">
        <f t="shared" si="8"/>
        <v>0</v>
      </c>
      <c r="F21" s="40">
        <f t="shared" si="9"/>
        <v>0</v>
      </c>
      <c r="G21" s="40">
        <f t="shared" si="10"/>
        <v>0</v>
      </c>
      <c r="H21" s="41">
        <f t="shared" si="48"/>
        <v>0</v>
      </c>
      <c r="I21" s="40">
        <f t="shared" si="11"/>
        <v>0</v>
      </c>
      <c r="J21" s="40">
        <f t="shared" si="12"/>
        <v>0</v>
      </c>
      <c r="K21" s="40">
        <f t="shared" si="13"/>
        <v>0</v>
      </c>
      <c r="L21" s="41">
        <f t="shared" si="0"/>
        <v>0</v>
      </c>
      <c r="M21" s="40">
        <f t="shared" si="14"/>
        <v>0</v>
      </c>
      <c r="N21" s="40">
        <f t="shared" si="15"/>
        <v>0</v>
      </c>
      <c r="O21" s="40">
        <f t="shared" si="16"/>
        <v>0</v>
      </c>
      <c r="P21" s="41">
        <f t="shared" si="1"/>
        <v>0</v>
      </c>
      <c r="Q21" s="42">
        <f t="shared" si="17"/>
        <v>0</v>
      </c>
      <c r="R21" s="40">
        <f t="shared" si="18"/>
        <v>0</v>
      </c>
      <c r="S21" s="40">
        <f t="shared" si="19"/>
        <v>0</v>
      </c>
      <c r="T21" s="41">
        <f t="shared" si="49"/>
        <v>0</v>
      </c>
      <c r="U21" s="40">
        <f t="shared" si="20"/>
        <v>0</v>
      </c>
      <c r="V21" s="40">
        <f t="shared" si="21"/>
        <v>0</v>
      </c>
      <c r="W21" s="40">
        <f t="shared" si="22"/>
        <v>0</v>
      </c>
      <c r="X21" s="41">
        <f t="shared" si="2"/>
        <v>0</v>
      </c>
      <c r="Y21" s="40">
        <f t="shared" si="23"/>
        <v>0</v>
      </c>
      <c r="Z21" s="40">
        <f t="shared" si="24"/>
        <v>0</v>
      </c>
      <c r="AA21" s="40">
        <f t="shared" si="25"/>
        <v>0</v>
      </c>
      <c r="AB21" s="43">
        <f t="shared" si="3"/>
        <v>0</v>
      </c>
      <c r="AC21" s="44">
        <f t="shared" si="26"/>
        <v>0</v>
      </c>
      <c r="AD21" s="45">
        <f t="shared" si="27"/>
        <v>0</v>
      </c>
      <c r="AE21" s="46"/>
      <c r="AF21" s="47"/>
      <c r="AG21" s="47"/>
      <c r="AH21" s="77">
        <f t="shared" si="28"/>
        <v>0</v>
      </c>
      <c r="AI21" s="77">
        <f t="shared" si="29"/>
        <v>0</v>
      </c>
      <c r="AJ21" s="77">
        <f t="shared" si="30"/>
        <v>0</v>
      </c>
      <c r="AK21" s="78">
        <f t="shared" si="50"/>
        <v>0</v>
      </c>
      <c r="AL21" s="77">
        <f t="shared" si="31"/>
        <v>0</v>
      </c>
      <c r="AM21" s="77">
        <f t="shared" si="32"/>
        <v>0</v>
      </c>
      <c r="AN21" s="77">
        <f t="shared" si="33"/>
        <v>0</v>
      </c>
      <c r="AO21" s="78">
        <f t="shared" si="4"/>
        <v>0</v>
      </c>
      <c r="AP21" s="77">
        <f t="shared" si="34"/>
        <v>0</v>
      </c>
      <c r="AQ21" s="77">
        <f t="shared" si="35"/>
        <v>0</v>
      </c>
      <c r="AR21" s="77">
        <f t="shared" si="36"/>
        <v>0</v>
      </c>
      <c r="AS21" s="78">
        <f t="shared" si="5"/>
        <v>0</v>
      </c>
      <c r="AT21" s="79">
        <f t="shared" si="37"/>
        <v>0</v>
      </c>
      <c r="AU21" s="77">
        <f t="shared" si="38"/>
        <v>0</v>
      </c>
      <c r="AV21" s="77">
        <f t="shared" si="39"/>
        <v>0</v>
      </c>
      <c r="AW21" s="78">
        <f t="shared" si="51"/>
        <v>0</v>
      </c>
      <c r="AX21" s="77">
        <f t="shared" si="40"/>
        <v>0</v>
      </c>
      <c r="AY21" s="77">
        <f t="shared" si="41"/>
        <v>0</v>
      </c>
      <c r="AZ21" s="77">
        <f t="shared" si="42"/>
        <v>0</v>
      </c>
      <c r="BA21" s="78">
        <f t="shared" si="6"/>
        <v>0</v>
      </c>
      <c r="BB21" s="77">
        <f t="shared" si="43"/>
        <v>0</v>
      </c>
      <c r="BC21" s="77">
        <f t="shared" si="44"/>
        <v>0</v>
      </c>
      <c r="BD21" s="77">
        <f t="shared" si="45"/>
        <v>0</v>
      </c>
      <c r="BE21" s="80">
        <f t="shared" si="7"/>
        <v>0</v>
      </c>
      <c r="BF21" s="44">
        <f t="shared" si="46"/>
        <v>0</v>
      </c>
      <c r="BG21" s="45">
        <f t="shared" si="47"/>
        <v>0</v>
      </c>
      <c r="BH21" s="46"/>
      <c r="BI21" s="47"/>
      <c r="BJ21" s="47"/>
    </row>
    <row r="22" spans="1:62">
      <c r="A22" s="84">
        <v>21</v>
      </c>
      <c r="B22" s="48"/>
      <c r="C22" s="49"/>
      <c r="D22" s="49"/>
      <c r="E22" s="40">
        <f t="shared" si="8"/>
        <v>0</v>
      </c>
      <c r="F22" s="40">
        <f t="shared" si="9"/>
        <v>0</v>
      </c>
      <c r="G22" s="40">
        <f t="shared" si="10"/>
        <v>0</v>
      </c>
      <c r="H22" s="41">
        <f t="shared" si="48"/>
        <v>0</v>
      </c>
      <c r="I22" s="40">
        <f t="shared" si="11"/>
        <v>0</v>
      </c>
      <c r="J22" s="40">
        <f t="shared" si="12"/>
        <v>0</v>
      </c>
      <c r="K22" s="40">
        <f t="shared" si="13"/>
        <v>0</v>
      </c>
      <c r="L22" s="41">
        <f t="shared" si="0"/>
        <v>0</v>
      </c>
      <c r="M22" s="40">
        <f t="shared" si="14"/>
        <v>0</v>
      </c>
      <c r="N22" s="40">
        <f t="shared" si="15"/>
        <v>0</v>
      </c>
      <c r="O22" s="40">
        <f t="shared" si="16"/>
        <v>0</v>
      </c>
      <c r="P22" s="41">
        <f t="shared" si="1"/>
        <v>0</v>
      </c>
      <c r="Q22" s="42">
        <f t="shared" si="17"/>
        <v>0</v>
      </c>
      <c r="R22" s="40">
        <f t="shared" si="18"/>
        <v>0</v>
      </c>
      <c r="S22" s="40">
        <f t="shared" si="19"/>
        <v>0</v>
      </c>
      <c r="T22" s="41">
        <f t="shared" si="49"/>
        <v>0</v>
      </c>
      <c r="U22" s="40">
        <f t="shared" si="20"/>
        <v>0</v>
      </c>
      <c r="V22" s="40">
        <f t="shared" si="21"/>
        <v>0</v>
      </c>
      <c r="W22" s="40">
        <f t="shared" si="22"/>
        <v>0</v>
      </c>
      <c r="X22" s="41">
        <f t="shared" si="2"/>
        <v>0</v>
      </c>
      <c r="Y22" s="40">
        <f t="shared" si="23"/>
        <v>0</v>
      </c>
      <c r="Z22" s="40">
        <f t="shared" si="24"/>
        <v>0</v>
      </c>
      <c r="AA22" s="40">
        <f t="shared" si="25"/>
        <v>0</v>
      </c>
      <c r="AB22" s="43">
        <f t="shared" si="3"/>
        <v>0</v>
      </c>
      <c r="AC22" s="44">
        <f t="shared" si="26"/>
        <v>0</v>
      </c>
      <c r="AD22" s="45">
        <f t="shared" si="27"/>
        <v>0</v>
      </c>
      <c r="AE22" s="46"/>
      <c r="AF22" s="47"/>
      <c r="AG22" s="47"/>
      <c r="AH22" s="77">
        <f t="shared" si="28"/>
        <v>0</v>
      </c>
      <c r="AI22" s="77">
        <f t="shared" si="29"/>
        <v>0</v>
      </c>
      <c r="AJ22" s="77">
        <f t="shared" si="30"/>
        <v>0</v>
      </c>
      <c r="AK22" s="78">
        <f t="shared" si="50"/>
        <v>0</v>
      </c>
      <c r="AL22" s="77">
        <f t="shared" si="31"/>
        <v>0</v>
      </c>
      <c r="AM22" s="77">
        <f t="shared" si="32"/>
        <v>0</v>
      </c>
      <c r="AN22" s="77">
        <f t="shared" si="33"/>
        <v>0</v>
      </c>
      <c r="AO22" s="78">
        <f t="shared" si="4"/>
        <v>0</v>
      </c>
      <c r="AP22" s="77">
        <f t="shared" si="34"/>
        <v>0</v>
      </c>
      <c r="AQ22" s="77">
        <f t="shared" si="35"/>
        <v>0</v>
      </c>
      <c r="AR22" s="77">
        <f t="shared" si="36"/>
        <v>0</v>
      </c>
      <c r="AS22" s="78">
        <f t="shared" si="5"/>
        <v>0</v>
      </c>
      <c r="AT22" s="79">
        <f t="shared" si="37"/>
        <v>0</v>
      </c>
      <c r="AU22" s="77">
        <f t="shared" si="38"/>
        <v>0</v>
      </c>
      <c r="AV22" s="77">
        <f t="shared" si="39"/>
        <v>0</v>
      </c>
      <c r="AW22" s="78">
        <f t="shared" si="51"/>
        <v>0</v>
      </c>
      <c r="AX22" s="77">
        <f t="shared" si="40"/>
        <v>0</v>
      </c>
      <c r="AY22" s="77">
        <f t="shared" si="41"/>
        <v>0</v>
      </c>
      <c r="AZ22" s="77">
        <f t="shared" si="42"/>
        <v>0</v>
      </c>
      <c r="BA22" s="78">
        <f t="shared" si="6"/>
        <v>0</v>
      </c>
      <c r="BB22" s="77">
        <f t="shared" si="43"/>
        <v>0</v>
      </c>
      <c r="BC22" s="77">
        <f t="shared" si="44"/>
        <v>0</v>
      </c>
      <c r="BD22" s="77">
        <f t="shared" si="45"/>
        <v>0</v>
      </c>
      <c r="BE22" s="80">
        <f t="shared" si="7"/>
        <v>0</v>
      </c>
      <c r="BF22" s="44">
        <f t="shared" si="46"/>
        <v>0</v>
      </c>
      <c r="BG22" s="45">
        <f t="shared" si="47"/>
        <v>0</v>
      </c>
      <c r="BH22" s="46"/>
      <c r="BI22" s="47"/>
      <c r="BJ22" s="47"/>
    </row>
    <row r="23" spans="1:62">
      <c r="A23" s="84">
        <v>22</v>
      </c>
      <c r="B23" s="48"/>
      <c r="C23" s="49"/>
      <c r="D23" s="49"/>
      <c r="E23" s="40">
        <f t="shared" si="8"/>
        <v>0</v>
      </c>
      <c r="F23" s="40">
        <f t="shared" si="9"/>
        <v>0</v>
      </c>
      <c r="G23" s="40">
        <f t="shared" si="10"/>
        <v>0</v>
      </c>
      <c r="H23" s="41">
        <f t="shared" si="48"/>
        <v>0</v>
      </c>
      <c r="I23" s="40">
        <f t="shared" si="11"/>
        <v>0</v>
      </c>
      <c r="J23" s="40">
        <f t="shared" si="12"/>
        <v>0</v>
      </c>
      <c r="K23" s="40">
        <f t="shared" si="13"/>
        <v>0</v>
      </c>
      <c r="L23" s="41">
        <f t="shared" si="0"/>
        <v>0</v>
      </c>
      <c r="M23" s="40">
        <f t="shared" si="14"/>
        <v>0</v>
      </c>
      <c r="N23" s="40">
        <f t="shared" si="15"/>
        <v>0</v>
      </c>
      <c r="O23" s="40">
        <f t="shared" si="16"/>
        <v>0</v>
      </c>
      <c r="P23" s="41">
        <f t="shared" si="1"/>
        <v>0</v>
      </c>
      <c r="Q23" s="42">
        <f t="shared" si="17"/>
        <v>0</v>
      </c>
      <c r="R23" s="40">
        <f t="shared" si="18"/>
        <v>0</v>
      </c>
      <c r="S23" s="40">
        <f t="shared" si="19"/>
        <v>0</v>
      </c>
      <c r="T23" s="41">
        <f t="shared" si="49"/>
        <v>0</v>
      </c>
      <c r="U23" s="40">
        <f t="shared" si="20"/>
        <v>0</v>
      </c>
      <c r="V23" s="40">
        <f t="shared" si="21"/>
        <v>0</v>
      </c>
      <c r="W23" s="40">
        <f t="shared" si="22"/>
        <v>0</v>
      </c>
      <c r="X23" s="41">
        <f t="shared" si="2"/>
        <v>0</v>
      </c>
      <c r="Y23" s="40">
        <f t="shared" si="23"/>
        <v>0</v>
      </c>
      <c r="Z23" s="40">
        <f t="shared" si="24"/>
        <v>0</v>
      </c>
      <c r="AA23" s="40">
        <f t="shared" si="25"/>
        <v>0</v>
      </c>
      <c r="AB23" s="43">
        <f t="shared" si="3"/>
        <v>0</v>
      </c>
      <c r="AC23" s="44">
        <f t="shared" si="26"/>
        <v>0</v>
      </c>
      <c r="AD23" s="45">
        <f t="shared" si="27"/>
        <v>0</v>
      </c>
      <c r="AE23" s="46"/>
      <c r="AF23" s="47"/>
      <c r="AG23" s="47"/>
      <c r="AH23" s="77">
        <f t="shared" si="28"/>
        <v>0</v>
      </c>
      <c r="AI23" s="77">
        <f t="shared" si="29"/>
        <v>0</v>
      </c>
      <c r="AJ23" s="77">
        <f t="shared" si="30"/>
        <v>0</v>
      </c>
      <c r="AK23" s="78">
        <f t="shared" si="50"/>
        <v>0</v>
      </c>
      <c r="AL23" s="77">
        <f t="shared" si="31"/>
        <v>0</v>
      </c>
      <c r="AM23" s="77">
        <f t="shared" si="32"/>
        <v>0</v>
      </c>
      <c r="AN23" s="77">
        <f t="shared" si="33"/>
        <v>0</v>
      </c>
      <c r="AO23" s="78">
        <f t="shared" si="4"/>
        <v>0</v>
      </c>
      <c r="AP23" s="77">
        <f t="shared" si="34"/>
        <v>0</v>
      </c>
      <c r="AQ23" s="77">
        <f t="shared" si="35"/>
        <v>0</v>
      </c>
      <c r="AR23" s="77">
        <f t="shared" si="36"/>
        <v>0</v>
      </c>
      <c r="AS23" s="78">
        <f t="shared" si="5"/>
        <v>0</v>
      </c>
      <c r="AT23" s="79">
        <f t="shared" si="37"/>
        <v>0</v>
      </c>
      <c r="AU23" s="77">
        <f t="shared" si="38"/>
        <v>0</v>
      </c>
      <c r="AV23" s="77">
        <f t="shared" si="39"/>
        <v>0</v>
      </c>
      <c r="AW23" s="78">
        <f t="shared" si="51"/>
        <v>0</v>
      </c>
      <c r="AX23" s="77">
        <f t="shared" si="40"/>
        <v>0</v>
      </c>
      <c r="AY23" s="77">
        <f t="shared" si="41"/>
        <v>0</v>
      </c>
      <c r="AZ23" s="77">
        <f t="shared" si="42"/>
        <v>0</v>
      </c>
      <c r="BA23" s="78">
        <f t="shared" si="6"/>
        <v>0</v>
      </c>
      <c r="BB23" s="77">
        <f t="shared" si="43"/>
        <v>0</v>
      </c>
      <c r="BC23" s="77">
        <f t="shared" si="44"/>
        <v>0</v>
      </c>
      <c r="BD23" s="77">
        <f t="shared" si="45"/>
        <v>0</v>
      </c>
      <c r="BE23" s="80">
        <f t="shared" si="7"/>
        <v>0</v>
      </c>
      <c r="BF23" s="44">
        <f t="shared" si="46"/>
        <v>0</v>
      </c>
      <c r="BG23" s="45">
        <f t="shared" si="47"/>
        <v>0</v>
      </c>
      <c r="BH23" s="46"/>
      <c r="BI23" s="47"/>
      <c r="BJ23" s="47"/>
    </row>
    <row r="24" spans="1:62">
      <c r="A24" s="84">
        <v>23</v>
      </c>
      <c r="B24" s="48"/>
      <c r="C24" s="49"/>
      <c r="D24" s="49"/>
      <c r="E24" s="40">
        <f t="shared" si="8"/>
        <v>0</v>
      </c>
      <c r="F24" s="40">
        <f t="shared" si="9"/>
        <v>0</v>
      </c>
      <c r="G24" s="40">
        <f t="shared" si="10"/>
        <v>0</v>
      </c>
      <c r="H24" s="41">
        <f t="shared" si="48"/>
        <v>0</v>
      </c>
      <c r="I24" s="40">
        <f t="shared" si="11"/>
        <v>0</v>
      </c>
      <c r="J24" s="40">
        <f t="shared" si="12"/>
        <v>0</v>
      </c>
      <c r="K24" s="40">
        <f t="shared" si="13"/>
        <v>0</v>
      </c>
      <c r="L24" s="41">
        <f t="shared" si="0"/>
        <v>0</v>
      </c>
      <c r="M24" s="40">
        <f t="shared" si="14"/>
        <v>0</v>
      </c>
      <c r="N24" s="40">
        <f t="shared" si="15"/>
        <v>0</v>
      </c>
      <c r="O24" s="40">
        <f t="shared" si="16"/>
        <v>0</v>
      </c>
      <c r="P24" s="41">
        <f t="shared" si="1"/>
        <v>0</v>
      </c>
      <c r="Q24" s="42">
        <f t="shared" si="17"/>
        <v>0</v>
      </c>
      <c r="R24" s="40">
        <f t="shared" si="18"/>
        <v>0</v>
      </c>
      <c r="S24" s="40">
        <f t="shared" si="19"/>
        <v>0</v>
      </c>
      <c r="T24" s="41">
        <f t="shared" si="49"/>
        <v>0</v>
      </c>
      <c r="U24" s="40">
        <f t="shared" si="20"/>
        <v>0</v>
      </c>
      <c r="V24" s="40">
        <f t="shared" si="21"/>
        <v>0</v>
      </c>
      <c r="W24" s="40">
        <f t="shared" si="22"/>
        <v>0</v>
      </c>
      <c r="X24" s="41">
        <f t="shared" si="2"/>
        <v>0</v>
      </c>
      <c r="Y24" s="40">
        <f t="shared" si="23"/>
        <v>0</v>
      </c>
      <c r="Z24" s="40">
        <f t="shared" si="24"/>
        <v>0</v>
      </c>
      <c r="AA24" s="40">
        <f t="shared" si="25"/>
        <v>0</v>
      </c>
      <c r="AB24" s="43">
        <f t="shared" si="3"/>
        <v>0</v>
      </c>
      <c r="AC24" s="44">
        <f t="shared" si="26"/>
        <v>0</v>
      </c>
      <c r="AD24" s="45">
        <f t="shared" si="27"/>
        <v>0</v>
      </c>
      <c r="AE24" s="46"/>
      <c r="AF24" s="47"/>
      <c r="AG24" s="47"/>
      <c r="AH24" s="77">
        <f t="shared" si="28"/>
        <v>0</v>
      </c>
      <c r="AI24" s="77">
        <f t="shared" si="29"/>
        <v>0</v>
      </c>
      <c r="AJ24" s="77">
        <f t="shared" si="30"/>
        <v>0</v>
      </c>
      <c r="AK24" s="78">
        <f t="shared" si="50"/>
        <v>0</v>
      </c>
      <c r="AL24" s="77">
        <f t="shared" si="31"/>
        <v>0</v>
      </c>
      <c r="AM24" s="77">
        <f t="shared" si="32"/>
        <v>0</v>
      </c>
      <c r="AN24" s="77">
        <f t="shared" si="33"/>
        <v>0</v>
      </c>
      <c r="AO24" s="78">
        <f t="shared" si="4"/>
        <v>0</v>
      </c>
      <c r="AP24" s="77">
        <f t="shared" si="34"/>
        <v>0</v>
      </c>
      <c r="AQ24" s="77">
        <f t="shared" si="35"/>
        <v>0</v>
      </c>
      <c r="AR24" s="77">
        <f t="shared" si="36"/>
        <v>0</v>
      </c>
      <c r="AS24" s="78">
        <f t="shared" si="5"/>
        <v>0</v>
      </c>
      <c r="AT24" s="79">
        <f t="shared" si="37"/>
        <v>0</v>
      </c>
      <c r="AU24" s="77">
        <f t="shared" si="38"/>
        <v>0</v>
      </c>
      <c r="AV24" s="77">
        <f t="shared" si="39"/>
        <v>0</v>
      </c>
      <c r="AW24" s="78">
        <f t="shared" si="51"/>
        <v>0</v>
      </c>
      <c r="AX24" s="77">
        <f t="shared" si="40"/>
        <v>0</v>
      </c>
      <c r="AY24" s="77">
        <f t="shared" si="41"/>
        <v>0</v>
      </c>
      <c r="AZ24" s="77">
        <f t="shared" si="42"/>
        <v>0</v>
      </c>
      <c r="BA24" s="78">
        <f t="shared" si="6"/>
        <v>0</v>
      </c>
      <c r="BB24" s="77">
        <f t="shared" si="43"/>
        <v>0</v>
      </c>
      <c r="BC24" s="77">
        <f t="shared" si="44"/>
        <v>0</v>
      </c>
      <c r="BD24" s="77">
        <f t="shared" si="45"/>
        <v>0</v>
      </c>
      <c r="BE24" s="80">
        <f t="shared" si="7"/>
        <v>0</v>
      </c>
      <c r="BF24" s="44">
        <f t="shared" si="46"/>
        <v>0</v>
      </c>
      <c r="BG24" s="45">
        <f t="shared" si="47"/>
        <v>0</v>
      </c>
      <c r="BH24" s="46"/>
      <c r="BI24" s="47"/>
      <c r="BJ24" s="47"/>
    </row>
    <row r="25" spans="1:62">
      <c r="A25" s="84">
        <v>24</v>
      </c>
      <c r="B25" s="48"/>
      <c r="C25" s="49"/>
      <c r="D25" s="49"/>
      <c r="E25" s="40">
        <f t="shared" si="8"/>
        <v>0</v>
      </c>
      <c r="F25" s="40">
        <f t="shared" si="9"/>
        <v>0</v>
      </c>
      <c r="G25" s="40">
        <f t="shared" si="10"/>
        <v>0</v>
      </c>
      <c r="H25" s="41">
        <f t="shared" si="48"/>
        <v>0</v>
      </c>
      <c r="I25" s="40">
        <f t="shared" si="11"/>
        <v>0</v>
      </c>
      <c r="J25" s="40">
        <f t="shared" si="12"/>
        <v>0</v>
      </c>
      <c r="K25" s="40">
        <f t="shared" si="13"/>
        <v>0</v>
      </c>
      <c r="L25" s="41">
        <f t="shared" si="0"/>
        <v>0</v>
      </c>
      <c r="M25" s="40">
        <f t="shared" si="14"/>
        <v>0</v>
      </c>
      <c r="N25" s="40">
        <f t="shared" si="15"/>
        <v>0</v>
      </c>
      <c r="O25" s="40">
        <f t="shared" si="16"/>
        <v>0</v>
      </c>
      <c r="P25" s="41">
        <f t="shared" si="1"/>
        <v>0</v>
      </c>
      <c r="Q25" s="42">
        <f t="shared" si="17"/>
        <v>0</v>
      </c>
      <c r="R25" s="40">
        <f t="shared" si="18"/>
        <v>0</v>
      </c>
      <c r="S25" s="40">
        <f t="shared" si="19"/>
        <v>0</v>
      </c>
      <c r="T25" s="41">
        <f t="shared" si="49"/>
        <v>0</v>
      </c>
      <c r="U25" s="40">
        <f t="shared" si="20"/>
        <v>0</v>
      </c>
      <c r="V25" s="40">
        <f t="shared" si="21"/>
        <v>0</v>
      </c>
      <c r="W25" s="40">
        <f t="shared" si="22"/>
        <v>0</v>
      </c>
      <c r="X25" s="41">
        <f t="shared" si="2"/>
        <v>0</v>
      </c>
      <c r="Y25" s="40">
        <f t="shared" si="23"/>
        <v>0</v>
      </c>
      <c r="Z25" s="40">
        <f t="shared" si="24"/>
        <v>0</v>
      </c>
      <c r="AA25" s="40">
        <f t="shared" si="25"/>
        <v>0</v>
      </c>
      <c r="AB25" s="43">
        <f t="shared" si="3"/>
        <v>0</v>
      </c>
      <c r="AC25" s="44">
        <f t="shared" si="26"/>
        <v>0</v>
      </c>
      <c r="AD25" s="45">
        <f t="shared" si="27"/>
        <v>0</v>
      </c>
      <c r="AE25" s="46"/>
      <c r="AF25" s="47"/>
      <c r="AG25" s="47"/>
      <c r="AH25" s="77">
        <f t="shared" si="28"/>
        <v>0</v>
      </c>
      <c r="AI25" s="77">
        <f t="shared" si="29"/>
        <v>0</v>
      </c>
      <c r="AJ25" s="77">
        <f t="shared" si="30"/>
        <v>0</v>
      </c>
      <c r="AK25" s="78">
        <f t="shared" si="50"/>
        <v>0</v>
      </c>
      <c r="AL25" s="77">
        <f t="shared" si="31"/>
        <v>0</v>
      </c>
      <c r="AM25" s="77">
        <f t="shared" si="32"/>
        <v>0</v>
      </c>
      <c r="AN25" s="77">
        <f t="shared" si="33"/>
        <v>0</v>
      </c>
      <c r="AO25" s="78">
        <f t="shared" si="4"/>
        <v>0</v>
      </c>
      <c r="AP25" s="77">
        <f t="shared" si="34"/>
        <v>0</v>
      </c>
      <c r="AQ25" s="77">
        <f t="shared" si="35"/>
        <v>0</v>
      </c>
      <c r="AR25" s="77">
        <f t="shared" si="36"/>
        <v>0</v>
      </c>
      <c r="AS25" s="78">
        <f t="shared" si="5"/>
        <v>0</v>
      </c>
      <c r="AT25" s="79">
        <f t="shared" si="37"/>
        <v>0</v>
      </c>
      <c r="AU25" s="77">
        <f t="shared" si="38"/>
        <v>0</v>
      </c>
      <c r="AV25" s="77">
        <f t="shared" si="39"/>
        <v>0</v>
      </c>
      <c r="AW25" s="78">
        <f t="shared" si="51"/>
        <v>0</v>
      </c>
      <c r="AX25" s="77">
        <f t="shared" si="40"/>
        <v>0</v>
      </c>
      <c r="AY25" s="77">
        <f t="shared" si="41"/>
        <v>0</v>
      </c>
      <c r="AZ25" s="77">
        <f t="shared" si="42"/>
        <v>0</v>
      </c>
      <c r="BA25" s="78">
        <f t="shared" si="6"/>
        <v>0</v>
      </c>
      <c r="BB25" s="77">
        <f t="shared" si="43"/>
        <v>0</v>
      </c>
      <c r="BC25" s="77">
        <f t="shared" si="44"/>
        <v>0</v>
      </c>
      <c r="BD25" s="77">
        <f t="shared" si="45"/>
        <v>0</v>
      </c>
      <c r="BE25" s="80">
        <f t="shared" si="7"/>
        <v>0</v>
      </c>
      <c r="BF25" s="44">
        <f t="shared" si="46"/>
        <v>0</v>
      </c>
      <c r="BG25" s="45">
        <f t="shared" si="47"/>
        <v>0</v>
      </c>
      <c r="BH25" s="46"/>
      <c r="BI25" s="47"/>
      <c r="BJ25" s="47"/>
    </row>
    <row r="26" spans="1:62">
      <c r="A26" s="84">
        <v>25</v>
      </c>
      <c r="B26" s="48"/>
      <c r="C26" s="49"/>
      <c r="D26" s="49"/>
      <c r="E26" s="40">
        <f t="shared" si="8"/>
        <v>0</v>
      </c>
      <c r="F26" s="40">
        <f t="shared" si="9"/>
        <v>0</v>
      </c>
      <c r="G26" s="40">
        <f t="shared" si="10"/>
        <v>0</v>
      </c>
      <c r="H26" s="41">
        <f t="shared" si="48"/>
        <v>0</v>
      </c>
      <c r="I26" s="40">
        <f t="shared" si="11"/>
        <v>0</v>
      </c>
      <c r="J26" s="40">
        <f t="shared" si="12"/>
        <v>0</v>
      </c>
      <c r="K26" s="40">
        <f t="shared" si="13"/>
        <v>0</v>
      </c>
      <c r="L26" s="41">
        <f t="shared" si="0"/>
        <v>0</v>
      </c>
      <c r="M26" s="40">
        <f t="shared" si="14"/>
        <v>0</v>
      </c>
      <c r="N26" s="40">
        <f t="shared" si="15"/>
        <v>0</v>
      </c>
      <c r="O26" s="40">
        <f t="shared" si="16"/>
        <v>0</v>
      </c>
      <c r="P26" s="41">
        <f t="shared" si="1"/>
        <v>0</v>
      </c>
      <c r="Q26" s="42">
        <f t="shared" si="17"/>
        <v>0</v>
      </c>
      <c r="R26" s="40">
        <f t="shared" si="18"/>
        <v>0</v>
      </c>
      <c r="S26" s="40">
        <f t="shared" si="19"/>
        <v>0</v>
      </c>
      <c r="T26" s="41">
        <f t="shared" si="49"/>
        <v>0</v>
      </c>
      <c r="U26" s="40">
        <f t="shared" si="20"/>
        <v>0</v>
      </c>
      <c r="V26" s="40">
        <f t="shared" si="21"/>
        <v>0</v>
      </c>
      <c r="W26" s="40">
        <f t="shared" si="22"/>
        <v>0</v>
      </c>
      <c r="X26" s="41">
        <f t="shared" si="2"/>
        <v>0</v>
      </c>
      <c r="Y26" s="40">
        <f t="shared" si="23"/>
        <v>0</v>
      </c>
      <c r="Z26" s="40">
        <f t="shared" si="24"/>
        <v>0</v>
      </c>
      <c r="AA26" s="40">
        <f t="shared" si="25"/>
        <v>0</v>
      </c>
      <c r="AB26" s="43">
        <f t="shared" si="3"/>
        <v>0</v>
      </c>
      <c r="AC26" s="44">
        <f t="shared" si="26"/>
        <v>0</v>
      </c>
      <c r="AD26" s="45">
        <f t="shared" si="27"/>
        <v>0</v>
      </c>
      <c r="AE26" s="46"/>
      <c r="AF26" s="47"/>
      <c r="AG26" s="47"/>
      <c r="AH26" s="77">
        <f t="shared" si="28"/>
        <v>0</v>
      </c>
      <c r="AI26" s="77">
        <f t="shared" si="29"/>
        <v>0</v>
      </c>
      <c r="AJ26" s="77">
        <f t="shared" si="30"/>
        <v>0</v>
      </c>
      <c r="AK26" s="78">
        <f t="shared" si="50"/>
        <v>0</v>
      </c>
      <c r="AL26" s="77">
        <f t="shared" si="31"/>
        <v>0</v>
      </c>
      <c r="AM26" s="77">
        <f t="shared" si="32"/>
        <v>0</v>
      </c>
      <c r="AN26" s="77">
        <f t="shared" si="33"/>
        <v>0</v>
      </c>
      <c r="AO26" s="78">
        <f t="shared" si="4"/>
        <v>0</v>
      </c>
      <c r="AP26" s="77">
        <f t="shared" si="34"/>
        <v>0</v>
      </c>
      <c r="AQ26" s="77">
        <f t="shared" si="35"/>
        <v>0</v>
      </c>
      <c r="AR26" s="77">
        <f t="shared" si="36"/>
        <v>0</v>
      </c>
      <c r="AS26" s="78">
        <f t="shared" si="5"/>
        <v>0</v>
      </c>
      <c r="AT26" s="79">
        <f t="shared" si="37"/>
        <v>0</v>
      </c>
      <c r="AU26" s="77">
        <f t="shared" si="38"/>
        <v>0</v>
      </c>
      <c r="AV26" s="77">
        <f t="shared" si="39"/>
        <v>0</v>
      </c>
      <c r="AW26" s="78">
        <f t="shared" si="51"/>
        <v>0</v>
      </c>
      <c r="AX26" s="77">
        <f t="shared" si="40"/>
        <v>0</v>
      </c>
      <c r="AY26" s="77">
        <f t="shared" si="41"/>
        <v>0</v>
      </c>
      <c r="AZ26" s="77">
        <f t="shared" si="42"/>
        <v>0</v>
      </c>
      <c r="BA26" s="78">
        <f t="shared" si="6"/>
        <v>0</v>
      </c>
      <c r="BB26" s="77">
        <f t="shared" si="43"/>
        <v>0</v>
      </c>
      <c r="BC26" s="77">
        <f t="shared" si="44"/>
        <v>0</v>
      </c>
      <c r="BD26" s="77">
        <f t="shared" si="45"/>
        <v>0</v>
      </c>
      <c r="BE26" s="80">
        <f t="shared" si="7"/>
        <v>0</v>
      </c>
      <c r="BF26" s="44">
        <f t="shared" si="46"/>
        <v>0</v>
      </c>
      <c r="BG26" s="45">
        <f t="shared" si="47"/>
        <v>0</v>
      </c>
      <c r="BH26" s="46"/>
      <c r="BI26" s="47"/>
      <c r="BJ26" s="47"/>
    </row>
    <row r="27" spans="1:62">
      <c r="A27" s="84">
        <v>26</v>
      </c>
      <c r="B27" s="48"/>
      <c r="C27" s="49"/>
      <c r="D27" s="49"/>
      <c r="E27" s="40">
        <f t="shared" si="8"/>
        <v>0</v>
      </c>
      <c r="F27" s="40">
        <f t="shared" si="9"/>
        <v>0</v>
      </c>
      <c r="G27" s="40">
        <f t="shared" si="10"/>
        <v>0</v>
      </c>
      <c r="H27" s="41">
        <f t="shared" si="48"/>
        <v>0</v>
      </c>
      <c r="I27" s="40">
        <f t="shared" si="11"/>
        <v>0</v>
      </c>
      <c r="J27" s="40">
        <f t="shared" si="12"/>
        <v>0</v>
      </c>
      <c r="K27" s="40">
        <f t="shared" si="13"/>
        <v>0</v>
      </c>
      <c r="L27" s="41">
        <f t="shared" si="0"/>
        <v>0</v>
      </c>
      <c r="M27" s="40">
        <f t="shared" si="14"/>
        <v>0</v>
      </c>
      <c r="N27" s="40">
        <f t="shared" si="15"/>
        <v>0</v>
      </c>
      <c r="O27" s="40">
        <f t="shared" si="16"/>
        <v>0</v>
      </c>
      <c r="P27" s="41">
        <f t="shared" si="1"/>
        <v>0</v>
      </c>
      <c r="Q27" s="42">
        <f t="shared" si="17"/>
        <v>0</v>
      </c>
      <c r="R27" s="40">
        <f t="shared" si="18"/>
        <v>0</v>
      </c>
      <c r="S27" s="40">
        <f t="shared" si="19"/>
        <v>0</v>
      </c>
      <c r="T27" s="41">
        <f t="shared" si="49"/>
        <v>0</v>
      </c>
      <c r="U27" s="40">
        <f t="shared" si="20"/>
        <v>0</v>
      </c>
      <c r="V27" s="40">
        <f t="shared" si="21"/>
        <v>0</v>
      </c>
      <c r="W27" s="40">
        <f t="shared" si="22"/>
        <v>0</v>
      </c>
      <c r="X27" s="41">
        <f t="shared" si="2"/>
        <v>0</v>
      </c>
      <c r="Y27" s="40">
        <f t="shared" si="23"/>
        <v>0</v>
      </c>
      <c r="Z27" s="40">
        <f t="shared" si="24"/>
        <v>0</v>
      </c>
      <c r="AA27" s="40">
        <f t="shared" si="25"/>
        <v>0</v>
      </c>
      <c r="AB27" s="43">
        <f t="shared" si="3"/>
        <v>0</v>
      </c>
      <c r="AC27" s="44">
        <f t="shared" si="26"/>
        <v>0</v>
      </c>
      <c r="AD27" s="45">
        <f t="shared" si="27"/>
        <v>0</v>
      </c>
      <c r="AE27" s="46"/>
      <c r="AF27" s="47"/>
      <c r="AG27" s="47"/>
      <c r="AH27" s="77">
        <f t="shared" si="28"/>
        <v>0</v>
      </c>
      <c r="AI27" s="77">
        <f t="shared" si="29"/>
        <v>0</v>
      </c>
      <c r="AJ27" s="77">
        <f t="shared" si="30"/>
        <v>0</v>
      </c>
      <c r="AK27" s="78">
        <f t="shared" si="50"/>
        <v>0</v>
      </c>
      <c r="AL27" s="77">
        <f t="shared" si="31"/>
        <v>0</v>
      </c>
      <c r="AM27" s="77">
        <f t="shared" si="32"/>
        <v>0</v>
      </c>
      <c r="AN27" s="77">
        <f t="shared" si="33"/>
        <v>0</v>
      </c>
      <c r="AO27" s="78">
        <f t="shared" si="4"/>
        <v>0</v>
      </c>
      <c r="AP27" s="77">
        <f t="shared" si="34"/>
        <v>0</v>
      </c>
      <c r="AQ27" s="77">
        <f t="shared" si="35"/>
        <v>0</v>
      </c>
      <c r="AR27" s="77">
        <f t="shared" si="36"/>
        <v>0</v>
      </c>
      <c r="AS27" s="78">
        <f t="shared" si="5"/>
        <v>0</v>
      </c>
      <c r="AT27" s="79">
        <f t="shared" si="37"/>
        <v>0</v>
      </c>
      <c r="AU27" s="77">
        <f t="shared" si="38"/>
        <v>0</v>
      </c>
      <c r="AV27" s="77">
        <f t="shared" si="39"/>
        <v>0</v>
      </c>
      <c r="AW27" s="78">
        <f t="shared" si="51"/>
        <v>0</v>
      </c>
      <c r="AX27" s="77">
        <f t="shared" si="40"/>
        <v>0</v>
      </c>
      <c r="AY27" s="77">
        <f t="shared" si="41"/>
        <v>0</v>
      </c>
      <c r="AZ27" s="77">
        <f t="shared" si="42"/>
        <v>0</v>
      </c>
      <c r="BA27" s="78">
        <f t="shared" si="6"/>
        <v>0</v>
      </c>
      <c r="BB27" s="77">
        <f t="shared" si="43"/>
        <v>0</v>
      </c>
      <c r="BC27" s="77">
        <f t="shared" si="44"/>
        <v>0</v>
      </c>
      <c r="BD27" s="77">
        <f t="shared" si="45"/>
        <v>0</v>
      </c>
      <c r="BE27" s="80">
        <f t="shared" si="7"/>
        <v>0</v>
      </c>
      <c r="BF27" s="44">
        <f t="shared" si="46"/>
        <v>0</v>
      </c>
      <c r="BG27" s="45">
        <f t="shared" si="47"/>
        <v>0</v>
      </c>
      <c r="BH27" s="46"/>
      <c r="BI27" s="47"/>
      <c r="BJ27" s="47"/>
    </row>
    <row r="28" spans="1:62">
      <c r="A28" s="84">
        <v>27</v>
      </c>
      <c r="B28" s="48"/>
      <c r="C28" s="49"/>
      <c r="D28" s="49"/>
      <c r="E28" s="40">
        <f t="shared" si="8"/>
        <v>0</v>
      </c>
      <c r="F28" s="40">
        <f t="shared" si="9"/>
        <v>0</v>
      </c>
      <c r="G28" s="40">
        <f t="shared" si="10"/>
        <v>0</v>
      </c>
      <c r="H28" s="41">
        <f t="shared" si="48"/>
        <v>0</v>
      </c>
      <c r="I28" s="40">
        <f t="shared" si="11"/>
        <v>0</v>
      </c>
      <c r="J28" s="40">
        <f t="shared" si="12"/>
        <v>0</v>
      </c>
      <c r="K28" s="40">
        <f t="shared" si="13"/>
        <v>0</v>
      </c>
      <c r="L28" s="41">
        <f t="shared" si="0"/>
        <v>0</v>
      </c>
      <c r="M28" s="40">
        <f t="shared" si="14"/>
        <v>0</v>
      </c>
      <c r="N28" s="40">
        <f t="shared" si="15"/>
        <v>0</v>
      </c>
      <c r="O28" s="40">
        <f t="shared" si="16"/>
        <v>0</v>
      </c>
      <c r="P28" s="41">
        <f t="shared" si="1"/>
        <v>0</v>
      </c>
      <c r="Q28" s="42">
        <f t="shared" si="17"/>
        <v>0</v>
      </c>
      <c r="R28" s="40">
        <f t="shared" si="18"/>
        <v>0</v>
      </c>
      <c r="S28" s="40">
        <f t="shared" si="19"/>
        <v>0</v>
      </c>
      <c r="T28" s="41">
        <f t="shared" si="49"/>
        <v>0</v>
      </c>
      <c r="U28" s="40">
        <f t="shared" si="20"/>
        <v>0</v>
      </c>
      <c r="V28" s="40">
        <f t="shared" si="21"/>
        <v>0</v>
      </c>
      <c r="W28" s="40">
        <f t="shared" si="22"/>
        <v>0</v>
      </c>
      <c r="X28" s="41">
        <f t="shared" si="2"/>
        <v>0</v>
      </c>
      <c r="Y28" s="40">
        <f t="shared" si="23"/>
        <v>0</v>
      </c>
      <c r="Z28" s="40">
        <f t="shared" si="24"/>
        <v>0</v>
      </c>
      <c r="AA28" s="40">
        <f t="shared" si="25"/>
        <v>0</v>
      </c>
      <c r="AB28" s="43">
        <f t="shared" si="3"/>
        <v>0</v>
      </c>
      <c r="AC28" s="44">
        <f t="shared" si="26"/>
        <v>0</v>
      </c>
      <c r="AD28" s="45">
        <f t="shared" si="27"/>
        <v>0</v>
      </c>
      <c r="AE28" s="46"/>
      <c r="AF28" s="47"/>
      <c r="AG28" s="47"/>
      <c r="AH28" s="77">
        <f t="shared" si="28"/>
        <v>0</v>
      </c>
      <c r="AI28" s="77">
        <f t="shared" si="29"/>
        <v>0</v>
      </c>
      <c r="AJ28" s="77">
        <f t="shared" si="30"/>
        <v>0</v>
      </c>
      <c r="AK28" s="78">
        <f t="shared" si="50"/>
        <v>0</v>
      </c>
      <c r="AL28" s="77">
        <f t="shared" si="31"/>
        <v>0</v>
      </c>
      <c r="AM28" s="77">
        <f t="shared" si="32"/>
        <v>0</v>
      </c>
      <c r="AN28" s="77">
        <f t="shared" si="33"/>
        <v>0</v>
      </c>
      <c r="AO28" s="78">
        <f t="shared" si="4"/>
        <v>0</v>
      </c>
      <c r="AP28" s="77">
        <f t="shared" si="34"/>
        <v>0</v>
      </c>
      <c r="AQ28" s="77">
        <f t="shared" si="35"/>
        <v>0</v>
      </c>
      <c r="AR28" s="77">
        <f t="shared" si="36"/>
        <v>0</v>
      </c>
      <c r="AS28" s="78">
        <f t="shared" si="5"/>
        <v>0</v>
      </c>
      <c r="AT28" s="79">
        <f t="shared" si="37"/>
        <v>0</v>
      </c>
      <c r="AU28" s="77">
        <f t="shared" si="38"/>
        <v>0</v>
      </c>
      <c r="AV28" s="77">
        <f t="shared" si="39"/>
        <v>0</v>
      </c>
      <c r="AW28" s="78">
        <f t="shared" si="51"/>
        <v>0</v>
      </c>
      <c r="AX28" s="77">
        <f t="shared" si="40"/>
        <v>0</v>
      </c>
      <c r="AY28" s="77">
        <f t="shared" si="41"/>
        <v>0</v>
      </c>
      <c r="AZ28" s="77">
        <f t="shared" si="42"/>
        <v>0</v>
      </c>
      <c r="BA28" s="78">
        <f t="shared" si="6"/>
        <v>0</v>
      </c>
      <c r="BB28" s="77">
        <f t="shared" si="43"/>
        <v>0</v>
      </c>
      <c r="BC28" s="77">
        <f t="shared" si="44"/>
        <v>0</v>
      </c>
      <c r="BD28" s="77">
        <f t="shared" si="45"/>
        <v>0</v>
      </c>
      <c r="BE28" s="80">
        <f t="shared" si="7"/>
        <v>0</v>
      </c>
      <c r="BF28" s="44">
        <f t="shared" si="46"/>
        <v>0</v>
      </c>
      <c r="BG28" s="45">
        <f t="shared" si="47"/>
        <v>0</v>
      </c>
      <c r="BH28" s="46"/>
      <c r="BI28" s="47"/>
      <c r="BJ28" s="47"/>
    </row>
    <row r="29" spans="1:62">
      <c r="A29" s="84">
        <v>28</v>
      </c>
      <c r="B29" s="48"/>
      <c r="C29" s="49"/>
      <c r="D29" s="49"/>
      <c r="E29" s="40">
        <f t="shared" si="8"/>
        <v>0</v>
      </c>
      <c r="F29" s="40">
        <f t="shared" si="9"/>
        <v>0</v>
      </c>
      <c r="G29" s="40">
        <f t="shared" si="10"/>
        <v>0</v>
      </c>
      <c r="H29" s="41">
        <f t="shared" si="48"/>
        <v>0</v>
      </c>
      <c r="I29" s="40">
        <f t="shared" si="11"/>
        <v>0</v>
      </c>
      <c r="J29" s="40">
        <f t="shared" si="12"/>
        <v>0</v>
      </c>
      <c r="K29" s="40">
        <f t="shared" si="13"/>
        <v>0</v>
      </c>
      <c r="L29" s="41">
        <f t="shared" si="0"/>
        <v>0</v>
      </c>
      <c r="M29" s="40">
        <f t="shared" si="14"/>
        <v>0</v>
      </c>
      <c r="N29" s="40">
        <f t="shared" si="15"/>
        <v>0</v>
      </c>
      <c r="O29" s="40">
        <f t="shared" si="16"/>
        <v>0</v>
      </c>
      <c r="P29" s="41">
        <f t="shared" si="1"/>
        <v>0</v>
      </c>
      <c r="Q29" s="42">
        <f t="shared" si="17"/>
        <v>0</v>
      </c>
      <c r="R29" s="40">
        <f t="shared" si="18"/>
        <v>0</v>
      </c>
      <c r="S29" s="40">
        <f t="shared" si="19"/>
        <v>0</v>
      </c>
      <c r="T29" s="41">
        <f t="shared" si="49"/>
        <v>0</v>
      </c>
      <c r="U29" s="40">
        <f t="shared" si="20"/>
        <v>0</v>
      </c>
      <c r="V29" s="40">
        <f t="shared" si="21"/>
        <v>0</v>
      </c>
      <c r="W29" s="40">
        <f t="shared" si="22"/>
        <v>0</v>
      </c>
      <c r="X29" s="41">
        <f t="shared" si="2"/>
        <v>0</v>
      </c>
      <c r="Y29" s="40">
        <f t="shared" si="23"/>
        <v>0</v>
      </c>
      <c r="Z29" s="40">
        <f t="shared" si="24"/>
        <v>0</v>
      </c>
      <c r="AA29" s="40">
        <f t="shared" si="25"/>
        <v>0</v>
      </c>
      <c r="AB29" s="43">
        <f t="shared" si="3"/>
        <v>0</v>
      </c>
      <c r="AC29" s="44">
        <f t="shared" si="26"/>
        <v>0</v>
      </c>
      <c r="AD29" s="45">
        <f t="shared" si="27"/>
        <v>0</v>
      </c>
      <c r="AE29" s="46"/>
      <c r="AF29" s="47"/>
      <c r="AG29" s="47"/>
      <c r="AH29" s="77">
        <f t="shared" si="28"/>
        <v>0</v>
      </c>
      <c r="AI29" s="77">
        <f t="shared" si="29"/>
        <v>0</v>
      </c>
      <c r="AJ29" s="77">
        <f t="shared" si="30"/>
        <v>0</v>
      </c>
      <c r="AK29" s="78">
        <f t="shared" si="50"/>
        <v>0</v>
      </c>
      <c r="AL29" s="77">
        <f t="shared" si="31"/>
        <v>0</v>
      </c>
      <c r="AM29" s="77">
        <f t="shared" si="32"/>
        <v>0</v>
      </c>
      <c r="AN29" s="77">
        <f t="shared" si="33"/>
        <v>0</v>
      </c>
      <c r="AO29" s="78">
        <f t="shared" si="4"/>
        <v>0</v>
      </c>
      <c r="AP29" s="77">
        <f t="shared" si="34"/>
        <v>0</v>
      </c>
      <c r="AQ29" s="77">
        <f t="shared" si="35"/>
        <v>0</v>
      </c>
      <c r="AR29" s="77">
        <f t="shared" si="36"/>
        <v>0</v>
      </c>
      <c r="AS29" s="78">
        <f t="shared" si="5"/>
        <v>0</v>
      </c>
      <c r="AT29" s="79">
        <f t="shared" si="37"/>
        <v>0</v>
      </c>
      <c r="AU29" s="77">
        <f t="shared" si="38"/>
        <v>0</v>
      </c>
      <c r="AV29" s="77">
        <f t="shared" si="39"/>
        <v>0</v>
      </c>
      <c r="AW29" s="78">
        <f t="shared" si="51"/>
        <v>0</v>
      </c>
      <c r="AX29" s="77">
        <f t="shared" si="40"/>
        <v>0</v>
      </c>
      <c r="AY29" s="77">
        <f t="shared" si="41"/>
        <v>0</v>
      </c>
      <c r="AZ29" s="77">
        <f t="shared" si="42"/>
        <v>0</v>
      </c>
      <c r="BA29" s="78">
        <f t="shared" si="6"/>
        <v>0</v>
      </c>
      <c r="BB29" s="77">
        <f t="shared" si="43"/>
        <v>0</v>
      </c>
      <c r="BC29" s="77">
        <f t="shared" si="44"/>
        <v>0</v>
      </c>
      <c r="BD29" s="77">
        <f t="shared" si="45"/>
        <v>0</v>
      </c>
      <c r="BE29" s="80">
        <f t="shared" si="7"/>
        <v>0</v>
      </c>
      <c r="BF29" s="44">
        <f t="shared" si="46"/>
        <v>0</v>
      </c>
      <c r="BG29" s="45">
        <f t="shared" si="47"/>
        <v>0</v>
      </c>
      <c r="BH29" s="46"/>
      <c r="BI29" s="47"/>
      <c r="BJ29" s="47"/>
    </row>
    <row r="30" spans="1:62">
      <c r="A30" s="84">
        <v>29</v>
      </c>
      <c r="B30" s="48"/>
      <c r="C30" s="49"/>
      <c r="D30" s="49"/>
      <c r="E30" s="40">
        <f t="shared" si="8"/>
        <v>0</v>
      </c>
      <c r="F30" s="40">
        <f t="shared" si="9"/>
        <v>0</v>
      </c>
      <c r="G30" s="40">
        <f t="shared" si="10"/>
        <v>0</v>
      </c>
      <c r="H30" s="41">
        <f t="shared" si="48"/>
        <v>0</v>
      </c>
      <c r="I30" s="40">
        <f t="shared" si="11"/>
        <v>0</v>
      </c>
      <c r="J30" s="40">
        <f t="shared" si="12"/>
        <v>0</v>
      </c>
      <c r="K30" s="40">
        <f t="shared" si="13"/>
        <v>0</v>
      </c>
      <c r="L30" s="41">
        <f t="shared" si="0"/>
        <v>0</v>
      </c>
      <c r="M30" s="40">
        <f t="shared" si="14"/>
        <v>0</v>
      </c>
      <c r="N30" s="40">
        <f t="shared" si="15"/>
        <v>0</v>
      </c>
      <c r="O30" s="40">
        <f t="shared" si="16"/>
        <v>0</v>
      </c>
      <c r="P30" s="41">
        <f t="shared" si="1"/>
        <v>0</v>
      </c>
      <c r="Q30" s="42">
        <f t="shared" si="17"/>
        <v>0</v>
      </c>
      <c r="R30" s="40">
        <f t="shared" si="18"/>
        <v>0</v>
      </c>
      <c r="S30" s="40">
        <f t="shared" si="19"/>
        <v>0</v>
      </c>
      <c r="T30" s="41">
        <f t="shared" si="49"/>
        <v>0</v>
      </c>
      <c r="U30" s="40">
        <f t="shared" si="20"/>
        <v>0</v>
      </c>
      <c r="V30" s="40">
        <f t="shared" si="21"/>
        <v>0</v>
      </c>
      <c r="W30" s="40">
        <f t="shared" si="22"/>
        <v>0</v>
      </c>
      <c r="X30" s="41">
        <f t="shared" si="2"/>
        <v>0</v>
      </c>
      <c r="Y30" s="40">
        <f t="shared" si="23"/>
        <v>0</v>
      </c>
      <c r="Z30" s="40">
        <f t="shared" si="24"/>
        <v>0</v>
      </c>
      <c r="AA30" s="40">
        <f t="shared" si="25"/>
        <v>0</v>
      </c>
      <c r="AB30" s="43">
        <f t="shared" si="3"/>
        <v>0</v>
      </c>
      <c r="AC30" s="44">
        <f t="shared" si="26"/>
        <v>0</v>
      </c>
      <c r="AD30" s="45">
        <f t="shared" si="27"/>
        <v>0</v>
      </c>
      <c r="AE30" s="46"/>
      <c r="AF30" s="47"/>
      <c r="AG30" s="47"/>
      <c r="AH30" s="77">
        <f t="shared" si="28"/>
        <v>0</v>
      </c>
      <c r="AI30" s="77">
        <f t="shared" si="29"/>
        <v>0</v>
      </c>
      <c r="AJ30" s="77">
        <f t="shared" si="30"/>
        <v>0</v>
      </c>
      <c r="AK30" s="78">
        <f t="shared" si="50"/>
        <v>0</v>
      </c>
      <c r="AL30" s="77">
        <f t="shared" si="31"/>
        <v>0</v>
      </c>
      <c r="AM30" s="77">
        <f t="shared" si="32"/>
        <v>0</v>
      </c>
      <c r="AN30" s="77">
        <f t="shared" si="33"/>
        <v>0</v>
      </c>
      <c r="AO30" s="78">
        <f t="shared" si="4"/>
        <v>0</v>
      </c>
      <c r="AP30" s="77">
        <f t="shared" si="34"/>
        <v>0</v>
      </c>
      <c r="AQ30" s="77">
        <f t="shared" si="35"/>
        <v>0</v>
      </c>
      <c r="AR30" s="77">
        <f t="shared" si="36"/>
        <v>0</v>
      </c>
      <c r="AS30" s="78">
        <f t="shared" si="5"/>
        <v>0</v>
      </c>
      <c r="AT30" s="79">
        <f t="shared" si="37"/>
        <v>0</v>
      </c>
      <c r="AU30" s="77">
        <f t="shared" si="38"/>
        <v>0</v>
      </c>
      <c r="AV30" s="77">
        <f t="shared" si="39"/>
        <v>0</v>
      </c>
      <c r="AW30" s="78">
        <f t="shared" si="51"/>
        <v>0</v>
      </c>
      <c r="AX30" s="77">
        <f t="shared" si="40"/>
        <v>0</v>
      </c>
      <c r="AY30" s="77">
        <f t="shared" si="41"/>
        <v>0</v>
      </c>
      <c r="AZ30" s="77">
        <f t="shared" si="42"/>
        <v>0</v>
      </c>
      <c r="BA30" s="78">
        <f t="shared" si="6"/>
        <v>0</v>
      </c>
      <c r="BB30" s="77">
        <f t="shared" si="43"/>
        <v>0</v>
      </c>
      <c r="BC30" s="77">
        <f t="shared" si="44"/>
        <v>0</v>
      </c>
      <c r="BD30" s="77">
        <f t="shared" si="45"/>
        <v>0</v>
      </c>
      <c r="BE30" s="80">
        <f t="shared" si="7"/>
        <v>0</v>
      </c>
      <c r="BF30" s="44">
        <f t="shared" si="46"/>
        <v>0</v>
      </c>
      <c r="BG30" s="45">
        <f t="shared" si="47"/>
        <v>0</v>
      </c>
      <c r="BH30" s="46"/>
      <c r="BI30" s="47"/>
      <c r="BJ30" s="47"/>
    </row>
    <row r="31" spans="1:62">
      <c r="A31" s="84">
        <v>30</v>
      </c>
      <c r="B31" s="48"/>
      <c r="C31" s="49"/>
      <c r="D31" s="49"/>
      <c r="E31" s="40">
        <f t="shared" si="8"/>
        <v>0</v>
      </c>
      <c r="F31" s="40">
        <f t="shared" si="9"/>
        <v>0</v>
      </c>
      <c r="G31" s="40">
        <f t="shared" si="10"/>
        <v>0</v>
      </c>
      <c r="H31" s="41">
        <f t="shared" si="48"/>
        <v>0</v>
      </c>
      <c r="I31" s="40">
        <f t="shared" si="11"/>
        <v>0</v>
      </c>
      <c r="J31" s="40">
        <f t="shared" si="12"/>
        <v>0</v>
      </c>
      <c r="K31" s="40">
        <f t="shared" si="13"/>
        <v>0</v>
      </c>
      <c r="L31" s="41">
        <f t="shared" si="0"/>
        <v>0</v>
      </c>
      <c r="M31" s="40">
        <f t="shared" si="14"/>
        <v>0</v>
      </c>
      <c r="N31" s="40">
        <f t="shared" si="15"/>
        <v>0</v>
      </c>
      <c r="O31" s="40">
        <f t="shared" si="16"/>
        <v>0</v>
      </c>
      <c r="P31" s="41">
        <f t="shared" si="1"/>
        <v>0</v>
      </c>
      <c r="Q31" s="42">
        <f t="shared" si="17"/>
        <v>0</v>
      </c>
      <c r="R31" s="40">
        <f t="shared" si="18"/>
        <v>0</v>
      </c>
      <c r="S31" s="40">
        <f t="shared" si="19"/>
        <v>0</v>
      </c>
      <c r="T31" s="41">
        <f t="shared" si="49"/>
        <v>0</v>
      </c>
      <c r="U31" s="40">
        <f t="shared" si="20"/>
        <v>0</v>
      </c>
      <c r="V31" s="40">
        <f t="shared" si="21"/>
        <v>0</v>
      </c>
      <c r="W31" s="40">
        <f t="shared" si="22"/>
        <v>0</v>
      </c>
      <c r="X31" s="41">
        <f t="shared" si="2"/>
        <v>0</v>
      </c>
      <c r="Y31" s="40">
        <f t="shared" si="23"/>
        <v>0</v>
      </c>
      <c r="Z31" s="40">
        <f t="shared" si="24"/>
        <v>0</v>
      </c>
      <c r="AA31" s="40">
        <f t="shared" si="25"/>
        <v>0</v>
      </c>
      <c r="AB31" s="43">
        <f t="shared" si="3"/>
        <v>0</v>
      </c>
      <c r="AC31" s="44">
        <f t="shared" si="26"/>
        <v>0</v>
      </c>
      <c r="AD31" s="45">
        <f t="shared" si="27"/>
        <v>0</v>
      </c>
      <c r="AE31" s="46"/>
      <c r="AF31" s="47"/>
      <c r="AG31" s="47"/>
      <c r="AH31" s="77">
        <f t="shared" si="28"/>
        <v>0</v>
      </c>
      <c r="AI31" s="77">
        <f t="shared" si="29"/>
        <v>0</v>
      </c>
      <c r="AJ31" s="77">
        <f t="shared" si="30"/>
        <v>0</v>
      </c>
      <c r="AK31" s="78">
        <f t="shared" si="50"/>
        <v>0</v>
      </c>
      <c r="AL31" s="77">
        <f t="shared" si="31"/>
        <v>0</v>
      </c>
      <c r="AM31" s="77">
        <f t="shared" si="32"/>
        <v>0</v>
      </c>
      <c r="AN31" s="77">
        <f t="shared" si="33"/>
        <v>0</v>
      </c>
      <c r="AO31" s="78">
        <f t="shared" si="4"/>
        <v>0</v>
      </c>
      <c r="AP31" s="77">
        <f t="shared" si="34"/>
        <v>0</v>
      </c>
      <c r="AQ31" s="77">
        <f t="shared" si="35"/>
        <v>0</v>
      </c>
      <c r="AR31" s="77">
        <f t="shared" si="36"/>
        <v>0</v>
      </c>
      <c r="AS31" s="78">
        <f t="shared" si="5"/>
        <v>0</v>
      </c>
      <c r="AT31" s="79">
        <f t="shared" si="37"/>
        <v>0</v>
      </c>
      <c r="AU31" s="77">
        <f t="shared" si="38"/>
        <v>0</v>
      </c>
      <c r="AV31" s="77">
        <f t="shared" si="39"/>
        <v>0</v>
      </c>
      <c r="AW31" s="78">
        <f t="shared" si="51"/>
        <v>0</v>
      </c>
      <c r="AX31" s="77">
        <f t="shared" si="40"/>
        <v>0</v>
      </c>
      <c r="AY31" s="77">
        <f t="shared" si="41"/>
        <v>0</v>
      </c>
      <c r="AZ31" s="77">
        <f t="shared" si="42"/>
        <v>0</v>
      </c>
      <c r="BA31" s="78">
        <f t="shared" si="6"/>
        <v>0</v>
      </c>
      <c r="BB31" s="77">
        <f t="shared" si="43"/>
        <v>0</v>
      </c>
      <c r="BC31" s="77">
        <f t="shared" si="44"/>
        <v>0</v>
      </c>
      <c r="BD31" s="77">
        <f t="shared" si="45"/>
        <v>0</v>
      </c>
      <c r="BE31" s="80">
        <f t="shared" si="7"/>
        <v>0</v>
      </c>
      <c r="BF31" s="44">
        <f t="shared" si="46"/>
        <v>0</v>
      </c>
      <c r="BG31" s="45">
        <f t="shared" si="47"/>
        <v>0</v>
      </c>
      <c r="BH31" s="46"/>
      <c r="BI31" s="47"/>
      <c r="BJ31" s="47"/>
    </row>
    <row r="32" spans="1:62">
      <c r="A32" s="84">
        <v>31</v>
      </c>
      <c r="B32" s="48"/>
      <c r="C32" s="49"/>
      <c r="D32" s="49"/>
      <c r="E32" s="40">
        <f t="shared" si="8"/>
        <v>0</v>
      </c>
      <c r="F32" s="40">
        <f t="shared" si="9"/>
        <v>0</v>
      </c>
      <c r="G32" s="40">
        <f t="shared" si="10"/>
        <v>0</v>
      </c>
      <c r="H32" s="41">
        <f t="shared" si="48"/>
        <v>0</v>
      </c>
      <c r="I32" s="40">
        <f t="shared" si="11"/>
        <v>0</v>
      </c>
      <c r="J32" s="40">
        <f t="shared" si="12"/>
        <v>0</v>
      </c>
      <c r="K32" s="40">
        <f t="shared" si="13"/>
        <v>0</v>
      </c>
      <c r="L32" s="41">
        <f t="shared" si="0"/>
        <v>0</v>
      </c>
      <c r="M32" s="40">
        <f t="shared" si="14"/>
        <v>0</v>
      </c>
      <c r="N32" s="40">
        <f t="shared" si="15"/>
        <v>0</v>
      </c>
      <c r="O32" s="40">
        <f t="shared" si="16"/>
        <v>0</v>
      </c>
      <c r="P32" s="41">
        <f t="shared" si="1"/>
        <v>0</v>
      </c>
      <c r="Q32" s="42">
        <f t="shared" si="17"/>
        <v>0</v>
      </c>
      <c r="R32" s="40">
        <f t="shared" si="18"/>
        <v>0</v>
      </c>
      <c r="S32" s="40">
        <f t="shared" si="19"/>
        <v>0</v>
      </c>
      <c r="T32" s="41">
        <f t="shared" si="49"/>
        <v>0</v>
      </c>
      <c r="U32" s="40">
        <f t="shared" si="20"/>
        <v>0</v>
      </c>
      <c r="V32" s="40">
        <f t="shared" si="21"/>
        <v>0</v>
      </c>
      <c r="W32" s="40">
        <f t="shared" si="22"/>
        <v>0</v>
      </c>
      <c r="X32" s="41">
        <f t="shared" si="2"/>
        <v>0</v>
      </c>
      <c r="Y32" s="40">
        <f t="shared" si="23"/>
        <v>0</v>
      </c>
      <c r="Z32" s="40">
        <f t="shared" si="24"/>
        <v>0</v>
      </c>
      <c r="AA32" s="40">
        <f t="shared" si="25"/>
        <v>0</v>
      </c>
      <c r="AB32" s="43">
        <f t="shared" si="3"/>
        <v>0</v>
      </c>
      <c r="AC32" s="44">
        <f t="shared" si="26"/>
        <v>0</v>
      </c>
      <c r="AD32" s="45">
        <f t="shared" si="27"/>
        <v>0</v>
      </c>
      <c r="AE32" s="46"/>
      <c r="AF32" s="47"/>
      <c r="AG32" s="47"/>
      <c r="AH32" s="77">
        <f t="shared" si="28"/>
        <v>0</v>
      </c>
      <c r="AI32" s="77">
        <f t="shared" si="29"/>
        <v>0</v>
      </c>
      <c r="AJ32" s="77">
        <f t="shared" si="30"/>
        <v>0</v>
      </c>
      <c r="AK32" s="78">
        <f t="shared" si="50"/>
        <v>0</v>
      </c>
      <c r="AL32" s="77">
        <f t="shared" si="31"/>
        <v>0</v>
      </c>
      <c r="AM32" s="77">
        <f t="shared" si="32"/>
        <v>0</v>
      </c>
      <c r="AN32" s="77">
        <f t="shared" si="33"/>
        <v>0</v>
      </c>
      <c r="AO32" s="78">
        <f t="shared" si="4"/>
        <v>0</v>
      </c>
      <c r="AP32" s="77">
        <f t="shared" si="34"/>
        <v>0</v>
      </c>
      <c r="AQ32" s="77">
        <f t="shared" si="35"/>
        <v>0</v>
      </c>
      <c r="AR32" s="77">
        <f t="shared" si="36"/>
        <v>0</v>
      </c>
      <c r="AS32" s="78">
        <f t="shared" si="5"/>
        <v>0</v>
      </c>
      <c r="AT32" s="79">
        <f t="shared" si="37"/>
        <v>0</v>
      </c>
      <c r="AU32" s="77">
        <f t="shared" si="38"/>
        <v>0</v>
      </c>
      <c r="AV32" s="77">
        <f t="shared" si="39"/>
        <v>0</v>
      </c>
      <c r="AW32" s="78">
        <f t="shared" si="51"/>
        <v>0</v>
      </c>
      <c r="AX32" s="77">
        <f t="shared" si="40"/>
        <v>0</v>
      </c>
      <c r="AY32" s="77">
        <f t="shared" si="41"/>
        <v>0</v>
      </c>
      <c r="AZ32" s="77">
        <f t="shared" si="42"/>
        <v>0</v>
      </c>
      <c r="BA32" s="78">
        <f t="shared" si="6"/>
        <v>0</v>
      </c>
      <c r="BB32" s="77">
        <f t="shared" si="43"/>
        <v>0</v>
      </c>
      <c r="BC32" s="77">
        <f t="shared" si="44"/>
        <v>0</v>
      </c>
      <c r="BD32" s="77">
        <f t="shared" si="45"/>
        <v>0</v>
      </c>
      <c r="BE32" s="80">
        <f t="shared" si="7"/>
        <v>0</v>
      </c>
      <c r="BF32" s="44">
        <f t="shared" si="46"/>
        <v>0</v>
      </c>
      <c r="BG32" s="45">
        <f t="shared" si="47"/>
        <v>0</v>
      </c>
      <c r="BH32" s="46"/>
      <c r="BI32" s="47"/>
      <c r="BJ32" s="47"/>
    </row>
    <row r="33" spans="1:62">
      <c r="A33" s="84">
        <v>32</v>
      </c>
      <c r="B33" s="48"/>
      <c r="C33" s="49"/>
      <c r="D33" s="49"/>
      <c r="E33" s="40">
        <f t="shared" si="8"/>
        <v>0</v>
      </c>
      <c r="F33" s="40">
        <f t="shared" si="9"/>
        <v>0</v>
      </c>
      <c r="G33" s="40">
        <f t="shared" si="10"/>
        <v>0</v>
      </c>
      <c r="H33" s="41">
        <f t="shared" si="48"/>
        <v>0</v>
      </c>
      <c r="I33" s="40">
        <f t="shared" si="11"/>
        <v>0</v>
      </c>
      <c r="J33" s="40">
        <f t="shared" si="12"/>
        <v>0</v>
      </c>
      <c r="K33" s="40">
        <f t="shared" si="13"/>
        <v>0</v>
      </c>
      <c r="L33" s="41">
        <f t="shared" si="0"/>
        <v>0</v>
      </c>
      <c r="M33" s="40">
        <f t="shared" si="14"/>
        <v>0</v>
      </c>
      <c r="N33" s="40">
        <f t="shared" si="15"/>
        <v>0</v>
      </c>
      <c r="O33" s="40">
        <f t="shared" si="16"/>
        <v>0</v>
      </c>
      <c r="P33" s="41">
        <f t="shared" si="1"/>
        <v>0</v>
      </c>
      <c r="Q33" s="42">
        <f t="shared" si="17"/>
        <v>0</v>
      </c>
      <c r="R33" s="40">
        <f t="shared" si="18"/>
        <v>0</v>
      </c>
      <c r="S33" s="40">
        <f t="shared" si="19"/>
        <v>0</v>
      </c>
      <c r="T33" s="41">
        <f t="shared" si="49"/>
        <v>0</v>
      </c>
      <c r="U33" s="40">
        <f t="shared" si="20"/>
        <v>0</v>
      </c>
      <c r="V33" s="40">
        <f t="shared" si="21"/>
        <v>0</v>
      </c>
      <c r="W33" s="40">
        <f t="shared" si="22"/>
        <v>0</v>
      </c>
      <c r="X33" s="41">
        <f t="shared" si="2"/>
        <v>0</v>
      </c>
      <c r="Y33" s="40">
        <f t="shared" si="23"/>
        <v>0</v>
      </c>
      <c r="Z33" s="40">
        <f t="shared" si="24"/>
        <v>0</v>
      </c>
      <c r="AA33" s="40">
        <f t="shared" si="25"/>
        <v>0</v>
      </c>
      <c r="AB33" s="43">
        <f t="shared" si="3"/>
        <v>0</v>
      </c>
      <c r="AC33" s="44">
        <f t="shared" si="26"/>
        <v>0</v>
      </c>
      <c r="AD33" s="45">
        <f t="shared" si="27"/>
        <v>0</v>
      </c>
      <c r="AE33" s="46"/>
      <c r="AF33" s="47"/>
      <c r="AG33" s="47"/>
      <c r="AH33" s="77">
        <f t="shared" si="28"/>
        <v>0</v>
      </c>
      <c r="AI33" s="77">
        <f t="shared" si="29"/>
        <v>0</v>
      </c>
      <c r="AJ33" s="77">
        <f t="shared" si="30"/>
        <v>0</v>
      </c>
      <c r="AK33" s="78">
        <f t="shared" si="50"/>
        <v>0</v>
      </c>
      <c r="AL33" s="77">
        <f t="shared" si="31"/>
        <v>0</v>
      </c>
      <c r="AM33" s="77">
        <f t="shared" si="32"/>
        <v>0</v>
      </c>
      <c r="AN33" s="77">
        <f t="shared" si="33"/>
        <v>0</v>
      </c>
      <c r="AO33" s="78">
        <f t="shared" si="4"/>
        <v>0</v>
      </c>
      <c r="AP33" s="77">
        <f t="shared" si="34"/>
        <v>0</v>
      </c>
      <c r="AQ33" s="77">
        <f t="shared" si="35"/>
        <v>0</v>
      </c>
      <c r="AR33" s="77">
        <f t="shared" si="36"/>
        <v>0</v>
      </c>
      <c r="AS33" s="78">
        <f t="shared" si="5"/>
        <v>0</v>
      </c>
      <c r="AT33" s="79">
        <f t="shared" si="37"/>
        <v>0</v>
      </c>
      <c r="AU33" s="77">
        <f t="shared" si="38"/>
        <v>0</v>
      </c>
      <c r="AV33" s="77">
        <f t="shared" si="39"/>
        <v>0</v>
      </c>
      <c r="AW33" s="78">
        <f t="shared" si="51"/>
        <v>0</v>
      </c>
      <c r="AX33" s="77">
        <f t="shared" si="40"/>
        <v>0</v>
      </c>
      <c r="AY33" s="77">
        <f t="shared" si="41"/>
        <v>0</v>
      </c>
      <c r="AZ33" s="77">
        <f t="shared" si="42"/>
        <v>0</v>
      </c>
      <c r="BA33" s="78">
        <f t="shared" si="6"/>
        <v>0</v>
      </c>
      <c r="BB33" s="77">
        <f t="shared" si="43"/>
        <v>0</v>
      </c>
      <c r="BC33" s="77">
        <f t="shared" si="44"/>
        <v>0</v>
      </c>
      <c r="BD33" s="77">
        <f t="shared" si="45"/>
        <v>0</v>
      </c>
      <c r="BE33" s="80">
        <f t="shared" si="7"/>
        <v>0</v>
      </c>
      <c r="BF33" s="44">
        <f t="shared" si="46"/>
        <v>0</v>
      </c>
      <c r="BG33" s="45">
        <f t="shared" si="47"/>
        <v>0</v>
      </c>
      <c r="BH33" s="46"/>
      <c r="BI33" s="47"/>
      <c r="BJ33" s="47"/>
    </row>
    <row r="34" spans="1:62">
      <c r="A34" s="84">
        <v>33</v>
      </c>
      <c r="B34" s="48"/>
      <c r="C34" s="49"/>
      <c r="D34" s="49"/>
      <c r="E34" s="40">
        <f t="shared" si="8"/>
        <v>0</v>
      </c>
      <c r="F34" s="40">
        <f t="shared" si="9"/>
        <v>0</v>
      </c>
      <c r="G34" s="40">
        <f t="shared" si="10"/>
        <v>0</v>
      </c>
      <c r="H34" s="41">
        <f t="shared" si="48"/>
        <v>0</v>
      </c>
      <c r="I34" s="40">
        <f t="shared" si="11"/>
        <v>0</v>
      </c>
      <c r="J34" s="40">
        <f t="shared" si="12"/>
        <v>0</v>
      </c>
      <c r="K34" s="40">
        <f t="shared" si="13"/>
        <v>0</v>
      </c>
      <c r="L34" s="41">
        <f t="shared" si="0"/>
        <v>0</v>
      </c>
      <c r="M34" s="40">
        <f t="shared" si="14"/>
        <v>0</v>
      </c>
      <c r="N34" s="40">
        <f t="shared" si="15"/>
        <v>0</v>
      </c>
      <c r="O34" s="40">
        <f t="shared" si="16"/>
        <v>0</v>
      </c>
      <c r="P34" s="41">
        <f t="shared" si="1"/>
        <v>0</v>
      </c>
      <c r="Q34" s="42">
        <f t="shared" si="17"/>
        <v>0</v>
      </c>
      <c r="R34" s="40">
        <f t="shared" si="18"/>
        <v>0</v>
      </c>
      <c r="S34" s="40">
        <f t="shared" si="19"/>
        <v>0</v>
      </c>
      <c r="T34" s="41">
        <f t="shared" si="49"/>
        <v>0</v>
      </c>
      <c r="U34" s="40">
        <f t="shared" si="20"/>
        <v>0</v>
      </c>
      <c r="V34" s="40">
        <f t="shared" si="21"/>
        <v>0</v>
      </c>
      <c r="W34" s="40">
        <f t="shared" si="22"/>
        <v>0</v>
      </c>
      <c r="X34" s="41">
        <f t="shared" si="2"/>
        <v>0</v>
      </c>
      <c r="Y34" s="40">
        <f t="shared" si="23"/>
        <v>0</v>
      </c>
      <c r="Z34" s="40">
        <f t="shared" si="24"/>
        <v>0</v>
      </c>
      <c r="AA34" s="40">
        <f t="shared" si="25"/>
        <v>0</v>
      </c>
      <c r="AB34" s="43">
        <f t="shared" si="3"/>
        <v>0</v>
      </c>
      <c r="AC34" s="44">
        <f t="shared" si="26"/>
        <v>0</v>
      </c>
      <c r="AD34" s="45">
        <f t="shared" si="27"/>
        <v>0</v>
      </c>
      <c r="AE34" s="46"/>
      <c r="AF34" s="47"/>
      <c r="AG34" s="47"/>
      <c r="AH34" s="77">
        <f t="shared" si="28"/>
        <v>0</v>
      </c>
      <c r="AI34" s="77">
        <f t="shared" si="29"/>
        <v>0</v>
      </c>
      <c r="AJ34" s="77">
        <f t="shared" si="30"/>
        <v>0</v>
      </c>
      <c r="AK34" s="78">
        <f t="shared" si="50"/>
        <v>0</v>
      </c>
      <c r="AL34" s="77">
        <f t="shared" si="31"/>
        <v>0</v>
      </c>
      <c r="AM34" s="77">
        <f t="shared" si="32"/>
        <v>0</v>
      </c>
      <c r="AN34" s="77">
        <f t="shared" si="33"/>
        <v>0</v>
      </c>
      <c r="AO34" s="78">
        <f t="shared" si="4"/>
        <v>0</v>
      </c>
      <c r="AP34" s="77">
        <f t="shared" si="34"/>
        <v>0</v>
      </c>
      <c r="AQ34" s="77">
        <f t="shared" si="35"/>
        <v>0</v>
      </c>
      <c r="AR34" s="77">
        <f t="shared" si="36"/>
        <v>0</v>
      </c>
      <c r="AS34" s="78">
        <f t="shared" si="5"/>
        <v>0</v>
      </c>
      <c r="AT34" s="79">
        <f t="shared" si="37"/>
        <v>0</v>
      </c>
      <c r="AU34" s="77">
        <f t="shared" si="38"/>
        <v>0</v>
      </c>
      <c r="AV34" s="77">
        <f t="shared" si="39"/>
        <v>0</v>
      </c>
      <c r="AW34" s="78">
        <f t="shared" si="51"/>
        <v>0</v>
      </c>
      <c r="AX34" s="77">
        <f t="shared" si="40"/>
        <v>0</v>
      </c>
      <c r="AY34" s="77">
        <f t="shared" si="41"/>
        <v>0</v>
      </c>
      <c r="AZ34" s="77">
        <f t="shared" si="42"/>
        <v>0</v>
      </c>
      <c r="BA34" s="78">
        <f t="shared" si="6"/>
        <v>0</v>
      </c>
      <c r="BB34" s="77">
        <f t="shared" si="43"/>
        <v>0</v>
      </c>
      <c r="BC34" s="77">
        <f t="shared" si="44"/>
        <v>0</v>
      </c>
      <c r="BD34" s="77">
        <f t="shared" si="45"/>
        <v>0</v>
      </c>
      <c r="BE34" s="80">
        <f t="shared" si="7"/>
        <v>0</v>
      </c>
      <c r="BF34" s="44">
        <f t="shared" si="46"/>
        <v>0</v>
      </c>
      <c r="BG34" s="45">
        <f t="shared" si="47"/>
        <v>0</v>
      </c>
      <c r="BH34" s="46"/>
      <c r="BI34" s="47"/>
      <c r="BJ34" s="47"/>
    </row>
    <row r="35" spans="1:62">
      <c r="A35" s="84">
        <v>34</v>
      </c>
      <c r="B35" s="48"/>
      <c r="C35" s="49"/>
      <c r="D35" s="49"/>
      <c r="E35" s="40">
        <f t="shared" si="8"/>
        <v>0</v>
      </c>
      <c r="F35" s="40">
        <f t="shared" si="9"/>
        <v>0</v>
      </c>
      <c r="G35" s="40">
        <f t="shared" si="10"/>
        <v>0</v>
      </c>
      <c r="H35" s="41">
        <f t="shared" si="48"/>
        <v>0</v>
      </c>
      <c r="I35" s="40">
        <f t="shared" si="11"/>
        <v>0</v>
      </c>
      <c r="J35" s="40">
        <f t="shared" si="12"/>
        <v>0</v>
      </c>
      <c r="K35" s="40">
        <f t="shared" si="13"/>
        <v>0</v>
      </c>
      <c r="L35" s="41">
        <f t="shared" si="0"/>
        <v>0</v>
      </c>
      <c r="M35" s="40">
        <f t="shared" si="14"/>
        <v>0</v>
      </c>
      <c r="N35" s="40">
        <f t="shared" si="15"/>
        <v>0</v>
      </c>
      <c r="O35" s="40">
        <f t="shared" si="16"/>
        <v>0</v>
      </c>
      <c r="P35" s="41">
        <f t="shared" si="1"/>
        <v>0</v>
      </c>
      <c r="Q35" s="42">
        <f t="shared" si="17"/>
        <v>0</v>
      </c>
      <c r="R35" s="40">
        <f t="shared" si="18"/>
        <v>0</v>
      </c>
      <c r="S35" s="40">
        <f t="shared" si="19"/>
        <v>0</v>
      </c>
      <c r="T35" s="41">
        <f t="shared" si="49"/>
        <v>0</v>
      </c>
      <c r="U35" s="40">
        <f t="shared" si="20"/>
        <v>0</v>
      </c>
      <c r="V35" s="40">
        <f t="shared" si="21"/>
        <v>0</v>
      </c>
      <c r="W35" s="40">
        <f t="shared" si="22"/>
        <v>0</v>
      </c>
      <c r="X35" s="41">
        <f t="shared" si="2"/>
        <v>0</v>
      </c>
      <c r="Y35" s="40">
        <f t="shared" si="23"/>
        <v>0</v>
      </c>
      <c r="Z35" s="40">
        <f t="shared" si="24"/>
        <v>0</v>
      </c>
      <c r="AA35" s="40">
        <f t="shared" si="25"/>
        <v>0</v>
      </c>
      <c r="AB35" s="43">
        <f t="shared" si="3"/>
        <v>0</v>
      </c>
      <c r="AC35" s="44">
        <f t="shared" si="26"/>
        <v>0</v>
      </c>
      <c r="AD35" s="45">
        <f t="shared" si="27"/>
        <v>0</v>
      </c>
      <c r="AE35" s="46"/>
      <c r="AF35" s="47"/>
      <c r="AG35" s="47"/>
      <c r="AH35" s="77">
        <f t="shared" si="28"/>
        <v>0</v>
      </c>
      <c r="AI35" s="77">
        <f t="shared" si="29"/>
        <v>0</v>
      </c>
      <c r="AJ35" s="77">
        <f t="shared" si="30"/>
        <v>0</v>
      </c>
      <c r="AK35" s="78">
        <f t="shared" si="50"/>
        <v>0</v>
      </c>
      <c r="AL35" s="77">
        <f t="shared" si="31"/>
        <v>0</v>
      </c>
      <c r="AM35" s="77">
        <f t="shared" si="32"/>
        <v>0</v>
      </c>
      <c r="AN35" s="77">
        <f t="shared" si="33"/>
        <v>0</v>
      </c>
      <c r="AO35" s="78">
        <f t="shared" si="4"/>
        <v>0</v>
      </c>
      <c r="AP35" s="77">
        <f t="shared" si="34"/>
        <v>0</v>
      </c>
      <c r="AQ35" s="77">
        <f t="shared" si="35"/>
        <v>0</v>
      </c>
      <c r="AR35" s="77">
        <f t="shared" si="36"/>
        <v>0</v>
      </c>
      <c r="AS35" s="78">
        <f t="shared" si="5"/>
        <v>0</v>
      </c>
      <c r="AT35" s="79">
        <f t="shared" si="37"/>
        <v>0</v>
      </c>
      <c r="AU35" s="77">
        <f t="shared" si="38"/>
        <v>0</v>
      </c>
      <c r="AV35" s="77">
        <f t="shared" si="39"/>
        <v>0</v>
      </c>
      <c r="AW35" s="78">
        <f t="shared" si="51"/>
        <v>0</v>
      </c>
      <c r="AX35" s="77">
        <f t="shared" si="40"/>
        <v>0</v>
      </c>
      <c r="AY35" s="77">
        <f t="shared" si="41"/>
        <v>0</v>
      </c>
      <c r="AZ35" s="77">
        <f t="shared" si="42"/>
        <v>0</v>
      </c>
      <c r="BA35" s="78">
        <f t="shared" si="6"/>
        <v>0</v>
      </c>
      <c r="BB35" s="77">
        <f t="shared" si="43"/>
        <v>0</v>
      </c>
      <c r="BC35" s="77">
        <f t="shared" si="44"/>
        <v>0</v>
      </c>
      <c r="BD35" s="77">
        <f t="shared" si="45"/>
        <v>0</v>
      </c>
      <c r="BE35" s="80">
        <f t="shared" si="7"/>
        <v>0</v>
      </c>
      <c r="BF35" s="44">
        <f t="shared" si="46"/>
        <v>0</v>
      </c>
      <c r="BG35" s="45">
        <f t="shared" si="47"/>
        <v>0</v>
      </c>
      <c r="BH35" s="46"/>
      <c r="BI35" s="47"/>
      <c r="BJ35" s="47"/>
    </row>
    <row r="36" spans="1:62">
      <c r="A36" s="84">
        <v>35</v>
      </c>
      <c r="B36" s="48"/>
      <c r="C36" s="49"/>
      <c r="D36" s="49"/>
      <c r="E36" s="40">
        <f t="shared" si="8"/>
        <v>0</v>
      </c>
      <c r="F36" s="40">
        <f t="shared" si="9"/>
        <v>0</v>
      </c>
      <c r="G36" s="40">
        <f t="shared" si="10"/>
        <v>0</v>
      </c>
      <c r="H36" s="41">
        <f t="shared" si="48"/>
        <v>0</v>
      </c>
      <c r="I36" s="40">
        <f t="shared" si="11"/>
        <v>0</v>
      </c>
      <c r="J36" s="40">
        <f t="shared" si="12"/>
        <v>0</v>
      </c>
      <c r="K36" s="40">
        <f t="shared" si="13"/>
        <v>0</v>
      </c>
      <c r="L36" s="41">
        <f t="shared" si="0"/>
        <v>0</v>
      </c>
      <c r="M36" s="40">
        <f t="shared" si="14"/>
        <v>0</v>
      </c>
      <c r="N36" s="40">
        <f t="shared" si="15"/>
        <v>0</v>
      </c>
      <c r="O36" s="40">
        <f t="shared" si="16"/>
        <v>0</v>
      </c>
      <c r="P36" s="41">
        <f t="shared" si="1"/>
        <v>0</v>
      </c>
      <c r="Q36" s="42">
        <f t="shared" si="17"/>
        <v>0</v>
      </c>
      <c r="R36" s="40">
        <f t="shared" si="18"/>
        <v>0</v>
      </c>
      <c r="S36" s="40">
        <f t="shared" si="19"/>
        <v>0</v>
      </c>
      <c r="T36" s="41">
        <f t="shared" si="49"/>
        <v>0</v>
      </c>
      <c r="U36" s="40">
        <f t="shared" si="20"/>
        <v>0</v>
      </c>
      <c r="V36" s="40">
        <f t="shared" si="21"/>
        <v>0</v>
      </c>
      <c r="W36" s="40">
        <f t="shared" si="22"/>
        <v>0</v>
      </c>
      <c r="X36" s="41">
        <f t="shared" si="2"/>
        <v>0</v>
      </c>
      <c r="Y36" s="40">
        <f t="shared" si="23"/>
        <v>0</v>
      </c>
      <c r="Z36" s="40">
        <f t="shared" si="24"/>
        <v>0</v>
      </c>
      <c r="AA36" s="40">
        <f t="shared" si="25"/>
        <v>0</v>
      </c>
      <c r="AB36" s="43">
        <f t="shared" si="3"/>
        <v>0</v>
      </c>
      <c r="AC36" s="44">
        <f t="shared" si="26"/>
        <v>0</v>
      </c>
      <c r="AD36" s="45">
        <f t="shared" si="27"/>
        <v>0</v>
      </c>
      <c r="AE36" s="46"/>
      <c r="AF36" s="47"/>
      <c r="AG36" s="47"/>
      <c r="AH36" s="77">
        <f t="shared" si="28"/>
        <v>0</v>
      </c>
      <c r="AI36" s="77">
        <f t="shared" si="29"/>
        <v>0</v>
      </c>
      <c r="AJ36" s="77">
        <f t="shared" si="30"/>
        <v>0</v>
      </c>
      <c r="AK36" s="78">
        <f t="shared" si="50"/>
        <v>0</v>
      </c>
      <c r="AL36" s="77">
        <f t="shared" si="31"/>
        <v>0</v>
      </c>
      <c r="AM36" s="77">
        <f t="shared" si="32"/>
        <v>0</v>
      </c>
      <c r="AN36" s="77">
        <f t="shared" si="33"/>
        <v>0</v>
      </c>
      <c r="AO36" s="78">
        <f t="shared" si="4"/>
        <v>0</v>
      </c>
      <c r="AP36" s="77">
        <f t="shared" si="34"/>
        <v>0</v>
      </c>
      <c r="AQ36" s="77">
        <f t="shared" si="35"/>
        <v>0</v>
      </c>
      <c r="AR36" s="77">
        <f t="shared" si="36"/>
        <v>0</v>
      </c>
      <c r="AS36" s="78">
        <f t="shared" si="5"/>
        <v>0</v>
      </c>
      <c r="AT36" s="79">
        <f t="shared" si="37"/>
        <v>0</v>
      </c>
      <c r="AU36" s="77">
        <f t="shared" si="38"/>
        <v>0</v>
      </c>
      <c r="AV36" s="77">
        <f t="shared" si="39"/>
        <v>0</v>
      </c>
      <c r="AW36" s="78">
        <f t="shared" si="51"/>
        <v>0</v>
      </c>
      <c r="AX36" s="77">
        <f t="shared" si="40"/>
        <v>0</v>
      </c>
      <c r="AY36" s="77">
        <f t="shared" si="41"/>
        <v>0</v>
      </c>
      <c r="AZ36" s="77">
        <f t="shared" si="42"/>
        <v>0</v>
      </c>
      <c r="BA36" s="78">
        <f t="shared" si="6"/>
        <v>0</v>
      </c>
      <c r="BB36" s="77">
        <f t="shared" si="43"/>
        <v>0</v>
      </c>
      <c r="BC36" s="77">
        <f t="shared" si="44"/>
        <v>0</v>
      </c>
      <c r="BD36" s="77">
        <f t="shared" si="45"/>
        <v>0</v>
      </c>
      <c r="BE36" s="80">
        <f t="shared" si="7"/>
        <v>0</v>
      </c>
      <c r="BF36" s="44">
        <f t="shared" si="46"/>
        <v>0</v>
      </c>
      <c r="BG36" s="45">
        <f t="shared" si="47"/>
        <v>0</v>
      </c>
      <c r="BH36" s="46"/>
      <c r="BI36" s="47"/>
      <c r="BJ36" s="47"/>
    </row>
    <row r="37" spans="1:62">
      <c r="A37" s="84">
        <v>36</v>
      </c>
      <c r="B37" s="48"/>
      <c r="C37" s="49"/>
      <c r="D37" s="49"/>
      <c r="E37" s="40">
        <f t="shared" si="8"/>
        <v>0</v>
      </c>
      <c r="F37" s="40">
        <f t="shared" si="9"/>
        <v>0</v>
      </c>
      <c r="G37" s="40">
        <f t="shared" si="10"/>
        <v>0</v>
      </c>
      <c r="H37" s="41">
        <f t="shared" si="48"/>
        <v>0</v>
      </c>
      <c r="I37" s="40">
        <f t="shared" si="11"/>
        <v>0</v>
      </c>
      <c r="J37" s="40">
        <f t="shared" si="12"/>
        <v>0</v>
      </c>
      <c r="K37" s="40">
        <f t="shared" si="13"/>
        <v>0</v>
      </c>
      <c r="L37" s="41">
        <f t="shared" si="0"/>
        <v>0</v>
      </c>
      <c r="M37" s="40">
        <f t="shared" si="14"/>
        <v>0</v>
      </c>
      <c r="N37" s="40">
        <f t="shared" si="15"/>
        <v>0</v>
      </c>
      <c r="O37" s="40">
        <f t="shared" si="16"/>
        <v>0</v>
      </c>
      <c r="P37" s="41">
        <f t="shared" si="1"/>
        <v>0</v>
      </c>
      <c r="Q37" s="42">
        <f t="shared" si="17"/>
        <v>0</v>
      </c>
      <c r="R37" s="40">
        <f t="shared" si="18"/>
        <v>0</v>
      </c>
      <c r="S37" s="40">
        <f t="shared" si="19"/>
        <v>0</v>
      </c>
      <c r="T37" s="41">
        <f t="shared" si="49"/>
        <v>0</v>
      </c>
      <c r="U37" s="40">
        <f t="shared" si="20"/>
        <v>0</v>
      </c>
      <c r="V37" s="40">
        <f t="shared" si="21"/>
        <v>0</v>
      </c>
      <c r="W37" s="40">
        <f t="shared" si="22"/>
        <v>0</v>
      </c>
      <c r="X37" s="41">
        <f t="shared" si="2"/>
        <v>0</v>
      </c>
      <c r="Y37" s="40">
        <f t="shared" si="23"/>
        <v>0</v>
      </c>
      <c r="Z37" s="40">
        <f t="shared" si="24"/>
        <v>0</v>
      </c>
      <c r="AA37" s="40">
        <f t="shared" si="25"/>
        <v>0</v>
      </c>
      <c r="AB37" s="43">
        <f t="shared" si="3"/>
        <v>0</v>
      </c>
      <c r="AC37" s="44">
        <f t="shared" si="26"/>
        <v>0</v>
      </c>
      <c r="AD37" s="45">
        <f t="shared" si="27"/>
        <v>0</v>
      </c>
      <c r="AE37" s="46"/>
      <c r="AF37" s="47"/>
      <c r="AG37" s="47"/>
      <c r="AH37" s="77">
        <f t="shared" si="28"/>
        <v>0</v>
      </c>
      <c r="AI37" s="77">
        <f t="shared" si="29"/>
        <v>0</v>
      </c>
      <c r="AJ37" s="77">
        <f t="shared" si="30"/>
        <v>0</v>
      </c>
      <c r="AK37" s="78">
        <f t="shared" si="50"/>
        <v>0</v>
      </c>
      <c r="AL37" s="77">
        <f t="shared" si="31"/>
        <v>0</v>
      </c>
      <c r="AM37" s="77">
        <f t="shared" si="32"/>
        <v>0</v>
      </c>
      <c r="AN37" s="77">
        <f t="shared" si="33"/>
        <v>0</v>
      </c>
      <c r="AO37" s="78">
        <f t="shared" si="4"/>
        <v>0</v>
      </c>
      <c r="AP37" s="77">
        <f t="shared" si="34"/>
        <v>0</v>
      </c>
      <c r="AQ37" s="77">
        <f t="shared" si="35"/>
        <v>0</v>
      </c>
      <c r="AR37" s="77">
        <f t="shared" si="36"/>
        <v>0</v>
      </c>
      <c r="AS37" s="78">
        <f t="shared" si="5"/>
        <v>0</v>
      </c>
      <c r="AT37" s="79">
        <f t="shared" si="37"/>
        <v>0</v>
      </c>
      <c r="AU37" s="77">
        <f t="shared" si="38"/>
        <v>0</v>
      </c>
      <c r="AV37" s="77">
        <f t="shared" si="39"/>
        <v>0</v>
      </c>
      <c r="AW37" s="78">
        <f t="shared" si="51"/>
        <v>0</v>
      </c>
      <c r="AX37" s="77">
        <f t="shared" si="40"/>
        <v>0</v>
      </c>
      <c r="AY37" s="77">
        <f t="shared" si="41"/>
        <v>0</v>
      </c>
      <c r="AZ37" s="77">
        <f t="shared" si="42"/>
        <v>0</v>
      </c>
      <c r="BA37" s="78">
        <f t="shared" si="6"/>
        <v>0</v>
      </c>
      <c r="BB37" s="77">
        <f t="shared" si="43"/>
        <v>0</v>
      </c>
      <c r="BC37" s="77">
        <f t="shared" si="44"/>
        <v>0</v>
      </c>
      <c r="BD37" s="77">
        <f t="shared" si="45"/>
        <v>0</v>
      </c>
      <c r="BE37" s="80">
        <f t="shared" si="7"/>
        <v>0</v>
      </c>
      <c r="BF37" s="44">
        <f t="shared" si="46"/>
        <v>0</v>
      </c>
      <c r="BG37" s="45">
        <f t="shared" si="47"/>
        <v>0</v>
      </c>
      <c r="BH37" s="46"/>
      <c r="BI37" s="47"/>
      <c r="BJ37" s="47"/>
    </row>
    <row r="38" spans="1:62">
      <c r="A38" s="84">
        <v>37</v>
      </c>
      <c r="B38" s="48"/>
      <c r="C38" s="49"/>
      <c r="D38" s="49"/>
      <c r="E38" s="40">
        <f t="shared" si="8"/>
        <v>0</v>
      </c>
      <c r="F38" s="40">
        <f t="shared" si="9"/>
        <v>0</v>
      </c>
      <c r="G38" s="40">
        <f t="shared" si="10"/>
        <v>0</v>
      </c>
      <c r="H38" s="41">
        <f t="shared" si="48"/>
        <v>0</v>
      </c>
      <c r="I38" s="40">
        <f t="shared" si="11"/>
        <v>0</v>
      </c>
      <c r="J38" s="40">
        <f t="shared" si="12"/>
        <v>0</v>
      </c>
      <c r="K38" s="40">
        <f t="shared" si="13"/>
        <v>0</v>
      </c>
      <c r="L38" s="41">
        <f t="shared" si="0"/>
        <v>0</v>
      </c>
      <c r="M38" s="40">
        <f t="shared" si="14"/>
        <v>0</v>
      </c>
      <c r="N38" s="40">
        <f t="shared" si="15"/>
        <v>0</v>
      </c>
      <c r="O38" s="40">
        <f t="shared" si="16"/>
        <v>0</v>
      </c>
      <c r="P38" s="41">
        <f t="shared" si="1"/>
        <v>0</v>
      </c>
      <c r="Q38" s="42">
        <f t="shared" si="17"/>
        <v>0</v>
      </c>
      <c r="R38" s="40">
        <f t="shared" si="18"/>
        <v>0</v>
      </c>
      <c r="S38" s="40">
        <f t="shared" si="19"/>
        <v>0</v>
      </c>
      <c r="T38" s="41">
        <f t="shared" si="49"/>
        <v>0</v>
      </c>
      <c r="U38" s="40">
        <f t="shared" si="20"/>
        <v>0</v>
      </c>
      <c r="V38" s="40">
        <f t="shared" si="21"/>
        <v>0</v>
      </c>
      <c r="W38" s="40">
        <f t="shared" si="22"/>
        <v>0</v>
      </c>
      <c r="X38" s="41">
        <f t="shared" si="2"/>
        <v>0</v>
      </c>
      <c r="Y38" s="40">
        <f t="shared" si="23"/>
        <v>0</v>
      </c>
      <c r="Z38" s="40">
        <f t="shared" si="24"/>
        <v>0</v>
      </c>
      <c r="AA38" s="40">
        <f t="shared" si="25"/>
        <v>0</v>
      </c>
      <c r="AB38" s="43">
        <f t="shared" si="3"/>
        <v>0</v>
      </c>
      <c r="AC38" s="44">
        <f t="shared" si="26"/>
        <v>0</v>
      </c>
      <c r="AD38" s="45">
        <f t="shared" si="27"/>
        <v>0</v>
      </c>
      <c r="AE38" s="46"/>
      <c r="AF38" s="47"/>
      <c r="AG38" s="47"/>
      <c r="AH38" s="77">
        <f t="shared" si="28"/>
        <v>0</v>
      </c>
      <c r="AI38" s="77">
        <f t="shared" si="29"/>
        <v>0</v>
      </c>
      <c r="AJ38" s="77">
        <f t="shared" si="30"/>
        <v>0</v>
      </c>
      <c r="AK38" s="78">
        <f t="shared" si="50"/>
        <v>0</v>
      </c>
      <c r="AL38" s="77">
        <f t="shared" si="31"/>
        <v>0</v>
      </c>
      <c r="AM38" s="77">
        <f t="shared" si="32"/>
        <v>0</v>
      </c>
      <c r="AN38" s="77">
        <f t="shared" si="33"/>
        <v>0</v>
      </c>
      <c r="AO38" s="78">
        <f t="shared" si="4"/>
        <v>0</v>
      </c>
      <c r="AP38" s="77">
        <f t="shared" si="34"/>
        <v>0</v>
      </c>
      <c r="AQ38" s="77">
        <f t="shared" si="35"/>
        <v>0</v>
      </c>
      <c r="AR38" s="77">
        <f t="shared" si="36"/>
        <v>0</v>
      </c>
      <c r="AS38" s="78">
        <f t="shared" si="5"/>
        <v>0</v>
      </c>
      <c r="AT38" s="79">
        <f t="shared" si="37"/>
        <v>0</v>
      </c>
      <c r="AU38" s="77">
        <f t="shared" si="38"/>
        <v>0</v>
      </c>
      <c r="AV38" s="77">
        <f t="shared" si="39"/>
        <v>0</v>
      </c>
      <c r="AW38" s="78">
        <f t="shared" si="51"/>
        <v>0</v>
      </c>
      <c r="AX38" s="77">
        <f t="shared" si="40"/>
        <v>0</v>
      </c>
      <c r="AY38" s="77">
        <f t="shared" si="41"/>
        <v>0</v>
      </c>
      <c r="AZ38" s="77">
        <f t="shared" si="42"/>
        <v>0</v>
      </c>
      <c r="BA38" s="78">
        <f t="shared" si="6"/>
        <v>0</v>
      </c>
      <c r="BB38" s="77">
        <f t="shared" si="43"/>
        <v>0</v>
      </c>
      <c r="BC38" s="77">
        <f t="shared" si="44"/>
        <v>0</v>
      </c>
      <c r="BD38" s="77">
        <f t="shared" si="45"/>
        <v>0</v>
      </c>
      <c r="BE38" s="80">
        <f t="shared" si="7"/>
        <v>0</v>
      </c>
      <c r="BF38" s="44">
        <f t="shared" si="46"/>
        <v>0</v>
      </c>
      <c r="BG38" s="45">
        <f t="shared" si="47"/>
        <v>0</v>
      </c>
      <c r="BH38" s="46"/>
      <c r="BI38" s="47"/>
      <c r="BJ38" s="47"/>
    </row>
    <row r="39" spans="1:62">
      <c r="A39" s="84">
        <v>38</v>
      </c>
      <c r="B39" s="48"/>
      <c r="C39" s="49"/>
      <c r="D39" s="49"/>
      <c r="E39" s="40">
        <f t="shared" si="8"/>
        <v>0</v>
      </c>
      <c r="F39" s="40">
        <f t="shared" si="9"/>
        <v>0</v>
      </c>
      <c r="G39" s="40">
        <f t="shared" si="10"/>
        <v>0</v>
      </c>
      <c r="H39" s="41">
        <f t="shared" si="48"/>
        <v>0</v>
      </c>
      <c r="I39" s="40">
        <f t="shared" si="11"/>
        <v>0</v>
      </c>
      <c r="J39" s="40">
        <f t="shared" si="12"/>
        <v>0</v>
      </c>
      <c r="K39" s="40">
        <f t="shared" si="13"/>
        <v>0</v>
      </c>
      <c r="L39" s="41">
        <f t="shared" si="0"/>
        <v>0</v>
      </c>
      <c r="M39" s="40">
        <f t="shared" si="14"/>
        <v>0</v>
      </c>
      <c r="N39" s="40">
        <f t="shared" si="15"/>
        <v>0</v>
      </c>
      <c r="O39" s="40">
        <f t="shared" si="16"/>
        <v>0</v>
      </c>
      <c r="P39" s="41">
        <f t="shared" si="1"/>
        <v>0</v>
      </c>
      <c r="Q39" s="42">
        <f t="shared" si="17"/>
        <v>0</v>
      </c>
      <c r="R39" s="40">
        <f t="shared" si="18"/>
        <v>0</v>
      </c>
      <c r="S39" s="40">
        <f t="shared" si="19"/>
        <v>0</v>
      </c>
      <c r="T39" s="41">
        <f t="shared" si="49"/>
        <v>0</v>
      </c>
      <c r="U39" s="40">
        <f t="shared" si="20"/>
        <v>0</v>
      </c>
      <c r="V39" s="40">
        <f t="shared" si="21"/>
        <v>0</v>
      </c>
      <c r="W39" s="40">
        <f t="shared" si="22"/>
        <v>0</v>
      </c>
      <c r="X39" s="41">
        <f t="shared" si="2"/>
        <v>0</v>
      </c>
      <c r="Y39" s="40">
        <f t="shared" si="23"/>
        <v>0</v>
      </c>
      <c r="Z39" s="40">
        <f t="shared" si="24"/>
        <v>0</v>
      </c>
      <c r="AA39" s="40">
        <f t="shared" si="25"/>
        <v>0</v>
      </c>
      <c r="AB39" s="43">
        <f t="shared" si="3"/>
        <v>0</v>
      </c>
      <c r="AC39" s="44">
        <f t="shared" si="26"/>
        <v>0</v>
      </c>
      <c r="AD39" s="45">
        <f t="shared" si="27"/>
        <v>0</v>
      </c>
      <c r="AE39" s="46"/>
      <c r="AF39" s="47"/>
      <c r="AG39" s="47"/>
      <c r="AH39" s="77">
        <f t="shared" si="28"/>
        <v>0</v>
      </c>
      <c r="AI39" s="77">
        <f t="shared" si="29"/>
        <v>0</v>
      </c>
      <c r="AJ39" s="77">
        <f t="shared" si="30"/>
        <v>0</v>
      </c>
      <c r="AK39" s="78">
        <f t="shared" si="50"/>
        <v>0</v>
      </c>
      <c r="AL39" s="77">
        <f t="shared" si="31"/>
        <v>0</v>
      </c>
      <c r="AM39" s="77">
        <f t="shared" si="32"/>
        <v>0</v>
      </c>
      <c r="AN39" s="77">
        <f t="shared" si="33"/>
        <v>0</v>
      </c>
      <c r="AO39" s="78">
        <f t="shared" si="4"/>
        <v>0</v>
      </c>
      <c r="AP39" s="77">
        <f t="shared" si="34"/>
        <v>0</v>
      </c>
      <c r="AQ39" s="77">
        <f t="shared" si="35"/>
        <v>0</v>
      </c>
      <c r="AR39" s="77">
        <f t="shared" si="36"/>
        <v>0</v>
      </c>
      <c r="AS39" s="78">
        <f t="shared" si="5"/>
        <v>0</v>
      </c>
      <c r="AT39" s="79">
        <f t="shared" si="37"/>
        <v>0</v>
      </c>
      <c r="AU39" s="77">
        <f t="shared" si="38"/>
        <v>0</v>
      </c>
      <c r="AV39" s="77">
        <f t="shared" si="39"/>
        <v>0</v>
      </c>
      <c r="AW39" s="78">
        <f t="shared" si="51"/>
        <v>0</v>
      </c>
      <c r="AX39" s="77">
        <f t="shared" si="40"/>
        <v>0</v>
      </c>
      <c r="AY39" s="77">
        <f t="shared" si="41"/>
        <v>0</v>
      </c>
      <c r="AZ39" s="77">
        <f t="shared" si="42"/>
        <v>0</v>
      </c>
      <c r="BA39" s="78">
        <f t="shared" si="6"/>
        <v>0</v>
      </c>
      <c r="BB39" s="77">
        <f t="shared" si="43"/>
        <v>0</v>
      </c>
      <c r="BC39" s="77">
        <f t="shared" si="44"/>
        <v>0</v>
      </c>
      <c r="BD39" s="77">
        <f t="shared" si="45"/>
        <v>0</v>
      </c>
      <c r="BE39" s="80">
        <f t="shared" si="7"/>
        <v>0</v>
      </c>
      <c r="BF39" s="44">
        <f t="shared" si="46"/>
        <v>0</v>
      </c>
      <c r="BG39" s="45">
        <f t="shared" si="47"/>
        <v>0</v>
      </c>
      <c r="BH39" s="46"/>
      <c r="BI39" s="47"/>
      <c r="BJ39" s="47"/>
    </row>
    <row r="40" spans="1:62">
      <c r="A40" s="84">
        <v>39</v>
      </c>
      <c r="B40" s="48"/>
      <c r="C40" s="49"/>
      <c r="D40" s="49"/>
      <c r="E40" s="40">
        <f t="shared" si="8"/>
        <v>0</v>
      </c>
      <c r="F40" s="40">
        <f t="shared" si="9"/>
        <v>0</v>
      </c>
      <c r="G40" s="40">
        <f t="shared" si="10"/>
        <v>0</v>
      </c>
      <c r="H40" s="41">
        <f t="shared" si="48"/>
        <v>0</v>
      </c>
      <c r="I40" s="40">
        <f t="shared" si="11"/>
        <v>0</v>
      </c>
      <c r="J40" s="40">
        <f t="shared" si="12"/>
        <v>0</v>
      </c>
      <c r="K40" s="40">
        <f t="shared" si="13"/>
        <v>0</v>
      </c>
      <c r="L40" s="41">
        <f t="shared" si="0"/>
        <v>0</v>
      </c>
      <c r="M40" s="40">
        <f t="shared" si="14"/>
        <v>0</v>
      </c>
      <c r="N40" s="40">
        <f t="shared" si="15"/>
        <v>0</v>
      </c>
      <c r="O40" s="40">
        <f t="shared" si="16"/>
        <v>0</v>
      </c>
      <c r="P40" s="41">
        <f t="shared" si="1"/>
        <v>0</v>
      </c>
      <c r="Q40" s="42">
        <f t="shared" si="17"/>
        <v>0</v>
      </c>
      <c r="R40" s="40">
        <f t="shared" si="18"/>
        <v>0</v>
      </c>
      <c r="S40" s="40">
        <f t="shared" si="19"/>
        <v>0</v>
      </c>
      <c r="T40" s="41">
        <f t="shared" si="49"/>
        <v>0</v>
      </c>
      <c r="U40" s="40">
        <f t="shared" si="20"/>
        <v>0</v>
      </c>
      <c r="V40" s="40">
        <f t="shared" si="21"/>
        <v>0</v>
      </c>
      <c r="W40" s="40">
        <f t="shared" si="22"/>
        <v>0</v>
      </c>
      <c r="X40" s="41">
        <f t="shared" si="2"/>
        <v>0</v>
      </c>
      <c r="Y40" s="40">
        <f t="shared" si="23"/>
        <v>0</v>
      </c>
      <c r="Z40" s="40">
        <f t="shared" si="24"/>
        <v>0</v>
      </c>
      <c r="AA40" s="40">
        <f t="shared" si="25"/>
        <v>0</v>
      </c>
      <c r="AB40" s="43">
        <f t="shared" si="3"/>
        <v>0</v>
      </c>
      <c r="AC40" s="44">
        <f t="shared" si="26"/>
        <v>0</v>
      </c>
      <c r="AD40" s="45">
        <f t="shared" si="27"/>
        <v>0</v>
      </c>
      <c r="AE40" s="46"/>
      <c r="AF40" s="47"/>
      <c r="AG40" s="47"/>
      <c r="AH40" s="77">
        <f t="shared" si="28"/>
        <v>0</v>
      </c>
      <c r="AI40" s="77">
        <f t="shared" si="29"/>
        <v>0</v>
      </c>
      <c r="AJ40" s="77">
        <f t="shared" si="30"/>
        <v>0</v>
      </c>
      <c r="AK40" s="78">
        <f t="shared" si="50"/>
        <v>0</v>
      </c>
      <c r="AL40" s="77">
        <f t="shared" si="31"/>
        <v>0</v>
      </c>
      <c r="AM40" s="77">
        <f t="shared" si="32"/>
        <v>0</v>
      </c>
      <c r="AN40" s="77">
        <f t="shared" si="33"/>
        <v>0</v>
      </c>
      <c r="AO40" s="78">
        <f t="shared" si="4"/>
        <v>0</v>
      </c>
      <c r="AP40" s="77">
        <f t="shared" si="34"/>
        <v>0</v>
      </c>
      <c r="AQ40" s="77">
        <f t="shared" si="35"/>
        <v>0</v>
      </c>
      <c r="AR40" s="77">
        <f t="shared" si="36"/>
        <v>0</v>
      </c>
      <c r="AS40" s="78">
        <f t="shared" si="5"/>
        <v>0</v>
      </c>
      <c r="AT40" s="79">
        <f t="shared" si="37"/>
        <v>0</v>
      </c>
      <c r="AU40" s="77">
        <f t="shared" si="38"/>
        <v>0</v>
      </c>
      <c r="AV40" s="77">
        <f t="shared" si="39"/>
        <v>0</v>
      </c>
      <c r="AW40" s="78">
        <f t="shared" si="51"/>
        <v>0</v>
      </c>
      <c r="AX40" s="77">
        <f t="shared" si="40"/>
        <v>0</v>
      </c>
      <c r="AY40" s="77">
        <f t="shared" si="41"/>
        <v>0</v>
      </c>
      <c r="AZ40" s="77">
        <f t="shared" si="42"/>
        <v>0</v>
      </c>
      <c r="BA40" s="78">
        <f t="shared" si="6"/>
        <v>0</v>
      </c>
      <c r="BB40" s="77">
        <f t="shared" si="43"/>
        <v>0</v>
      </c>
      <c r="BC40" s="77">
        <f t="shared" si="44"/>
        <v>0</v>
      </c>
      <c r="BD40" s="77">
        <f t="shared" si="45"/>
        <v>0</v>
      </c>
      <c r="BE40" s="80">
        <f t="shared" si="7"/>
        <v>0</v>
      </c>
      <c r="BF40" s="44">
        <f t="shared" si="46"/>
        <v>0</v>
      </c>
      <c r="BG40" s="45">
        <f t="shared" si="47"/>
        <v>0</v>
      </c>
      <c r="BH40" s="46"/>
      <c r="BI40" s="47"/>
      <c r="BJ40" s="47"/>
    </row>
    <row r="41" spans="1:62">
      <c r="A41" s="84">
        <v>40</v>
      </c>
      <c r="B41" s="48"/>
      <c r="C41" s="49"/>
      <c r="D41" s="49"/>
      <c r="E41" s="40">
        <f t="shared" si="8"/>
        <v>0</v>
      </c>
      <c r="F41" s="40">
        <f t="shared" si="9"/>
        <v>0</v>
      </c>
      <c r="G41" s="40">
        <f t="shared" si="10"/>
        <v>0</v>
      </c>
      <c r="H41" s="41">
        <f t="shared" si="48"/>
        <v>0</v>
      </c>
      <c r="I41" s="40">
        <f t="shared" si="11"/>
        <v>0</v>
      </c>
      <c r="J41" s="40">
        <f t="shared" si="12"/>
        <v>0</v>
      </c>
      <c r="K41" s="40">
        <f t="shared" si="13"/>
        <v>0</v>
      </c>
      <c r="L41" s="41">
        <f t="shared" si="0"/>
        <v>0</v>
      </c>
      <c r="M41" s="40">
        <f t="shared" si="14"/>
        <v>0</v>
      </c>
      <c r="N41" s="40">
        <f t="shared" si="15"/>
        <v>0</v>
      </c>
      <c r="O41" s="40">
        <f t="shared" si="16"/>
        <v>0</v>
      </c>
      <c r="P41" s="41">
        <f t="shared" si="1"/>
        <v>0</v>
      </c>
      <c r="Q41" s="42">
        <f t="shared" si="17"/>
        <v>0</v>
      </c>
      <c r="R41" s="40">
        <f t="shared" si="18"/>
        <v>0</v>
      </c>
      <c r="S41" s="40">
        <f t="shared" si="19"/>
        <v>0</v>
      </c>
      <c r="T41" s="41">
        <f t="shared" si="49"/>
        <v>0</v>
      </c>
      <c r="U41" s="40">
        <f t="shared" si="20"/>
        <v>0</v>
      </c>
      <c r="V41" s="40">
        <f t="shared" si="21"/>
        <v>0</v>
      </c>
      <c r="W41" s="40">
        <f t="shared" si="22"/>
        <v>0</v>
      </c>
      <c r="X41" s="41">
        <f t="shared" si="2"/>
        <v>0</v>
      </c>
      <c r="Y41" s="40">
        <f t="shared" si="23"/>
        <v>0</v>
      </c>
      <c r="Z41" s="40">
        <f t="shared" si="24"/>
        <v>0</v>
      </c>
      <c r="AA41" s="40">
        <f t="shared" si="25"/>
        <v>0</v>
      </c>
      <c r="AB41" s="43">
        <f t="shared" si="3"/>
        <v>0</v>
      </c>
      <c r="AC41" s="44">
        <f t="shared" si="26"/>
        <v>0</v>
      </c>
      <c r="AD41" s="45">
        <f t="shared" si="27"/>
        <v>0</v>
      </c>
      <c r="AE41" s="46"/>
      <c r="AF41" s="47"/>
      <c r="AG41" s="47"/>
      <c r="AH41" s="77">
        <f t="shared" si="28"/>
        <v>0</v>
      </c>
      <c r="AI41" s="77">
        <f t="shared" si="29"/>
        <v>0</v>
      </c>
      <c r="AJ41" s="77">
        <f t="shared" si="30"/>
        <v>0</v>
      </c>
      <c r="AK41" s="78">
        <f t="shared" si="50"/>
        <v>0</v>
      </c>
      <c r="AL41" s="77">
        <f t="shared" si="31"/>
        <v>0</v>
      </c>
      <c r="AM41" s="77">
        <f t="shared" si="32"/>
        <v>0</v>
      </c>
      <c r="AN41" s="77">
        <f t="shared" si="33"/>
        <v>0</v>
      </c>
      <c r="AO41" s="78">
        <f t="shared" si="4"/>
        <v>0</v>
      </c>
      <c r="AP41" s="77">
        <f t="shared" si="34"/>
        <v>0</v>
      </c>
      <c r="AQ41" s="77">
        <f t="shared" si="35"/>
        <v>0</v>
      </c>
      <c r="AR41" s="77">
        <f t="shared" si="36"/>
        <v>0</v>
      </c>
      <c r="AS41" s="78">
        <f t="shared" si="5"/>
        <v>0</v>
      </c>
      <c r="AT41" s="79">
        <f t="shared" si="37"/>
        <v>0</v>
      </c>
      <c r="AU41" s="77">
        <f t="shared" si="38"/>
        <v>0</v>
      </c>
      <c r="AV41" s="77">
        <f t="shared" si="39"/>
        <v>0</v>
      </c>
      <c r="AW41" s="78">
        <f t="shared" si="51"/>
        <v>0</v>
      </c>
      <c r="AX41" s="77">
        <f t="shared" si="40"/>
        <v>0</v>
      </c>
      <c r="AY41" s="77">
        <f t="shared" si="41"/>
        <v>0</v>
      </c>
      <c r="AZ41" s="77">
        <f t="shared" si="42"/>
        <v>0</v>
      </c>
      <c r="BA41" s="78">
        <f t="shared" si="6"/>
        <v>0</v>
      </c>
      <c r="BB41" s="77">
        <f t="shared" si="43"/>
        <v>0</v>
      </c>
      <c r="BC41" s="77">
        <f t="shared" si="44"/>
        <v>0</v>
      </c>
      <c r="BD41" s="77">
        <f t="shared" si="45"/>
        <v>0</v>
      </c>
      <c r="BE41" s="80">
        <f t="shared" si="7"/>
        <v>0</v>
      </c>
      <c r="BF41" s="44">
        <f t="shared" si="46"/>
        <v>0</v>
      </c>
      <c r="BG41" s="45">
        <f t="shared" si="47"/>
        <v>0</v>
      </c>
      <c r="BH41" s="46"/>
      <c r="BI41" s="47"/>
      <c r="BJ41" s="47"/>
    </row>
    <row r="42" spans="1:62">
      <c r="A42" s="84">
        <v>41</v>
      </c>
      <c r="B42" s="48"/>
      <c r="C42" s="49"/>
      <c r="D42" s="49"/>
      <c r="E42" s="40">
        <f t="shared" si="8"/>
        <v>0</v>
      </c>
      <c r="F42" s="40">
        <f t="shared" si="9"/>
        <v>0</v>
      </c>
      <c r="G42" s="40">
        <f t="shared" si="10"/>
        <v>0</v>
      </c>
      <c r="H42" s="41">
        <f t="shared" si="48"/>
        <v>0</v>
      </c>
      <c r="I42" s="40">
        <f t="shared" si="11"/>
        <v>0</v>
      </c>
      <c r="J42" s="40">
        <f t="shared" si="12"/>
        <v>0</v>
      </c>
      <c r="K42" s="40">
        <f t="shared" si="13"/>
        <v>0</v>
      </c>
      <c r="L42" s="41">
        <f t="shared" si="0"/>
        <v>0</v>
      </c>
      <c r="M42" s="40">
        <f t="shared" si="14"/>
        <v>0</v>
      </c>
      <c r="N42" s="40">
        <f t="shared" si="15"/>
        <v>0</v>
      </c>
      <c r="O42" s="40">
        <f t="shared" si="16"/>
        <v>0</v>
      </c>
      <c r="P42" s="41">
        <f t="shared" si="1"/>
        <v>0</v>
      </c>
      <c r="Q42" s="42">
        <f t="shared" si="17"/>
        <v>0</v>
      </c>
      <c r="R42" s="40">
        <f t="shared" si="18"/>
        <v>0</v>
      </c>
      <c r="S42" s="40">
        <f t="shared" si="19"/>
        <v>0</v>
      </c>
      <c r="T42" s="41">
        <f t="shared" si="49"/>
        <v>0</v>
      </c>
      <c r="U42" s="40">
        <f t="shared" si="20"/>
        <v>0</v>
      </c>
      <c r="V42" s="40">
        <f t="shared" si="21"/>
        <v>0</v>
      </c>
      <c r="W42" s="40">
        <f t="shared" si="22"/>
        <v>0</v>
      </c>
      <c r="X42" s="41">
        <f t="shared" si="2"/>
        <v>0</v>
      </c>
      <c r="Y42" s="40">
        <f t="shared" si="23"/>
        <v>0</v>
      </c>
      <c r="Z42" s="40">
        <f t="shared" si="24"/>
        <v>0</v>
      </c>
      <c r="AA42" s="40">
        <f t="shared" si="25"/>
        <v>0</v>
      </c>
      <c r="AB42" s="43">
        <f t="shared" si="3"/>
        <v>0</v>
      </c>
      <c r="AC42" s="44">
        <f t="shared" si="26"/>
        <v>0</v>
      </c>
      <c r="AD42" s="45">
        <f t="shared" si="27"/>
        <v>0</v>
      </c>
      <c r="AE42" s="46"/>
      <c r="AF42" s="47"/>
      <c r="AG42" s="47"/>
      <c r="AH42" s="77">
        <f t="shared" si="28"/>
        <v>0</v>
      </c>
      <c r="AI42" s="77">
        <f t="shared" si="29"/>
        <v>0</v>
      </c>
      <c r="AJ42" s="77">
        <f t="shared" si="30"/>
        <v>0</v>
      </c>
      <c r="AK42" s="78">
        <f t="shared" si="50"/>
        <v>0</v>
      </c>
      <c r="AL42" s="77">
        <f t="shared" si="31"/>
        <v>0</v>
      </c>
      <c r="AM42" s="77">
        <f t="shared" si="32"/>
        <v>0</v>
      </c>
      <c r="AN42" s="77">
        <f t="shared" si="33"/>
        <v>0</v>
      </c>
      <c r="AO42" s="78">
        <f t="shared" si="4"/>
        <v>0</v>
      </c>
      <c r="AP42" s="77">
        <f t="shared" si="34"/>
        <v>0</v>
      </c>
      <c r="AQ42" s="77">
        <f t="shared" si="35"/>
        <v>0</v>
      </c>
      <c r="AR42" s="77">
        <f t="shared" si="36"/>
        <v>0</v>
      </c>
      <c r="AS42" s="78">
        <f t="shared" si="5"/>
        <v>0</v>
      </c>
      <c r="AT42" s="79">
        <f t="shared" si="37"/>
        <v>0</v>
      </c>
      <c r="AU42" s="77">
        <f t="shared" si="38"/>
        <v>0</v>
      </c>
      <c r="AV42" s="77">
        <f t="shared" si="39"/>
        <v>0</v>
      </c>
      <c r="AW42" s="78">
        <f t="shared" si="51"/>
        <v>0</v>
      </c>
      <c r="AX42" s="77">
        <f t="shared" si="40"/>
        <v>0</v>
      </c>
      <c r="AY42" s="77">
        <f t="shared" si="41"/>
        <v>0</v>
      </c>
      <c r="AZ42" s="77">
        <f t="shared" si="42"/>
        <v>0</v>
      </c>
      <c r="BA42" s="78">
        <f t="shared" si="6"/>
        <v>0</v>
      </c>
      <c r="BB42" s="77">
        <f t="shared" si="43"/>
        <v>0</v>
      </c>
      <c r="BC42" s="77">
        <f t="shared" si="44"/>
        <v>0</v>
      </c>
      <c r="BD42" s="77">
        <f t="shared" si="45"/>
        <v>0</v>
      </c>
      <c r="BE42" s="80">
        <f t="shared" si="7"/>
        <v>0</v>
      </c>
      <c r="BF42" s="44">
        <f t="shared" si="46"/>
        <v>0</v>
      </c>
      <c r="BG42" s="45">
        <f t="shared" si="47"/>
        <v>0</v>
      </c>
      <c r="BH42" s="46"/>
      <c r="BI42" s="47"/>
      <c r="BJ42" s="47"/>
    </row>
    <row r="43" spans="1:62">
      <c r="A43" s="84">
        <v>42</v>
      </c>
      <c r="B43" s="48"/>
      <c r="C43" s="49"/>
      <c r="D43" s="49"/>
      <c r="E43" s="40">
        <f t="shared" si="8"/>
        <v>0</v>
      </c>
      <c r="F43" s="40">
        <f t="shared" si="9"/>
        <v>0</v>
      </c>
      <c r="G43" s="40">
        <f t="shared" si="10"/>
        <v>0</v>
      </c>
      <c r="H43" s="41">
        <f t="shared" si="48"/>
        <v>0</v>
      </c>
      <c r="I43" s="40">
        <f t="shared" si="11"/>
        <v>0</v>
      </c>
      <c r="J43" s="40">
        <f t="shared" si="12"/>
        <v>0</v>
      </c>
      <c r="K43" s="40">
        <f t="shared" si="13"/>
        <v>0</v>
      </c>
      <c r="L43" s="41">
        <f t="shared" si="0"/>
        <v>0</v>
      </c>
      <c r="M43" s="40">
        <f t="shared" si="14"/>
        <v>0</v>
      </c>
      <c r="N43" s="40">
        <f t="shared" si="15"/>
        <v>0</v>
      </c>
      <c r="O43" s="40">
        <f t="shared" si="16"/>
        <v>0</v>
      </c>
      <c r="P43" s="41">
        <f t="shared" si="1"/>
        <v>0</v>
      </c>
      <c r="Q43" s="42">
        <f t="shared" si="17"/>
        <v>0</v>
      </c>
      <c r="R43" s="40">
        <f t="shared" si="18"/>
        <v>0</v>
      </c>
      <c r="S43" s="40">
        <f t="shared" si="19"/>
        <v>0</v>
      </c>
      <c r="T43" s="41">
        <f t="shared" si="49"/>
        <v>0</v>
      </c>
      <c r="U43" s="40">
        <f t="shared" si="20"/>
        <v>0</v>
      </c>
      <c r="V43" s="40">
        <f t="shared" si="21"/>
        <v>0</v>
      </c>
      <c r="W43" s="40">
        <f t="shared" si="22"/>
        <v>0</v>
      </c>
      <c r="X43" s="41">
        <f t="shared" si="2"/>
        <v>0</v>
      </c>
      <c r="Y43" s="40">
        <f t="shared" si="23"/>
        <v>0</v>
      </c>
      <c r="Z43" s="40">
        <f t="shared" si="24"/>
        <v>0</v>
      </c>
      <c r="AA43" s="40">
        <f t="shared" si="25"/>
        <v>0</v>
      </c>
      <c r="AB43" s="43">
        <f t="shared" si="3"/>
        <v>0</v>
      </c>
      <c r="AC43" s="44">
        <f t="shared" si="26"/>
        <v>0</v>
      </c>
      <c r="AD43" s="45">
        <f t="shared" si="27"/>
        <v>0</v>
      </c>
      <c r="AE43" s="46"/>
      <c r="AF43" s="47"/>
      <c r="AG43" s="47"/>
      <c r="AH43" s="77">
        <f t="shared" si="28"/>
        <v>0</v>
      </c>
      <c r="AI43" s="77">
        <f t="shared" si="29"/>
        <v>0</v>
      </c>
      <c r="AJ43" s="77">
        <f t="shared" si="30"/>
        <v>0</v>
      </c>
      <c r="AK43" s="78">
        <f t="shared" si="50"/>
        <v>0</v>
      </c>
      <c r="AL43" s="77">
        <f t="shared" si="31"/>
        <v>0</v>
      </c>
      <c r="AM43" s="77">
        <f t="shared" si="32"/>
        <v>0</v>
      </c>
      <c r="AN43" s="77">
        <f t="shared" si="33"/>
        <v>0</v>
      </c>
      <c r="AO43" s="78">
        <f t="shared" si="4"/>
        <v>0</v>
      </c>
      <c r="AP43" s="77">
        <f t="shared" si="34"/>
        <v>0</v>
      </c>
      <c r="AQ43" s="77">
        <f t="shared" si="35"/>
        <v>0</v>
      </c>
      <c r="AR43" s="77">
        <f t="shared" si="36"/>
        <v>0</v>
      </c>
      <c r="AS43" s="78">
        <f t="shared" si="5"/>
        <v>0</v>
      </c>
      <c r="AT43" s="79">
        <f t="shared" si="37"/>
        <v>0</v>
      </c>
      <c r="AU43" s="77">
        <f t="shared" si="38"/>
        <v>0</v>
      </c>
      <c r="AV43" s="77">
        <f t="shared" si="39"/>
        <v>0</v>
      </c>
      <c r="AW43" s="78">
        <f t="shared" si="51"/>
        <v>0</v>
      </c>
      <c r="AX43" s="77">
        <f t="shared" si="40"/>
        <v>0</v>
      </c>
      <c r="AY43" s="77">
        <f t="shared" si="41"/>
        <v>0</v>
      </c>
      <c r="AZ43" s="77">
        <f t="shared" si="42"/>
        <v>0</v>
      </c>
      <c r="BA43" s="78">
        <f t="shared" si="6"/>
        <v>0</v>
      </c>
      <c r="BB43" s="77">
        <f t="shared" si="43"/>
        <v>0</v>
      </c>
      <c r="BC43" s="77">
        <f t="shared" si="44"/>
        <v>0</v>
      </c>
      <c r="BD43" s="77">
        <f t="shared" si="45"/>
        <v>0</v>
      </c>
      <c r="BE43" s="80">
        <f t="shared" si="7"/>
        <v>0</v>
      </c>
      <c r="BF43" s="44">
        <f t="shared" si="46"/>
        <v>0</v>
      </c>
      <c r="BG43" s="45">
        <f t="shared" si="47"/>
        <v>0</v>
      </c>
      <c r="BH43" s="46"/>
      <c r="BI43" s="47"/>
      <c r="BJ43" s="47"/>
    </row>
    <row r="44" spans="1:62">
      <c r="A44" s="84">
        <v>43</v>
      </c>
      <c r="B44" s="48"/>
      <c r="C44" s="49"/>
      <c r="D44" s="49"/>
      <c r="E44" s="40">
        <f t="shared" si="8"/>
        <v>0</v>
      </c>
      <c r="F44" s="40">
        <f t="shared" si="9"/>
        <v>0</v>
      </c>
      <c r="G44" s="40">
        <f t="shared" si="10"/>
        <v>0</v>
      </c>
      <c r="H44" s="41">
        <f t="shared" si="48"/>
        <v>0</v>
      </c>
      <c r="I44" s="40">
        <f t="shared" si="11"/>
        <v>0</v>
      </c>
      <c r="J44" s="40">
        <f t="shared" si="12"/>
        <v>0</v>
      </c>
      <c r="K44" s="40">
        <f t="shared" si="13"/>
        <v>0</v>
      </c>
      <c r="L44" s="41">
        <f t="shared" si="0"/>
        <v>0</v>
      </c>
      <c r="M44" s="40">
        <f t="shared" si="14"/>
        <v>0</v>
      </c>
      <c r="N44" s="40">
        <f t="shared" si="15"/>
        <v>0</v>
      </c>
      <c r="O44" s="40">
        <f t="shared" si="16"/>
        <v>0</v>
      </c>
      <c r="P44" s="41">
        <f t="shared" si="1"/>
        <v>0</v>
      </c>
      <c r="Q44" s="42">
        <f t="shared" si="17"/>
        <v>0</v>
      </c>
      <c r="R44" s="40">
        <f t="shared" si="18"/>
        <v>0</v>
      </c>
      <c r="S44" s="40">
        <f t="shared" si="19"/>
        <v>0</v>
      </c>
      <c r="T44" s="41">
        <f t="shared" si="49"/>
        <v>0</v>
      </c>
      <c r="U44" s="40">
        <f t="shared" si="20"/>
        <v>0</v>
      </c>
      <c r="V44" s="40">
        <f t="shared" si="21"/>
        <v>0</v>
      </c>
      <c r="W44" s="40">
        <f t="shared" si="22"/>
        <v>0</v>
      </c>
      <c r="X44" s="41">
        <f t="shared" si="2"/>
        <v>0</v>
      </c>
      <c r="Y44" s="40">
        <f t="shared" si="23"/>
        <v>0</v>
      </c>
      <c r="Z44" s="40">
        <f t="shared" si="24"/>
        <v>0</v>
      </c>
      <c r="AA44" s="40">
        <f t="shared" si="25"/>
        <v>0</v>
      </c>
      <c r="AB44" s="43">
        <f t="shared" si="3"/>
        <v>0</v>
      </c>
      <c r="AC44" s="44">
        <f t="shared" si="26"/>
        <v>0</v>
      </c>
      <c r="AD44" s="45">
        <f t="shared" si="27"/>
        <v>0</v>
      </c>
      <c r="AE44" s="46"/>
      <c r="AF44" s="47"/>
      <c r="AG44" s="47"/>
      <c r="AH44" s="77">
        <f t="shared" si="28"/>
        <v>0</v>
      </c>
      <c r="AI44" s="77">
        <f t="shared" si="29"/>
        <v>0</v>
      </c>
      <c r="AJ44" s="77">
        <f t="shared" si="30"/>
        <v>0</v>
      </c>
      <c r="AK44" s="78">
        <f t="shared" si="50"/>
        <v>0</v>
      </c>
      <c r="AL44" s="77">
        <f t="shared" si="31"/>
        <v>0</v>
      </c>
      <c r="AM44" s="77">
        <f t="shared" si="32"/>
        <v>0</v>
      </c>
      <c r="AN44" s="77">
        <f t="shared" si="33"/>
        <v>0</v>
      </c>
      <c r="AO44" s="78">
        <f t="shared" si="4"/>
        <v>0</v>
      </c>
      <c r="AP44" s="77">
        <f t="shared" si="34"/>
        <v>0</v>
      </c>
      <c r="AQ44" s="77">
        <f t="shared" si="35"/>
        <v>0</v>
      </c>
      <c r="AR44" s="77">
        <f t="shared" si="36"/>
        <v>0</v>
      </c>
      <c r="AS44" s="78">
        <f t="shared" si="5"/>
        <v>0</v>
      </c>
      <c r="AT44" s="79">
        <f t="shared" si="37"/>
        <v>0</v>
      </c>
      <c r="AU44" s="77">
        <f t="shared" si="38"/>
        <v>0</v>
      </c>
      <c r="AV44" s="77">
        <f t="shared" si="39"/>
        <v>0</v>
      </c>
      <c r="AW44" s="78">
        <f t="shared" si="51"/>
        <v>0</v>
      </c>
      <c r="AX44" s="77">
        <f t="shared" si="40"/>
        <v>0</v>
      </c>
      <c r="AY44" s="77">
        <f t="shared" si="41"/>
        <v>0</v>
      </c>
      <c r="AZ44" s="77">
        <f t="shared" si="42"/>
        <v>0</v>
      </c>
      <c r="BA44" s="78">
        <f t="shared" si="6"/>
        <v>0</v>
      </c>
      <c r="BB44" s="77">
        <f t="shared" si="43"/>
        <v>0</v>
      </c>
      <c r="BC44" s="77">
        <f t="shared" si="44"/>
        <v>0</v>
      </c>
      <c r="BD44" s="77">
        <f t="shared" si="45"/>
        <v>0</v>
      </c>
      <c r="BE44" s="80">
        <f t="shared" si="7"/>
        <v>0</v>
      </c>
      <c r="BF44" s="44">
        <f t="shared" si="46"/>
        <v>0</v>
      </c>
      <c r="BG44" s="45">
        <f t="shared" si="47"/>
        <v>0</v>
      </c>
      <c r="BH44" s="46"/>
      <c r="BI44" s="47"/>
      <c r="BJ44" s="47"/>
    </row>
    <row r="45" spans="1:62">
      <c r="A45" s="84">
        <v>44</v>
      </c>
      <c r="B45" s="48"/>
      <c r="C45" s="49"/>
      <c r="D45" s="49"/>
      <c r="E45" s="40">
        <f t="shared" si="8"/>
        <v>0</v>
      </c>
      <c r="F45" s="40">
        <f t="shared" si="9"/>
        <v>0</v>
      </c>
      <c r="G45" s="40">
        <f t="shared" si="10"/>
        <v>0</v>
      </c>
      <c r="H45" s="41">
        <f t="shared" si="48"/>
        <v>0</v>
      </c>
      <c r="I45" s="40">
        <f t="shared" si="11"/>
        <v>0</v>
      </c>
      <c r="J45" s="40">
        <f t="shared" si="12"/>
        <v>0</v>
      </c>
      <c r="K45" s="40">
        <f t="shared" si="13"/>
        <v>0</v>
      </c>
      <c r="L45" s="41">
        <f t="shared" si="0"/>
        <v>0</v>
      </c>
      <c r="M45" s="40">
        <f t="shared" si="14"/>
        <v>0</v>
      </c>
      <c r="N45" s="40">
        <f t="shared" si="15"/>
        <v>0</v>
      </c>
      <c r="O45" s="40">
        <f t="shared" si="16"/>
        <v>0</v>
      </c>
      <c r="P45" s="41">
        <f t="shared" si="1"/>
        <v>0</v>
      </c>
      <c r="Q45" s="42">
        <f t="shared" si="17"/>
        <v>0</v>
      </c>
      <c r="R45" s="40">
        <f t="shared" si="18"/>
        <v>0</v>
      </c>
      <c r="S45" s="40">
        <f t="shared" si="19"/>
        <v>0</v>
      </c>
      <c r="T45" s="41">
        <f t="shared" si="49"/>
        <v>0</v>
      </c>
      <c r="U45" s="40">
        <f t="shared" si="20"/>
        <v>0</v>
      </c>
      <c r="V45" s="40">
        <f t="shared" si="21"/>
        <v>0</v>
      </c>
      <c r="W45" s="40">
        <f t="shared" si="22"/>
        <v>0</v>
      </c>
      <c r="X45" s="41">
        <f t="shared" si="2"/>
        <v>0</v>
      </c>
      <c r="Y45" s="40">
        <f t="shared" si="23"/>
        <v>0</v>
      </c>
      <c r="Z45" s="40">
        <f t="shared" si="24"/>
        <v>0</v>
      </c>
      <c r="AA45" s="40">
        <f t="shared" si="25"/>
        <v>0</v>
      </c>
      <c r="AB45" s="43">
        <f t="shared" si="3"/>
        <v>0</v>
      </c>
      <c r="AC45" s="44">
        <f t="shared" si="26"/>
        <v>0</v>
      </c>
      <c r="AD45" s="45">
        <f t="shared" si="27"/>
        <v>0</v>
      </c>
      <c r="AE45" s="46"/>
      <c r="AF45" s="47"/>
      <c r="AG45" s="47"/>
      <c r="AH45" s="77">
        <f t="shared" si="28"/>
        <v>0</v>
      </c>
      <c r="AI45" s="77">
        <f t="shared" si="29"/>
        <v>0</v>
      </c>
      <c r="AJ45" s="77">
        <f t="shared" si="30"/>
        <v>0</v>
      </c>
      <c r="AK45" s="78">
        <f t="shared" si="50"/>
        <v>0</v>
      </c>
      <c r="AL45" s="77">
        <f t="shared" si="31"/>
        <v>0</v>
      </c>
      <c r="AM45" s="77">
        <f t="shared" si="32"/>
        <v>0</v>
      </c>
      <c r="AN45" s="77">
        <f t="shared" si="33"/>
        <v>0</v>
      </c>
      <c r="AO45" s="78">
        <f t="shared" si="4"/>
        <v>0</v>
      </c>
      <c r="AP45" s="77">
        <f t="shared" si="34"/>
        <v>0</v>
      </c>
      <c r="AQ45" s="77">
        <f t="shared" si="35"/>
        <v>0</v>
      </c>
      <c r="AR45" s="77">
        <f t="shared" si="36"/>
        <v>0</v>
      </c>
      <c r="AS45" s="78">
        <f t="shared" si="5"/>
        <v>0</v>
      </c>
      <c r="AT45" s="79">
        <f t="shared" si="37"/>
        <v>0</v>
      </c>
      <c r="AU45" s="77">
        <f t="shared" si="38"/>
        <v>0</v>
      </c>
      <c r="AV45" s="77">
        <f t="shared" si="39"/>
        <v>0</v>
      </c>
      <c r="AW45" s="78">
        <f t="shared" si="51"/>
        <v>0</v>
      </c>
      <c r="AX45" s="77">
        <f t="shared" si="40"/>
        <v>0</v>
      </c>
      <c r="AY45" s="77">
        <f t="shared" si="41"/>
        <v>0</v>
      </c>
      <c r="AZ45" s="77">
        <f t="shared" si="42"/>
        <v>0</v>
      </c>
      <c r="BA45" s="78">
        <f t="shared" si="6"/>
        <v>0</v>
      </c>
      <c r="BB45" s="77">
        <f t="shared" si="43"/>
        <v>0</v>
      </c>
      <c r="BC45" s="77">
        <f t="shared" si="44"/>
        <v>0</v>
      </c>
      <c r="BD45" s="77">
        <f t="shared" si="45"/>
        <v>0</v>
      </c>
      <c r="BE45" s="80">
        <f t="shared" si="7"/>
        <v>0</v>
      </c>
      <c r="BF45" s="44">
        <f t="shared" si="46"/>
        <v>0</v>
      </c>
      <c r="BG45" s="45">
        <f t="shared" si="47"/>
        <v>0</v>
      </c>
      <c r="BH45" s="46"/>
      <c r="BI45" s="47"/>
      <c r="BJ45" s="47"/>
    </row>
    <row r="46" spans="1:62">
      <c r="A46" s="84">
        <v>45</v>
      </c>
      <c r="B46" s="48"/>
      <c r="C46" s="49"/>
      <c r="D46" s="49"/>
      <c r="E46" s="40">
        <f t="shared" si="8"/>
        <v>0</v>
      </c>
      <c r="F46" s="40">
        <f t="shared" si="9"/>
        <v>0</v>
      </c>
      <c r="G46" s="40">
        <f t="shared" si="10"/>
        <v>0</v>
      </c>
      <c r="H46" s="41">
        <f t="shared" si="48"/>
        <v>0</v>
      </c>
      <c r="I46" s="40">
        <f t="shared" si="11"/>
        <v>0</v>
      </c>
      <c r="J46" s="40">
        <f t="shared" si="12"/>
        <v>0</v>
      </c>
      <c r="K46" s="40">
        <f t="shared" si="13"/>
        <v>0</v>
      </c>
      <c r="L46" s="41">
        <f t="shared" si="0"/>
        <v>0</v>
      </c>
      <c r="M46" s="40">
        <f t="shared" si="14"/>
        <v>0</v>
      </c>
      <c r="N46" s="40">
        <f t="shared" si="15"/>
        <v>0</v>
      </c>
      <c r="O46" s="40">
        <f t="shared" si="16"/>
        <v>0</v>
      </c>
      <c r="P46" s="41">
        <f t="shared" si="1"/>
        <v>0</v>
      </c>
      <c r="Q46" s="42">
        <f t="shared" si="17"/>
        <v>0</v>
      </c>
      <c r="R46" s="40">
        <f t="shared" si="18"/>
        <v>0</v>
      </c>
      <c r="S46" s="40">
        <f t="shared" si="19"/>
        <v>0</v>
      </c>
      <c r="T46" s="41">
        <f t="shared" si="49"/>
        <v>0</v>
      </c>
      <c r="U46" s="40">
        <f t="shared" si="20"/>
        <v>0</v>
      </c>
      <c r="V46" s="40">
        <f t="shared" si="21"/>
        <v>0</v>
      </c>
      <c r="W46" s="40">
        <f t="shared" si="22"/>
        <v>0</v>
      </c>
      <c r="X46" s="41">
        <f t="shared" si="2"/>
        <v>0</v>
      </c>
      <c r="Y46" s="40">
        <f t="shared" si="23"/>
        <v>0</v>
      </c>
      <c r="Z46" s="40">
        <f t="shared" si="24"/>
        <v>0</v>
      </c>
      <c r="AA46" s="40">
        <f t="shared" si="25"/>
        <v>0</v>
      </c>
      <c r="AB46" s="43">
        <f t="shared" si="3"/>
        <v>0</v>
      </c>
      <c r="AC46" s="44">
        <f t="shared" si="26"/>
        <v>0</v>
      </c>
      <c r="AD46" s="45">
        <f t="shared" si="27"/>
        <v>0</v>
      </c>
      <c r="AE46" s="46"/>
      <c r="AF46" s="47"/>
      <c r="AG46" s="47"/>
      <c r="AH46" s="77">
        <f t="shared" si="28"/>
        <v>0</v>
      </c>
      <c r="AI46" s="77">
        <f t="shared" si="29"/>
        <v>0</v>
      </c>
      <c r="AJ46" s="77">
        <f t="shared" si="30"/>
        <v>0</v>
      </c>
      <c r="AK46" s="78">
        <f t="shared" si="50"/>
        <v>0</v>
      </c>
      <c r="AL46" s="77">
        <f t="shared" si="31"/>
        <v>0</v>
      </c>
      <c r="AM46" s="77">
        <f t="shared" si="32"/>
        <v>0</v>
      </c>
      <c r="AN46" s="77">
        <f t="shared" si="33"/>
        <v>0</v>
      </c>
      <c r="AO46" s="78">
        <f t="shared" si="4"/>
        <v>0</v>
      </c>
      <c r="AP46" s="77">
        <f t="shared" si="34"/>
        <v>0</v>
      </c>
      <c r="AQ46" s="77">
        <f t="shared" si="35"/>
        <v>0</v>
      </c>
      <c r="AR46" s="77">
        <f t="shared" si="36"/>
        <v>0</v>
      </c>
      <c r="AS46" s="78">
        <f t="shared" si="5"/>
        <v>0</v>
      </c>
      <c r="AT46" s="79">
        <f t="shared" si="37"/>
        <v>0</v>
      </c>
      <c r="AU46" s="77">
        <f t="shared" si="38"/>
        <v>0</v>
      </c>
      <c r="AV46" s="77">
        <f t="shared" si="39"/>
        <v>0</v>
      </c>
      <c r="AW46" s="78">
        <f t="shared" si="51"/>
        <v>0</v>
      </c>
      <c r="AX46" s="77">
        <f t="shared" si="40"/>
        <v>0</v>
      </c>
      <c r="AY46" s="77">
        <f t="shared" si="41"/>
        <v>0</v>
      </c>
      <c r="AZ46" s="77">
        <f t="shared" si="42"/>
        <v>0</v>
      </c>
      <c r="BA46" s="78">
        <f t="shared" si="6"/>
        <v>0</v>
      </c>
      <c r="BB46" s="77">
        <f t="shared" si="43"/>
        <v>0</v>
      </c>
      <c r="BC46" s="77">
        <f t="shared" si="44"/>
        <v>0</v>
      </c>
      <c r="BD46" s="77">
        <f t="shared" si="45"/>
        <v>0</v>
      </c>
      <c r="BE46" s="80">
        <f t="shared" si="7"/>
        <v>0</v>
      </c>
      <c r="BF46" s="44">
        <f t="shared" si="46"/>
        <v>0</v>
      </c>
      <c r="BG46" s="45">
        <f t="shared" si="47"/>
        <v>0</v>
      </c>
      <c r="BH46" s="46"/>
      <c r="BI46" s="47"/>
      <c r="BJ46" s="47"/>
    </row>
    <row r="47" spans="1:62">
      <c r="A47" s="84">
        <v>46</v>
      </c>
      <c r="B47" s="48"/>
      <c r="C47" s="49"/>
      <c r="D47" s="49"/>
      <c r="E47" s="40">
        <f t="shared" si="8"/>
        <v>0</v>
      </c>
      <c r="F47" s="40">
        <f t="shared" si="9"/>
        <v>0</v>
      </c>
      <c r="G47" s="40">
        <f t="shared" si="10"/>
        <v>0</v>
      </c>
      <c r="H47" s="41">
        <f t="shared" si="48"/>
        <v>0</v>
      </c>
      <c r="I47" s="40">
        <f t="shared" si="11"/>
        <v>0</v>
      </c>
      <c r="J47" s="40">
        <f t="shared" si="12"/>
        <v>0</v>
      </c>
      <c r="K47" s="40">
        <f t="shared" si="13"/>
        <v>0</v>
      </c>
      <c r="L47" s="41">
        <f t="shared" si="0"/>
        <v>0</v>
      </c>
      <c r="M47" s="40">
        <f t="shared" si="14"/>
        <v>0</v>
      </c>
      <c r="N47" s="40">
        <f t="shared" si="15"/>
        <v>0</v>
      </c>
      <c r="O47" s="40">
        <f t="shared" si="16"/>
        <v>0</v>
      </c>
      <c r="P47" s="41">
        <f t="shared" si="1"/>
        <v>0</v>
      </c>
      <c r="Q47" s="42">
        <f t="shared" si="17"/>
        <v>0</v>
      </c>
      <c r="R47" s="40">
        <f t="shared" si="18"/>
        <v>0</v>
      </c>
      <c r="S47" s="40">
        <f t="shared" si="19"/>
        <v>0</v>
      </c>
      <c r="T47" s="41">
        <f t="shared" si="49"/>
        <v>0</v>
      </c>
      <c r="U47" s="40">
        <f t="shared" si="20"/>
        <v>0</v>
      </c>
      <c r="V47" s="40">
        <f t="shared" si="21"/>
        <v>0</v>
      </c>
      <c r="W47" s="40">
        <f t="shared" si="22"/>
        <v>0</v>
      </c>
      <c r="X47" s="41">
        <f t="shared" si="2"/>
        <v>0</v>
      </c>
      <c r="Y47" s="40">
        <f t="shared" si="23"/>
        <v>0</v>
      </c>
      <c r="Z47" s="40">
        <f t="shared" si="24"/>
        <v>0</v>
      </c>
      <c r="AA47" s="40">
        <f t="shared" si="25"/>
        <v>0</v>
      </c>
      <c r="AB47" s="43">
        <f t="shared" si="3"/>
        <v>0</v>
      </c>
      <c r="AC47" s="44">
        <f t="shared" si="26"/>
        <v>0</v>
      </c>
      <c r="AD47" s="45">
        <f t="shared" si="27"/>
        <v>0</v>
      </c>
      <c r="AE47" s="46"/>
      <c r="AF47" s="47"/>
      <c r="AG47" s="47"/>
      <c r="AH47" s="77">
        <f t="shared" si="28"/>
        <v>0</v>
      </c>
      <c r="AI47" s="77">
        <f t="shared" si="29"/>
        <v>0</v>
      </c>
      <c r="AJ47" s="77">
        <f t="shared" si="30"/>
        <v>0</v>
      </c>
      <c r="AK47" s="78">
        <f t="shared" si="50"/>
        <v>0</v>
      </c>
      <c r="AL47" s="77">
        <f t="shared" si="31"/>
        <v>0</v>
      </c>
      <c r="AM47" s="77">
        <f t="shared" si="32"/>
        <v>0</v>
      </c>
      <c r="AN47" s="77">
        <f t="shared" si="33"/>
        <v>0</v>
      </c>
      <c r="AO47" s="78">
        <f t="shared" si="4"/>
        <v>0</v>
      </c>
      <c r="AP47" s="77">
        <f t="shared" si="34"/>
        <v>0</v>
      </c>
      <c r="AQ47" s="77">
        <f t="shared" si="35"/>
        <v>0</v>
      </c>
      <c r="AR47" s="77">
        <f t="shared" si="36"/>
        <v>0</v>
      </c>
      <c r="AS47" s="78">
        <f t="shared" si="5"/>
        <v>0</v>
      </c>
      <c r="AT47" s="79">
        <f t="shared" si="37"/>
        <v>0</v>
      </c>
      <c r="AU47" s="77">
        <f t="shared" si="38"/>
        <v>0</v>
      </c>
      <c r="AV47" s="77">
        <f t="shared" si="39"/>
        <v>0</v>
      </c>
      <c r="AW47" s="78">
        <f t="shared" si="51"/>
        <v>0</v>
      </c>
      <c r="AX47" s="77">
        <f t="shared" si="40"/>
        <v>0</v>
      </c>
      <c r="AY47" s="77">
        <f t="shared" si="41"/>
        <v>0</v>
      </c>
      <c r="AZ47" s="77">
        <f t="shared" si="42"/>
        <v>0</v>
      </c>
      <c r="BA47" s="78">
        <f t="shared" si="6"/>
        <v>0</v>
      </c>
      <c r="BB47" s="77">
        <f t="shared" si="43"/>
        <v>0</v>
      </c>
      <c r="BC47" s="77">
        <f t="shared" si="44"/>
        <v>0</v>
      </c>
      <c r="BD47" s="77">
        <f t="shared" si="45"/>
        <v>0</v>
      </c>
      <c r="BE47" s="80">
        <f t="shared" si="7"/>
        <v>0</v>
      </c>
      <c r="BF47" s="44">
        <f t="shared" si="46"/>
        <v>0</v>
      </c>
      <c r="BG47" s="45">
        <f t="shared" si="47"/>
        <v>0</v>
      </c>
      <c r="BH47" s="46"/>
      <c r="BI47" s="47"/>
      <c r="BJ47" s="47"/>
    </row>
    <row r="48" spans="1:62">
      <c r="A48" s="84">
        <v>47</v>
      </c>
      <c r="B48" s="48"/>
      <c r="C48" s="49"/>
      <c r="D48" s="49"/>
      <c r="E48" s="40">
        <f t="shared" si="8"/>
        <v>0</v>
      </c>
      <c r="F48" s="40">
        <f t="shared" si="9"/>
        <v>0</v>
      </c>
      <c r="G48" s="40">
        <f t="shared" si="10"/>
        <v>0</v>
      </c>
      <c r="H48" s="41">
        <f t="shared" si="48"/>
        <v>0</v>
      </c>
      <c r="I48" s="40">
        <f t="shared" si="11"/>
        <v>0</v>
      </c>
      <c r="J48" s="40">
        <f t="shared" si="12"/>
        <v>0</v>
      </c>
      <c r="K48" s="40">
        <f t="shared" si="13"/>
        <v>0</v>
      </c>
      <c r="L48" s="41">
        <f t="shared" si="0"/>
        <v>0</v>
      </c>
      <c r="M48" s="40">
        <f t="shared" si="14"/>
        <v>0</v>
      </c>
      <c r="N48" s="40">
        <f t="shared" si="15"/>
        <v>0</v>
      </c>
      <c r="O48" s="40">
        <f t="shared" si="16"/>
        <v>0</v>
      </c>
      <c r="P48" s="41">
        <f t="shared" si="1"/>
        <v>0</v>
      </c>
      <c r="Q48" s="42">
        <f t="shared" si="17"/>
        <v>0</v>
      </c>
      <c r="R48" s="40">
        <f t="shared" si="18"/>
        <v>0</v>
      </c>
      <c r="S48" s="40">
        <f t="shared" si="19"/>
        <v>0</v>
      </c>
      <c r="T48" s="41">
        <f t="shared" si="49"/>
        <v>0</v>
      </c>
      <c r="U48" s="40">
        <f t="shared" si="20"/>
        <v>0</v>
      </c>
      <c r="V48" s="40">
        <f t="shared" si="21"/>
        <v>0</v>
      </c>
      <c r="W48" s="40">
        <f t="shared" si="22"/>
        <v>0</v>
      </c>
      <c r="X48" s="41">
        <f t="shared" si="2"/>
        <v>0</v>
      </c>
      <c r="Y48" s="40">
        <f t="shared" si="23"/>
        <v>0</v>
      </c>
      <c r="Z48" s="40">
        <f t="shared" si="24"/>
        <v>0</v>
      </c>
      <c r="AA48" s="40">
        <f t="shared" si="25"/>
        <v>0</v>
      </c>
      <c r="AB48" s="43">
        <f t="shared" si="3"/>
        <v>0</v>
      </c>
      <c r="AC48" s="44">
        <f t="shared" si="26"/>
        <v>0</v>
      </c>
      <c r="AD48" s="45">
        <f t="shared" si="27"/>
        <v>0</v>
      </c>
      <c r="AE48" s="46"/>
      <c r="AF48" s="47"/>
      <c r="AG48" s="47"/>
      <c r="AH48" s="77">
        <f t="shared" si="28"/>
        <v>0</v>
      </c>
      <c r="AI48" s="77">
        <f t="shared" si="29"/>
        <v>0</v>
      </c>
      <c r="AJ48" s="77">
        <f t="shared" si="30"/>
        <v>0</v>
      </c>
      <c r="AK48" s="78">
        <f t="shared" si="50"/>
        <v>0</v>
      </c>
      <c r="AL48" s="77">
        <f t="shared" si="31"/>
        <v>0</v>
      </c>
      <c r="AM48" s="77">
        <f t="shared" si="32"/>
        <v>0</v>
      </c>
      <c r="AN48" s="77">
        <f t="shared" si="33"/>
        <v>0</v>
      </c>
      <c r="AO48" s="78">
        <f t="shared" si="4"/>
        <v>0</v>
      </c>
      <c r="AP48" s="77">
        <f t="shared" si="34"/>
        <v>0</v>
      </c>
      <c r="AQ48" s="77">
        <f t="shared" si="35"/>
        <v>0</v>
      </c>
      <c r="AR48" s="77">
        <f t="shared" si="36"/>
        <v>0</v>
      </c>
      <c r="AS48" s="78">
        <f t="shared" si="5"/>
        <v>0</v>
      </c>
      <c r="AT48" s="79">
        <f t="shared" si="37"/>
        <v>0</v>
      </c>
      <c r="AU48" s="77">
        <f t="shared" si="38"/>
        <v>0</v>
      </c>
      <c r="AV48" s="77">
        <f t="shared" si="39"/>
        <v>0</v>
      </c>
      <c r="AW48" s="78">
        <f t="shared" si="51"/>
        <v>0</v>
      </c>
      <c r="AX48" s="77">
        <f t="shared" si="40"/>
        <v>0</v>
      </c>
      <c r="AY48" s="77">
        <f t="shared" si="41"/>
        <v>0</v>
      </c>
      <c r="AZ48" s="77">
        <f t="shared" si="42"/>
        <v>0</v>
      </c>
      <c r="BA48" s="78">
        <f t="shared" si="6"/>
        <v>0</v>
      </c>
      <c r="BB48" s="77">
        <f t="shared" si="43"/>
        <v>0</v>
      </c>
      <c r="BC48" s="77">
        <f t="shared" si="44"/>
        <v>0</v>
      </c>
      <c r="BD48" s="77">
        <f t="shared" si="45"/>
        <v>0</v>
      </c>
      <c r="BE48" s="80">
        <f t="shared" si="7"/>
        <v>0</v>
      </c>
      <c r="BF48" s="44">
        <f t="shared" si="46"/>
        <v>0</v>
      </c>
      <c r="BG48" s="45">
        <f t="shared" si="47"/>
        <v>0</v>
      </c>
      <c r="BH48" s="46"/>
      <c r="BI48" s="47"/>
      <c r="BJ48" s="47"/>
    </row>
    <row r="49" spans="1:62">
      <c r="A49" s="84">
        <v>48</v>
      </c>
      <c r="B49" s="48"/>
      <c r="C49" s="49"/>
      <c r="D49" s="49"/>
      <c r="E49" s="40">
        <f t="shared" si="8"/>
        <v>0</v>
      </c>
      <c r="F49" s="40">
        <f t="shared" si="9"/>
        <v>0</v>
      </c>
      <c r="G49" s="40">
        <f t="shared" si="10"/>
        <v>0</v>
      </c>
      <c r="H49" s="41">
        <f t="shared" si="48"/>
        <v>0</v>
      </c>
      <c r="I49" s="40">
        <f t="shared" si="11"/>
        <v>0</v>
      </c>
      <c r="J49" s="40">
        <f t="shared" si="12"/>
        <v>0</v>
      </c>
      <c r="K49" s="40">
        <f t="shared" si="13"/>
        <v>0</v>
      </c>
      <c r="L49" s="41">
        <f t="shared" si="0"/>
        <v>0</v>
      </c>
      <c r="M49" s="40">
        <f t="shared" si="14"/>
        <v>0</v>
      </c>
      <c r="N49" s="40">
        <f t="shared" si="15"/>
        <v>0</v>
      </c>
      <c r="O49" s="40">
        <f t="shared" si="16"/>
        <v>0</v>
      </c>
      <c r="P49" s="41">
        <f t="shared" si="1"/>
        <v>0</v>
      </c>
      <c r="Q49" s="42">
        <f t="shared" si="17"/>
        <v>0</v>
      </c>
      <c r="R49" s="40">
        <f t="shared" si="18"/>
        <v>0</v>
      </c>
      <c r="S49" s="40">
        <f t="shared" si="19"/>
        <v>0</v>
      </c>
      <c r="T49" s="41">
        <f t="shared" si="49"/>
        <v>0</v>
      </c>
      <c r="U49" s="40">
        <f t="shared" si="20"/>
        <v>0</v>
      </c>
      <c r="V49" s="40">
        <f t="shared" si="21"/>
        <v>0</v>
      </c>
      <c r="W49" s="40">
        <f t="shared" si="22"/>
        <v>0</v>
      </c>
      <c r="X49" s="41">
        <f t="shared" si="2"/>
        <v>0</v>
      </c>
      <c r="Y49" s="40">
        <f t="shared" si="23"/>
        <v>0</v>
      </c>
      <c r="Z49" s="40">
        <f t="shared" si="24"/>
        <v>0</v>
      </c>
      <c r="AA49" s="40">
        <f t="shared" si="25"/>
        <v>0</v>
      </c>
      <c r="AB49" s="43">
        <f t="shared" si="3"/>
        <v>0</v>
      </c>
      <c r="AC49" s="44">
        <f t="shared" si="26"/>
        <v>0</v>
      </c>
      <c r="AD49" s="45">
        <f t="shared" si="27"/>
        <v>0</v>
      </c>
      <c r="AE49" s="46"/>
      <c r="AF49" s="47"/>
      <c r="AG49" s="47"/>
      <c r="AH49" s="77">
        <f t="shared" si="28"/>
        <v>0</v>
      </c>
      <c r="AI49" s="77">
        <f t="shared" si="29"/>
        <v>0</v>
      </c>
      <c r="AJ49" s="77">
        <f t="shared" si="30"/>
        <v>0</v>
      </c>
      <c r="AK49" s="78">
        <f t="shared" si="50"/>
        <v>0</v>
      </c>
      <c r="AL49" s="77">
        <f t="shared" si="31"/>
        <v>0</v>
      </c>
      <c r="AM49" s="77">
        <f t="shared" si="32"/>
        <v>0</v>
      </c>
      <c r="AN49" s="77">
        <f t="shared" si="33"/>
        <v>0</v>
      </c>
      <c r="AO49" s="78">
        <f t="shared" si="4"/>
        <v>0</v>
      </c>
      <c r="AP49" s="77">
        <f t="shared" si="34"/>
        <v>0</v>
      </c>
      <c r="AQ49" s="77">
        <f t="shared" si="35"/>
        <v>0</v>
      </c>
      <c r="AR49" s="77">
        <f t="shared" si="36"/>
        <v>0</v>
      </c>
      <c r="AS49" s="78">
        <f t="shared" si="5"/>
        <v>0</v>
      </c>
      <c r="AT49" s="79">
        <f t="shared" si="37"/>
        <v>0</v>
      </c>
      <c r="AU49" s="77">
        <f t="shared" si="38"/>
        <v>0</v>
      </c>
      <c r="AV49" s="77">
        <f t="shared" si="39"/>
        <v>0</v>
      </c>
      <c r="AW49" s="78">
        <f t="shared" si="51"/>
        <v>0</v>
      </c>
      <c r="AX49" s="77">
        <f t="shared" si="40"/>
        <v>0</v>
      </c>
      <c r="AY49" s="77">
        <f t="shared" si="41"/>
        <v>0</v>
      </c>
      <c r="AZ49" s="77">
        <f t="shared" si="42"/>
        <v>0</v>
      </c>
      <c r="BA49" s="78">
        <f t="shared" si="6"/>
        <v>0</v>
      </c>
      <c r="BB49" s="77">
        <f t="shared" si="43"/>
        <v>0</v>
      </c>
      <c r="BC49" s="77">
        <f t="shared" si="44"/>
        <v>0</v>
      </c>
      <c r="BD49" s="77">
        <f t="shared" si="45"/>
        <v>0</v>
      </c>
      <c r="BE49" s="80">
        <f t="shared" si="7"/>
        <v>0</v>
      </c>
      <c r="BF49" s="44">
        <f t="shared" si="46"/>
        <v>0</v>
      </c>
      <c r="BG49" s="45">
        <f t="shared" si="47"/>
        <v>0</v>
      </c>
      <c r="BH49" s="46"/>
      <c r="BI49" s="47"/>
      <c r="BJ49" s="47"/>
    </row>
    <row r="50" spans="1:62">
      <c r="A50" s="84">
        <v>49</v>
      </c>
      <c r="B50" s="48"/>
      <c r="C50" s="49"/>
      <c r="D50" s="49"/>
      <c r="E50" s="40">
        <f t="shared" si="8"/>
        <v>0</v>
      </c>
      <c r="F50" s="40">
        <f t="shared" si="9"/>
        <v>0</v>
      </c>
      <c r="G50" s="40">
        <f t="shared" si="10"/>
        <v>0</v>
      </c>
      <c r="H50" s="41">
        <f t="shared" si="48"/>
        <v>0</v>
      </c>
      <c r="I50" s="40">
        <f t="shared" si="11"/>
        <v>0</v>
      </c>
      <c r="J50" s="40">
        <f t="shared" si="12"/>
        <v>0</v>
      </c>
      <c r="K50" s="40">
        <f t="shared" si="13"/>
        <v>0</v>
      </c>
      <c r="L50" s="41">
        <f t="shared" si="0"/>
        <v>0</v>
      </c>
      <c r="M50" s="40">
        <f t="shared" si="14"/>
        <v>0</v>
      </c>
      <c r="N50" s="40">
        <f t="shared" si="15"/>
        <v>0</v>
      </c>
      <c r="O50" s="40">
        <f t="shared" si="16"/>
        <v>0</v>
      </c>
      <c r="P50" s="41">
        <f t="shared" si="1"/>
        <v>0</v>
      </c>
      <c r="Q50" s="42">
        <f t="shared" si="17"/>
        <v>0</v>
      </c>
      <c r="R50" s="40">
        <f t="shared" si="18"/>
        <v>0</v>
      </c>
      <c r="S50" s="40">
        <f t="shared" si="19"/>
        <v>0</v>
      </c>
      <c r="T50" s="41">
        <f t="shared" si="49"/>
        <v>0</v>
      </c>
      <c r="U50" s="40">
        <f t="shared" si="20"/>
        <v>0</v>
      </c>
      <c r="V50" s="40">
        <f t="shared" si="21"/>
        <v>0</v>
      </c>
      <c r="W50" s="40">
        <f t="shared" si="22"/>
        <v>0</v>
      </c>
      <c r="X50" s="41">
        <f t="shared" si="2"/>
        <v>0</v>
      </c>
      <c r="Y50" s="40">
        <f t="shared" si="23"/>
        <v>0</v>
      </c>
      <c r="Z50" s="40">
        <f t="shared" si="24"/>
        <v>0</v>
      </c>
      <c r="AA50" s="40">
        <f t="shared" si="25"/>
        <v>0</v>
      </c>
      <c r="AB50" s="43">
        <f t="shared" si="3"/>
        <v>0</v>
      </c>
      <c r="AC50" s="44">
        <f t="shared" si="26"/>
        <v>0</v>
      </c>
      <c r="AD50" s="45">
        <f t="shared" si="27"/>
        <v>0</v>
      </c>
      <c r="AE50" s="46"/>
      <c r="AF50" s="47"/>
      <c r="AG50" s="47"/>
      <c r="AH50" s="77">
        <f t="shared" si="28"/>
        <v>0</v>
      </c>
      <c r="AI50" s="77">
        <f t="shared" si="29"/>
        <v>0</v>
      </c>
      <c r="AJ50" s="77">
        <f t="shared" si="30"/>
        <v>0</v>
      </c>
      <c r="AK50" s="78">
        <f t="shared" si="50"/>
        <v>0</v>
      </c>
      <c r="AL50" s="77">
        <f t="shared" si="31"/>
        <v>0</v>
      </c>
      <c r="AM50" s="77">
        <f t="shared" si="32"/>
        <v>0</v>
      </c>
      <c r="AN50" s="77">
        <f t="shared" si="33"/>
        <v>0</v>
      </c>
      <c r="AO50" s="78">
        <f t="shared" si="4"/>
        <v>0</v>
      </c>
      <c r="AP50" s="77">
        <f t="shared" si="34"/>
        <v>0</v>
      </c>
      <c r="AQ50" s="77">
        <f t="shared" si="35"/>
        <v>0</v>
      </c>
      <c r="AR50" s="77">
        <f t="shared" si="36"/>
        <v>0</v>
      </c>
      <c r="AS50" s="78">
        <f t="shared" si="5"/>
        <v>0</v>
      </c>
      <c r="AT50" s="79">
        <f t="shared" si="37"/>
        <v>0</v>
      </c>
      <c r="AU50" s="77">
        <f t="shared" si="38"/>
        <v>0</v>
      </c>
      <c r="AV50" s="77">
        <f t="shared" si="39"/>
        <v>0</v>
      </c>
      <c r="AW50" s="78">
        <f t="shared" si="51"/>
        <v>0</v>
      </c>
      <c r="AX50" s="77">
        <f t="shared" si="40"/>
        <v>0</v>
      </c>
      <c r="AY50" s="77">
        <f t="shared" si="41"/>
        <v>0</v>
      </c>
      <c r="AZ50" s="77">
        <f t="shared" si="42"/>
        <v>0</v>
      </c>
      <c r="BA50" s="78">
        <f t="shared" si="6"/>
        <v>0</v>
      </c>
      <c r="BB50" s="77">
        <f t="shared" si="43"/>
        <v>0</v>
      </c>
      <c r="BC50" s="77">
        <f t="shared" si="44"/>
        <v>0</v>
      </c>
      <c r="BD50" s="77">
        <f t="shared" si="45"/>
        <v>0</v>
      </c>
      <c r="BE50" s="80">
        <f t="shared" si="7"/>
        <v>0</v>
      </c>
      <c r="BF50" s="44">
        <f t="shared" si="46"/>
        <v>0</v>
      </c>
      <c r="BG50" s="45">
        <f t="shared" si="47"/>
        <v>0</v>
      </c>
      <c r="BH50" s="46"/>
      <c r="BI50" s="47"/>
      <c r="BJ50" s="47"/>
    </row>
    <row r="51" spans="1:62">
      <c r="A51" s="84">
        <v>50</v>
      </c>
      <c r="B51" s="48"/>
      <c r="C51" s="49"/>
      <c r="D51" s="49"/>
      <c r="E51" s="40">
        <f t="shared" si="8"/>
        <v>0</v>
      </c>
      <c r="F51" s="40">
        <f t="shared" si="9"/>
        <v>0</v>
      </c>
      <c r="G51" s="40">
        <f t="shared" si="10"/>
        <v>0</v>
      </c>
      <c r="H51" s="41">
        <f t="shared" si="48"/>
        <v>0</v>
      </c>
      <c r="I51" s="40">
        <f t="shared" si="11"/>
        <v>0</v>
      </c>
      <c r="J51" s="40">
        <f t="shared" si="12"/>
        <v>0</v>
      </c>
      <c r="K51" s="40">
        <f t="shared" si="13"/>
        <v>0</v>
      </c>
      <c r="L51" s="41">
        <f t="shared" si="0"/>
        <v>0</v>
      </c>
      <c r="M51" s="40">
        <f t="shared" si="14"/>
        <v>0</v>
      </c>
      <c r="N51" s="40">
        <f t="shared" si="15"/>
        <v>0</v>
      </c>
      <c r="O51" s="40">
        <f t="shared" si="16"/>
        <v>0</v>
      </c>
      <c r="P51" s="41">
        <f t="shared" si="1"/>
        <v>0</v>
      </c>
      <c r="Q51" s="42">
        <f t="shared" si="17"/>
        <v>0</v>
      </c>
      <c r="R51" s="40">
        <f t="shared" si="18"/>
        <v>0</v>
      </c>
      <c r="S51" s="40">
        <f t="shared" si="19"/>
        <v>0</v>
      </c>
      <c r="T51" s="41">
        <f t="shared" si="49"/>
        <v>0</v>
      </c>
      <c r="U51" s="40">
        <f t="shared" si="20"/>
        <v>0</v>
      </c>
      <c r="V51" s="40">
        <f t="shared" si="21"/>
        <v>0</v>
      </c>
      <c r="W51" s="40">
        <f t="shared" si="22"/>
        <v>0</v>
      </c>
      <c r="X51" s="41">
        <f t="shared" si="2"/>
        <v>0</v>
      </c>
      <c r="Y51" s="40">
        <f t="shared" si="23"/>
        <v>0</v>
      </c>
      <c r="Z51" s="40">
        <f t="shared" si="24"/>
        <v>0</v>
      </c>
      <c r="AA51" s="40">
        <f t="shared" si="25"/>
        <v>0</v>
      </c>
      <c r="AB51" s="43">
        <f t="shared" si="3"/>
        <v>0</v>
      </c>
      <c r="AC51" s="44">
        <f t="shared" si="26"/>
        <v>0</v>
      </c>
      <c r="AD51" s="45">
        <f t="shared" si="27"/>
        <v>0</v>
      </c>
      <c r="AE51" s="46"/>
      <c r="AF51" s="47"/>
      <c r="AG51" s="47"/>
      <c r="AH51" s="77">
        <f t="shared" si="28"/>
        <v>0</v>
      </c>
      <c r="AI51" s="77">
        <f t="shared" si="29"/>
        <v>0</v>
      </c>
      <c r="AJ51" s="77">
        <f t="shared" si="30"/>
        <v>0</v>
      </c>
      <c r="AK51" s="78">
        <f t="shared" si="50"/>
        <v>0</v>
      </c>
      <c r="AL51" s="77">
        <f t="shared" si="31"/>
        <v>0</v>
      </c>
      <c r="AM51" s="77">
        <f t="shared" si="32"/>
        <v>0</v>
      </c>
      <c r="AN51" s="77">
        <f t="shared" si="33"/>
        <v>0</v>
      </c>
      <c r="AO51" s="78">
        <f t="shared" si="4"/>
        <v>0</v>
      </c>
      <c r="AP51" s="77">
        <f t="shared" si="34"/>
        <v>0</v>
      </c>
      <c r="AQ51" s="77">
        <f t="shared" si="35"/>
        <v>0</v>
      </c>
      <c r="AR51" s="77">
        <f t="shared" si="36"/>
        <v>0</v>
      </c>
      <c r="AS51" s="78">
        <f t="shared" si="5"/>
        <v>0</v>
      </c>
      <c r="AT51" s="79">
        <f t="shared" si="37"/>
        <v>0</v>
      </c>
      <c r="AU51" s="77">
        <f t="shared" si="38"/>
        <v>0</v>
      </c>
      <c r="AV51" s="77">
        <f t="shared" si="39"/>
        <v>0</v>
      </c>
      <c r="AW51" s="78">
        <f t="shared" si="51"/>
        <v>0</v>
      </c>
      <c r="AX51" s="77">
        <f t="shared" si="40"/>
        <v>0</v>
      </c>
      <c r="AY51" s="77">
        <f t="shared" si="41"/>
        <v>0</v>
      </c>
      <c r="AZ51" s="77">
        <f t="shared" si="42"/>
        <v>0</v>
      </c>
      <c r="BA51" s="78">
        <f t="shared" si="6"/>
        <v>0</v>
      </c>
      <c r="BB51" s="77">
        <f t="shared" si="43"/>
        <v>0</v>
      </c>
      <c r="BC51" s="77">
        <f t="shared" si="44"/>
        <v>0</v>
      </c>
      <c r="BD51" s="77">
        <f t="shared" si="45"/>
        <v>0</v>
      </c>
      <c r="BE51" s="80">
        <f t="shared" si="7"/>
        <v>0</v>
      </c>
      <c r="BF51" s="44">
        <f t="shared" si="46"/>
        <v>0</v>
      </c>
      <c r="BG51" s="45">
        <f t="shared" si="47"/>
        <v>0</v>
      </c>
      <c r="BH51" s="46"/>
      <c r="BI51" s="47"/>
      <c r="BJ51" s="47"/>
    </row>
    <row r="52" spans="1:62">
      <c r="A52" s="84">
        <v>51</v>
      </c>
      <c r="B52" s="48"/>
      <c r="C52" s="49"/>
      <c r="D52" s="49"/>
      <c r="E52" s="40">
        <f t="shared" si="8"/>
        <v>0</v>
      </c>
      <c r="F52" s="40">
        <f t="shared" si="9"/>
        <v>0</v>
      </c>
      <c r="G52" s="40">
        <f t="shared" si="10"/>
        <v>0</v>
      </c>
      <c r="H52" s="41">
        <f t="shared" si="48"/>
        <v>0</v>
      </c>
      <c r="I52" s="40">
        <f t="shared" si="11"/>
        <v>0</v>
      </c>
      <c r="J52" s="40">
        <f t="shared" si="12"/>
        <v>0</v>
      </c>
      <c r="K52" s="40">
        <f t="shared" si="13"/>
        <v>0</v>
      </c>
      <c r="L52" s="41">
        <f t="shared" si="0"/>
        <v>0</v>
      </c>
      <c r="M52" s="40">
        <f t="shared" si="14"/>
        <v>0</v>
      </c>
      <c r="N52" s="40">
        <f t="shared" si="15"/>
        <v>0</v>
      </c>
      <c r="O52" s="40">
        <f t="shared" si="16"/>
        <v>0</v>
      </c>
      <c r="P52" s="41">
        <f t="shared" si="1"/>
        <v>0</v>
      </c>
      <c r="Q52" s="42">
        <f t="shared" si="17"/>
        <v>0</v>
      </c>
      <c r="R52" s="40">
        <f t="shared" si="18"/>
        <v>0</v>
      </c>
      <c r="S52" s="40">
        <f t="shared" si="19"/>
        <v>0</v>
      </c>
      <c r="T52" s="41">
        <f t="shared" si="49"/>
        <v>0</v>
      </c>
      <c r="U52" s="40">
        <f t="shared" si="20"/>
        <v>0</v>
      </c>
      <c r="V52" s="40">
        <f t="shared" si="21"/>
        <v>0</v>
      </c>
      <c r="W52" s="40">
        <f t="shared" si="22"/>
        <v>0</v>
      </c>
      <c r="X52" s="41">
        <f t="shared" si="2"/>
        <v>0</v>
      </c>
      <c r="Y52" s="40">
        <f t="shared" si="23"/>
        <v>0</v>
      </c>
      <c r="Z52" s="40">
        <f t="shared" si="24"/>
        <v>0</v>
      </c>
      <c r="AA52" s="40">
        <f t="shared" si="25"/>
        <v>0</v>
      </c>
      <c r="AB52" s="43">
        <f t="shared" si="3"/>
        <v>0</v>
      </c>
      <c r="AC52" s="44">
        <f t="shared" si="26"/>
        <v>0</v>
      </c>
      <c r="AD52" s="45">
        <f t="shared" si="27"/>
        <v>0</v>
      </c>
      <c r="AE52" s="46"/>
      <c r="AF52" s="47"/>
      <c r="AG52" s="47"/>
      <c r="AH52" s="77">
        <f t="shared" si="28"/>
        <v>0</v>
      </c>
      <c r="AI52" s="77">
        <f t="shared" si="29"/>
        <v>0</v>
      </c>
      <c r="AJ52" s="77">
        <f t="shared" si="30"/>
        <v>0</v>
      </c>
      <c r="AK52" s="78">
        <f t="shared" si="50"/>
        <v>0</v>
      </c>
      <c r="AL52" s="77">
        <f t="shared" si="31"/>
        <v>0</v>
      </c>
      <c r="AM52" s="77">
        <f t="shared" si="32"/>
        <v>0</v>
      </c>
      <c r="AN52" s="77">
        <f t="shared" si="33"/>
        <v>0</v>
      </c>
      <c r="AO52" s="78">
        <f t="shared" si="4"/>
        <v>0</v>
      </c>
      <c r="AP52" s="77">
        <f t="shared" si="34"/>
        <v>0</v>
      </c>
      <c r="AQ52" s="77">
        <f t="shared" si="35"/>
        <v>0</v>
      </c>
      <c r="AR52" s="77">
        <f t="shared" si="36"/>
        <v>0</v>
      </c>
      <c r="AS52" s="78">
        <f t="shared" si="5"/>
        <v>0</v>
      </c>
      <c r="AT52" s="79">
        <f t="shared" si="37"/>
        <v>0</v>
      </c>
      <c r="AU52" s="77">
        <f t="shared" si="38"/>
        <v>0</v>
      </c>
      <c r="AV52" s="77">
        <f t="shared" si="39"/>
        <v>0</v>
      </c>
      <c r="AW52" s="78">
        <f t="shared" si="51"/>
        <v>0</v>
      </c>
      <c r="AX52" s="77">
        <f t="shared" si="40"/>
        <v>0</v>
      </c>
      <c r="AY52" s="77">
        <f t="shared" si="41"/>
        <v>0</v>
      </c>
      <c r="AZ52" s="77">
        <f t="shared" si="42"/>
        <v>0</v>
      </c>
      <c r="BA52" s="78">
        <f t="shared" si="6"/>
        <v>0</v>
      </c>
      <c r="BB52" s="77">
        <f t="shared" si="43"/>
        <v>0</v>
      </c>
      <c r="BC52" s="77">
        <f t="shared" si="44"/>
        <v>0</v>
      </c>
      <c r="BD52" s="77">
        <f t="shared" si="45"/>
        <v>0</v>
      </c>
      <c r="BE52" s="80">
        <f t="shared" si="7"/>
        <v>0</v>
      </c>
      <c r="BF52" s="44">
        <f t="shared" si="46"/>
        <v>0</v>
      </c>
      <c r="BG52" s="45">
        <f t="shared" si="47"/>
        <v>0</v>
      </c>
      <c r="BH52" s="46"/>
      <c r="BI52" s="47"/>
      <c r="BJ52" s="47"/>
    </row>
    <row r="53" spans="1:62">
      <c r="A53" s="84">
        <v>52</v>
      </c>
      <c r="B53" s="48"/>
      <c r="C53" s="49"/>
      <c r="D53" s="49"/>
      <c r="E53" s="40">
        <f t="shared" si="8"/>
        <v>0</v>
      </c>
      <c r="F53" s="40">
        <f t="shared" si="9"/>
        <v>0</v>
      </c>
      <c r="G53" s="40">
        <f t="shared" si="10"/>
        <v>0</v>
      </c>
      <c r="H53" s="41">
        <f t="shared" si="48"/>
        <v>0</v>
      </c>
      <c r="I53" s="40">
        <f t="shared" si="11"/>
        <v>0</v>
      </c>
      <c r="J53" s="40">
        <f t="shared" si="12"/>
        <v>0</v>
      </c>
      <c r="K53" s="40">
        <f t="shared" si="13"/>
        <v>0</v>
      </c>
      <c r="L53" s="41">
        <f t="shared" si="0"/>
        <v>0</v>
      </c>
      <c r="M53" s="40">
        <f t="shared" si="14"/>
        <v>0</v>
      </c>
      <c r="N53" s="40">
        <f t="shared" si="15"/>
        <v>0</v>
      </c>
      <c r="O53" s="40">
        <f t="shared" si="16"/>
        <v>0</v>
      </c>
      <c r="P53" s="41">
        <f t="shared" si="1"/>
        <v>0</v>
      </c>
      <c r="Q53" s="42">
        <f t="shared" si="17"/>
        <v>0</v>
      </c>
      <c r="R53" s="40">
        <f t="shared" si="18"/>
        <v>0</v>
      </c>
      <c r="S53" s="40">
        <f t="shared" si="19"/>
        <v>0</v>
      </c>
      <c r="T53" s="41">
        <f t="shared" si="49"/>
        <v>0</v>
      </c>
      <c r="U53" s="40">
        <f t="shared" si="20"/>
        <v>0</v>
      </c>
      <c r="V53" s="40">
        <f t="shared" si="21"/>
        <v>0</v>
      </c>
      <c r="W53" s="40">
        <f t="shared" si="22"/>
        <v>0</v>
      </c>
      <c r="X53" s="41">
        <f t="shared" si="2"/>
        <v>0</v>
      </c>
      <c r="Y53" s="40">
        <f t="shared" si="23"/>
        <v>0</v>
      </c>
      <c r="Z53" s="40">
        <f t="shared" si="24"/>
        <v>0</v>
      </c>
      <c r="AA53" s="40">
        <f t="shared" si="25"/>
        <v>0</v>
      </c>
      <c r="AB53" s="43">
        <f t="shared" si="3"/>
        <v>0</v>
      </c>
      <c r="AC53" s="44">
        <f t="shared" si="26"/>
        <v>0</v>
      </c>
      <c r="AD53" s="45">
        <f t="shared" si="27"/>
        <v>0</v>
      </c>
      <c r="AE53" s="46"/>
      <c r="AF53" s="47"/>
      <c r="AG53" s="47"/>
      <c r="AH53" s="77">
        <f t="shared" si="28"/>
        <v>0</v>
      </c>
      <c r="AI53" s="77">
        <f t="shared" si="29"/>
        <v>0</v>
      </c>
      <c r="AJ53" s="77">
        <f t="shared" si="30"/>
        <v>0</v>
      </c>
      <c r="AK53" s="78">
        <f t="shared" si="50"/>
        <v>0</v>
      </c>
      <c r="AL53" s="77">
        <f t="shared" si="31"/>
        <v>0</v>
      </c>
      <c r="AM53" s="77">
        <f t="shared" si="32"/>
        <v>0</v>
      </c>
      <c r="AN53" s="77">
        <f t="shared" si="33"/>
        <v>0</v>
      </c>
      <c r="AO53" s="78">
        <f t="shared" si="4"/>
        <v>0</v>
      </c>
      <c r="AP53" s="77">
        <f t="shared" si="34"/>
        <v>0</v>
      </c>
      <c r="AQ53" s="77">
        <f t="shared" si="35"/>
        <v>0</v>
      </c>
      <c r="AR53" s="77">
        <f t="shared" si="36"/>
        <v>0</v>
      </c>
      <c r="AS53" s="78">
        <f t="shared" si="5"/>
        <v>0</v>
      </c>
      <c r="AT53" s="79">
        <f t="shared" si="37"/>
        <v>0</v>
      </c>
      <c r="AU53" s="77">
        <f t="shared" si="38"/>
        <v>0</v>
      </c>
      <c r="AV53" s="77">
        <f t="shared" si="39"/>
        <v>0</v>
      </c>
      <c r="AW53" s="78">
        <f t="shared" si="51"/>
        <v>0</v>
      </c>
      <c r="AX53" s="77">
        <f t="shared" si="40"/>
        <v>0</v>
      </c>
      <c r="AY53" s="77">
        <f t="shared" si="41"/>
        <v>0</v>
      </c>
      <c r="AZ53" s="77">
        <f t="shared" si="42"/>
        <v>0</v>
      </c>
      <c r="BA53" s="78">
        <f t="shared" si="6"/>
        <v>0</v>
      </c>
      <c r="BB53" s="77">
        <f t="shared" si="43"/>
        <v>0</v>
      </c>
      <c r="BC53" s="77">
        <f t="shared" si="44"/>
        <v>0</v>
      </c>
      <c r="BD53" s="77">
        <f t="shared" si="45"/>
        <v>0</v>
      </c>
      <c r="BE53" s="80">
        <f t="shared" si="7"/>
        <v>0</v>
      </c>
      <c r="BF53" s="44">
        <f t="shared" si="46"/>
        <v>0</v>
      </c>
      <c r="BG53" s="45">
        <f t="shared" si="47"/>
        <v>0</v>
      </c>
      <c r="BH53" s="46"/>
      <c r="BI53" s="47"/>
      <c r="BJ53" s="47"/>
    </row>
    <row r="54" spans="1:62">
      <c r="A54" s="84">
        <v>53</v>
      </c>
      <c r="B54" s="48"/>
      <c r="C54" s="49"/>
      <c r="D54" s="49"/>
      <c r="E54" s="40">
        <f t="shared" si="8"/>
        <v>0</v>
      </c>
      <c r="F54" s="40">
        <f t="shared" si="9"/>
        <v>0</v>
      </c>
      <c r="G54" s="40">
        <f t="shared" si="10"/>
        <v>0</v>
      </c>
      <c r="H54" s="41">
        <f t="shared" si="48"/>
        <v>0</v>
      </c>
      <c r="I54" s="40">
        <f t="shared" si="11"/>
        <v>0</v>
      </c>
      <c r="J54" s="40">
        <f t="shared" si="12"/>
        <v>0</v>
      </c>
      <c r="K54" s="40">
        <f t="shared" si="13"/>
        <v>0</v>
      </c>
      <c r="L54" s="41">
        <f t="shared" si="0"/>
        <v>0</v>
      </c>
      <c r="M54" s="40">
        <f t="shared" si="14"/>
        <v>0</v>
      </c>
      <c r="N54" s="40">
        <f t="shared" si="15"/>
        <v>0</v>
      </c>
      <c r="O54" s="40">
        <f t="shared" si="16"/>
        <v>0</v>
      </c>
      <c r="P54" s="41">
        <f t="shared" si="1"/>
        <v>0</v>
      </c>
      <c r="Q54" s="42">
        <f t="shared" si="17"/>
        <v>0</v>
      </c>
      <c r="R54" s="40">
        <f t="shared" si="18"/>
        <v>0</v>
      </c>
      <c r="S54" s="40">
        <f t="shared" si="19"/>
        <v>0</v>
      </c>
      <c r="T54" s="41">
        <f t="shared" si="49"/>
        <v>0</v>
      </c>
      <c r="U54" s="40">
        <f t="shared" si="20"/>
        <v>0</v>
      </c>
      <c r="V54" s="40">
        <f t="shared" si="21"/>
        <v>0</v>
      </c>
      <c r="W54" s="40">
        <f t="shared" si="22"/>
        <v>0</v>
      </c>
      <c r="X54" s="41">
        <f t="shared" si="2"/>
        <v>0</v>
      </c>
      <c r="Y54" s="40">
        <f t="shared" si="23"/>
        <v>0</v>
      </c>
      <c r="Z54" s="40">
        <f t="shared" si="24"/>
        <v>0</v>
      </c>
      <c r="AA54" s="40">
        <f t="shared" si="25"/>
        <v>0</v>
      </c>
      <c r="AB54" s="43">
        <f t="shared" si="3"/>
        <v>0</v>
      </c>
      <c r="AC54" s="44">
        <f t="shared" si="26"/>
        <v>0</v>
      </c>
      <c r="AD54" s="45">
        <f t="shared" si="27"/>
        <v>0</v>
      </c>
      <c r="AE54" s="46"/>
      <c r="AF54" s="47"/>
      <c r="AG54" s="47"/>
      <c r="AH54" s="77">
        <f t="shared" si="28"/>
        <v>0</v>
      </c>
      <c r="AI54" s="77">
        <f t="shared" si="29"/>
        <v>0</v>
      </c>
      <c r="AJ54" s="77">
        <f t="shared" si="30"/>
        <v>0</v>
      </c>
      <c r="AK54" s="78">
        <f t="shared" si="50"/>
        <v>0</v>
      </c>
      <c r="AL54" s="77">
        <f t="shared" si="31"/>
        <v>0</v>
      </c>
      <c r="AM54" s="77">
        <f t="shared" si="32"/>
        <v>0</v>
      </c>
      <c r="AN54" s="77">
        <f t="shared" si="33"/>
        <v>0</v>
      </c>
      <c r="AO54" s="78">
        <f t="shared" si="4"/>
        <v>0</v>
      </c>
      <c r="AP54" s="77">
        <f t="shared" si="34"/>
        <v>0</v>
      </c>
      <c r="AQ54" s="77">
        <f t="shared" si="35"/>
        <v>0</v>
      </c>
      <c r="AR54" s="77">
        <f t="shared" si="36"/>
        <v>0</v>
      </c>
      <c r="AS54" s="78">
        <f t="shared" si="5"/>
        <v>0</v>
      </c>
      <c r="AT54" s="79">
        <f t="shared" si="37"/>
        <v>0</v>
      </c>
      <c r="AU54" s="77">
        <f t="shared" si="38"/>
        <v>0</v>
      </c>
      <c r="AV54" s="77">
        <f t="shared" si="39"/>
        <v>0</v>
      </c>
      <c r="AW54" s="78">
        <f t="shared" si="51"/>
        <v>0</v>
      </c>
      <c r="AX54" s="77">
        <f t="shared" si="40"/>
        <v>0</v>
      </c>
      <c r="AY54" s="77">
        <f t="shared" si="41"/>
        <v>0</v>
      </c>
      <c r="AZ54" s="77">
        <f t="shared" si="42"/>
        <v>0</v>
      </c>
      <c r="BA54" s="78">
        <f t="shared" si="6"/>
        <v>0</v>
      </c>
      <c r="BB54" s="77">
        <f t="shared" si="43"/>
        <v>0</v>
      </c>
      <c r="BC54" s="77">
        <f t="shared" si="44"/>
        <v>0</v>
      </c>
      <c r="BD54" s="77">
        <f t="shared" si="45"/>
        <v>0</v>
      </c>
      <c r="BE54" s="80">
        <f t="shared" si="7"/>
        <v>0</v>
      </c>
      <c r="BF54" s="44">
        <f t="shared" si="46"/>
        <v>0</v>
      </c>
      <c r="BG54" s="45">
        <f t="shared" si="47"/>
        <v>0</v>
      </c>
      <c r="BH54" s="46"/>
      <c r="BI54" s="47"/>
      <c r="BJ54" s="47"/>
    </row>
    <row r="55" spans="1:62">
      <c r="A55" s="84">
        <v>54</v>
      </c>
      <c r="B55" s="48"/>
      <c r="C55" s="49"/>
      <c r="D55" s="49"/>
      <c r="E55" s="40">
        <f t="shared" si="8"/>
        <v>0</v>
      </c>
      <c r="F55" s="40">
        <f t="shared" si="9"/>
        <v>0</v>
      </c>
      <c r="G55" s="40">
        <f t="shared" si="10"/>
        <v>0</v>
      </c>
      <c r="H55" s="41">
        <f t="shared" si="48"/>
        <v>0</v>
      </c>
      <c r="I55" s="40">
        <f t="shared" si="11"/>
        <v>0</v>
      </c>
      <c r="J55" s="40">
        <f t="shared" si="12"/>
        <v>0</v>
      </c>
      <c r="K55" s="40">
        <f t="shared" si="13"/>
        <v>0</v>
      </c>
      <c r="L55" s="41">
        <f t="shared" si="0"/>
        <v>0</v>
      </c>
      <c r="M55" s="40">
        <f t="shared" si="14"/>
        <v>0</v>
      </c>
      <c r="N55" s="40">
        <f t="shared" si="15"/>
        <v>0</v>
      </c>
      <c r="O55" s="40">
        <f t="shared" si="16"/>
        <v>0</v>
      </c>
      <c r="P55" s="41">
        <f t="shared" si="1"/>
        <v>0</v>
      </c>
      <c r="Q55" s="42">
        <f t="shared" si="17"/>
        <v>0</v>
      </c>
      <c r="R55" s="40">
        <f t="shared" si="18"/>
        <v>0</v>
      </c>
      <c r="S55" s="40">
        <f t="shared" si="19"/>
        <v>0</v>
      </c>
      <c r="T55" s="41">
        <f t="shared" si="49"/>
        <v>0</v>
      </c>
      <c r="U55" s="40">
        <f t="shared" si="20"/>
        <v>0</v>
      </c>
      <c r="V55" s="40">
        <f t="shared" si="21"/>
        <v>0</v>
      </c>
      <c r="W55" s="40">
        <f t="shared" si="22"/>
        <v>0</v>
      </c>
      <c r="X55" s="41">
        <f t="shared" si="2"/>
        <v>0</v>
      </c>
      <c r="Y55" s="40">
        <f t="shared" si="23"/>
        <v>0</v>
      </c>
      <c r="Z55" s="40">
        <f t="shared" si="24"/>
        <v>0</v>
      </c>
      <c r="AA55" s="40">
        <f t="shared" si="25"/>
        <v>0</v>
      </c>
      <c r="AB55" s="43">
        <f t="shared" si="3"/>
        <v>0</v>
      </c>
      <c r="AC55" s="44">
        <f t="shared" si="26"/>
        <v>0</v>
      </c>
      <c r="AD55" s="45">
        <f t="shared" si="27"/>
        <v>0</v>
      </c>
      <c r="AE55" s="46"/>
      <c r="AF55" s="47"/>
      <c r="AG55" s="47"/>
      <c r="AH55" s="77">
        <f t="shared" si="28"/>
        <v>0</v>
      </c>
      <c r="AI55" s="77">
        <f t="shared" si="29"/>
        <v>0</v>
      </c>
      <c r="AJ55" s="77">
        <f t="shared" si="30"/>
        <v>0</v>
      </c>
      <c r="AK55" s="78">
        <f t="shared" si="50"/>
        <v>0</v>
      </c>
      <c r="AL55" s="77">
        <f t="shared" si="31"/>
        <v>0</v>
      </c>
      <c r="AM55" s="77">
        <f t="shared" si="32"/>
        <v>0</v>
      </c>
      <c r="AN55" s="77">
        <f t="shared" si="33"/>
        <v>0</v>
      </c>
      <c r="AO55" s="78">
        <f t="shared" si="4"/>
        <v>0</v>
      </c>
      <c r="AP55" s="77">
        <f t="shared" si="34"/>
        <v>0</v>
      </c>
      <c r="AQ55" s="77">
        <f t="shared" si="35"/>
        <v>0</v>
      </c>
      <c r="AR55" s="77">
        <f t="shared" si="36"/>
        <v>0</v>
      </c>
      <c r="AS55" s="78">
        <f t="shared" si="5"/>
        <v>0</v>
      </c>
      <c r="AT55" s="79">
        <f t="shared" si="37"/>
        <v>0</v>
      </c>
      <c r="AU55" s="77">
        <f t="shared" si="38"/>
        <v>0</v>
      </c>
      <c r="AV55" s="77">
        <f t="shared" si="39"/>
        <v>0</v>
      </c>
      <c r="AW55" s="78">
        <f t="shared" si="51"/>
        <v>0</v>
      </c>
      <c r="AX55" s="77">
        <f t="shared" si="40"/>
        <v>0</v>
      </c>
      <c r="AY55" s="77">
        <f t="shared" si="41"/>
        <v>0</v>
      </c>
      <c r="AZ55" s="77">
        <f t="shared" si="42"/>
        <v>0</v>
      </c>
      <c r="BA55" s="78">
        <f t="shared" si="6"/>
        <v>0</v>
      </c>
      <c r="BB55" s="77">
        <f t="shared" si="43"/>
        <v>0</v>
      </c>
      <c r="BC55" s="77">
        <f t="shared" si="44"/>
        <v>0</v>
      </c>
      <c r="BD55" s="77">
        <f t="shared" si="45"/>
        <v>0</v>
      </c>
      <c r="BE55" s="80">
        <f t="shared" si="7"/>
        <v>0</v>
      </c>
      <c r="BF55" s="44">
        <f t="shared" si="46"/>
        <v>0</v>
      </c>
      <c r="BG55" s="45">
        <f t="shared" si="47"/>
        <v>0</v>
      </c>
      <c r="BH55" s="46"/>
      <c r="BI55" s="47"/>
      <c r="BJ55" s="47"/>
    </row>
    <row r="56" spans="1:62">
      <c r="A56" s="84">
        <v>55</v>
      </c>
      <c r="B56" s="48"/>
      <c r="C56" s="49"/>
      <c r="D56" s="49"/>
      <c r="E56" s="40">
        <f t="shared" si="8"/>
        <v>0</v>
      </c>
      <c r="F56" s="40">
        <f t="shared" si="9"/>
        <v>0</v>
      </c>
      <c r="G56" s="40">
        <f t="shared" si="10"/>
        <v>0</v>
      </c>
      <c r="H56" s="41">
        <f t="shared" si="48"/>
        <v>0</v>
      </c>
      <c r="I56" s="40">
        <f t="shared" si="11"/>
        <v>0</v>
      </c>
      <c r="J56" s="40">
        <f t="shared" si="12"/>
        <v>0</v>
      </c>
      <c r="K56" s="40">
        <f t="shared" si="13"/>
        <v>0</v>
      </c>
      <c r="L56" s="41">
        <f t="shared" si="0"/>
        <v>0</v>
      </c>
      <c r="M56" s="40">
        <f t="shared" si="14"/>
        <v>0</v>
      </c>
      <c r="N56" s="40">
        <f t="shared" si="15"/>
        <v>0</v>
      </c>
      <c r="O56" s="40">
        <f t="shared" si="16"/>
        <v>0</v>
      </c>
      <c r="P56" s="41">
        <f t="shared" si="1"/>
        <v>0</v>
      </c>
      <c r="Q56" s="42">
        <f t="shared" si="17"/>
        <v>0</v>
      </c>
      <c r="R56" s="40">
        <f t="shared" si="18"/>
        <v>0</v>
      </c>
      <c r="S56" s="40">
        <f t="shared" si="19"/>
        <v>0</v>
      </c>
      <c r="T56" s="41">
        <f t="shared" si="49"/>
        <v>0</v>
      </c>
      <c r="U56" s="40">
        <f t="shared" si="20"/>
        <v>0</v>
      </c>
      <c r="V56" s="40">
        <f t="shared" si="21"/>
        <v>0</v>
      </c>
      <c r="W56" s="40">
        <f t="shared" si="22"/>
        <v>0</v>
      </c>
      <c r="X56" s="41">
        <f t="shared" si="2"/>
        <v>0</v>
      </c>
      <c r="Y56" s="40">
        <f t="shared" si="23"/>
        <v>0</v>
      </c>
      <c r="Z56" s="40">
        <f t="shared" si="24"/>
        <v>0</v>
      </c>
      <c r="AA56" s="40">
        <f t="shared" si="25"/>
        <v>0</v>
      </c>
      <c r="AB56" s="43">
        <f t="shared" si="3"/>
        <v>0</v>
      </c>
      <c r="AC56" s="44">
        <f t="shared" si="26"/>
        <v>0</v>
      </c>
      <c r="AD56" s="45">
        <f t="shared" si="27"/>
        <v>0</v>
      </c>
      <c r="AE56" s="46"/>
      <c r="AF56" s="47"/>
      <c r="AG56" s="47"/>
      <c r="AH56" s="77">
        <f t="shared" si="28"/>
        <v>0</v>
      </c>
      <c r="AI56" s="77">
        <f t="shared" si="29"/>
        <v>0</v>
      </c>
      <c r="AJ56" s="77">
        <f t="shared" si="30"/>
        <v>0</v>
      </c>
      <c r="AK56" s="78">
        <f t="shared" si="50"/>
        <v>0</v>
      </c>
      <c r="AL56" s="77">
        <f t="shared" si="31"/>
        <v>0</v>
      </c>
      <c r="AM56" s="77">
        <f t="shared" si="32"/>
        <v>0</v>
      </c>
      <c r="AN56" s="77">
        <f t="shared" si="33"/>
        <v>0</v>
      </c>
      <c r="AO56" s="78">
        <f t="shared" si="4"/>
        <v>0</v>
      </c>
      <c r="AP56" s="77">
        <f t="shared" si="34"/>
        <v>0</v>
      </c>
      <c r="AQ56" s="77">
        <f t="shared" si="35"/>
        <v>0</v>
      </c>
      <c r="AR56" s="77">
        <f t="shared" si="36"/>
        <v>0</v>
      </c>
      <c r="AS56" s="78">
        <f t="shared" si="5"/>
        <v>0</v>
      </c>
      <c r="AT56" s="79">
        <f t="shared" si="37"/>
        <v>0</v>
      </c>
      <c r="AU56" s="77">
        <f t="shared" si="38"/>
        <v>0</v>
      </c>
      <c r="AV56" s="77">
        <f t="shared" si="39"/>
        <v>0</v>
      </c>
      <c r="AW56" s="78">
        <f t="shared" si="51"/>
        <v>0</v>
      </c>
      <c r="AX56" s="77">
        <f t="shared" si="40"/>
        <v>0</v>
      </c>
      <c r="AY56" s="77">
        <f t="shared" si="41"/>
        <v>0</v>
      </c>
      <c r="AZ56" s="77">
        <f t="shared" si="42"/>
        <v>0</v>
      </c>
      <c r="BA56" s="78">
        <f t="shared" si="6"/>
        <v>0</v>
      </c>
      <c r="BB56" s="77">
        <f t="shared" si="43"/>
        <v>0</v>
      </c>
      <c r="BC56" s="77">
        <f t="shared" si="44"/>
        <v>0</v>
      </c>
      <c r="BD56" s="77">
        <f t="shared" si="45"/>
        <v>0</v>
      </c>
      <c r="BE56" s="80">
        <f t="shared" si="7"/>
        <v>0</v>
      </c>
      <c r="BF56" s="44">
        <f t="shared" si="46"/>
        <v>0</v>
      </c>
      <c r="BG56" s="45">
        <f t="shared" si="47"/>
        <v>0</v>
      </c>
      <c r="BH56" s="46"/>
      <c r="BI56" s="47"/>
      <c r="BJ56" s="47"/>
    </row>
    <row r="57" spans="1:62">
      <c r="A57" s="84">
        <v>56</v>
      </c>
      <c r="B57" s="48"/>
      <c r="C57" s="49"/>
      <c r="D57" s="49"/>
      <c r="E57" s="40">
        <f t="shared" si="8"/>
        <v>0</v>
      </c>
      <c r="F57" s="40">
        <f t="shared" si="9"/>
        <v>0</v>
      </c>
      <c r="G57" s="40">
        <f t="shared" si="10"/>
        <v>0</v>
      </c>
      <c r="H57" s="41">
        <f t="shared" si="48"/>
        <v>0</v>
      </c>
      <c r="I57" s="40">
        <f t="shared" si="11"/>
        <v>0</v>
      </c>
      <c r="J57" s="40">
        <f t="shared" si="12"/>
        <v>0</v>
      </c>
      <c r="K57" s="40">
        <f t="shared" si="13"/>
        <v>0</v>
      </c>
      <c r="L57" s="41">
        <f t="shared" si="0"/>
        <v>0</v>
      </c>
      <c r="M57" s="40">
        <f t="shared" si="14"/>
        <v>0</v>
      </c>
      <c r="N57" s="40">
        <f t="shared" si="15"/>
        <v>0</v>
      </c>
      <c r="O57" s="40">
        <f t="shared" si="16"/>
        <v>0</v>
      </c>
      <c r="P57" s="41">
        <f t="shared" si="1"/>
        <v>0</v>
      </c>
      <c r="Q57" s="42">
        <f t="shared" si="17"/>
        <v>0</v>
      </c>
      <c r="R57" s="40">
        <f t="shared" si="18"/>
        <v>0</v>
      </c>
      <c r="S57" s="40">
        <f t="shared" si="19"/>
        <v>0</v>
      </c>
      <c r="T57" s="41">
        <f t="shared" si="49"/>
        <v>0</v>
      </c>
      <c r="U57" s="40">
        <f t="shared" si="20"/>
        <v>0</v>
      </c>
      <c r="V57" s="40">
        <f t="shared" si="21"/>
        <v>0</v>
      </c>
      <c r="W57" s="40">
        <f t="shared" si="22"/>
        <v>0</v>
      </c>
      <c r="X57" s="41">
        <f t="shared" si="2"/>
        <v>0</v>
      </c>
      <c r="Y57" s="40">
        <f t="shared" si="23"/>
        <v>0</v>
      </c>
      <c r="Z57" s="40">
        <f t="shared" si="24"/>
        <v>0</v>
      </c>
      <c r="AA57" s="40">
        <f t="shared" si="25"/>
        <v>0</v>
      </c>
      <c r="AB57" s="43">
        <f t="shared" si="3"/>
        <v>0</v>
      </c>
      <c r="AC57" s="44">
        <f t="shared" si="26"/>
        <v>0</v>
      </c>
      <c r="AD57" s="45">
        <f t="shared" si="27"/>
        <v>0</v>
      </c>
      <c r="AE57" s="46"/>
      <c r="AF57" s="47"/>
      <c r="AG57" s="47"/>
      <c r="AH57" s="77">
        <f t="shared" si="28"/>
        <v>0</v>
      </c>
      <c r="AI57" s="77">
        <f t="shared" si="29"/>
        <v>0</v>
      </c>
      <c r="AJ57" s="77">
        <f t="shared" si="30"/>
        <v>0</v>
      </c>
      <c r="AK57" s="78">
        <f t="shared" si="50"/>
        <v>0</v>
      </c>
      <c r="AL57" s="77">
        <f t="shared" si="31"/>
        <v>0</v>
      </c>
      <c r="AM57" s="77">
        <f t="shared" si="32"/>
        <v>0</v>
      </c>
      <c r="AN57" s="77">
        <f t="shared" si="33"/>
        <v>0</v>
      </c>
      <c r="AO57" s="78">
        <f t="shared" si="4"/>
        <v>0</v>
      </c>
      <c r="AP57" s="77">
        <f t="shared" si="34"/>
        <v>0</v>
      </c>
      <c r="AQ57" s="77">
        <f t="shared" si="35"/>
        <v>0</v>
      </c>
      <c r="AR57" s="77">
        <f t="shared" si="36"/>
        <v>0</v>
      </c>
      <c r="AS57" s="78">
        <f t="shared" si="5"/>
        <v>0</v>
      </c>
      <c r="AT57" s="79">
        <f t="shared" si="37"/>
        <v>0</v>
      </c>
      <c r="AU57" s="77">
        <f t="shared" si="38"/>
        <v>0</v>
      </c>
      <c r="AV57" s="77">
        <f t="shared" si="39"/>
        <v>0</v>
      </c>
      <c r="AW57" s="78">
        <f t="shared" si="51"/>
        <v>0</v>
      </c>
      <c r="AX57" s="77">
        <f t="shared" si="40"/>
        <v>0</v>
      </c>
      <c r="AY57" s="77">
        <f t="shared" si="41"/>
        <v>0</v>
      </c>
      <c r="AZ57" s="77">
        <f t="shared" si="42"/>
        <v>0</v>
      </c>
      <c r="BA57" s="78">
        <f t="shared" si="6"/>
        <v>0</v>
      </c>
      <c r="BB57" s="77">
        <f t="shared" si="43"/>
        <v>0</v>
      </c>
      <c r="BC57" s="77">
        <f t="shared" si="44"/>
        <v>0</v>
      </c>
      <c r="BD57" s="77">
        <f t="shared" si="45"/>
        <v>0</v>
      </c>
      <c r="BE57" s="80">
        <f t="shared" si="7"/>
        <v>0</v>
      </c>
      <c r="BF57" s="44">
        <f t="shared" si="46"/>
        <v>0</v>
      </c>
      <c r="BG57" s="45">
        <f t="shared" si="47"/>
        <v>0</v>
      </c>
      <c r="BH57" s="46"/>
      <c r="BI57" s="47"/>
      <c r="BJ57" s="47"/>
    </row>
    <row r="58" spans="1:62">
      <c r="A58" s="84">
        <v>57</v>
      </c>
      <c r="B58" s="48"/>
      <c r="C58" s="49"/>
      <c r="D58" s="49"/>
      <c r="E58" s="40">
        <f t="shared" si="8"/>
        <v>0</v>
      </c>
      <c r="F58" s="40">
        <f t="shared" si="9"/>
        <v>0</v>
      </c>
      <c r="G58" s="40">
        <f t="shared" si="10"/>
        <v>0</v>
      </c>
      <c r="H58" s="41">
        <f t="shared" si="48"/>
        <v>0</v>
      </c>
      <c r="I58" s="40">
        <f t="shared" si="11"/>
        <v>0</v>
      </c>
      <c r="J58" s="40">
        <f t="shared" si="12"/>
        <v>0</v>
      </c>
      <c r="K58" s="40">
        <f t="shared" si="13"/>
        <v>0</v>
      </c>
      <c r="L58" s="41">
        <f t="shared" si="0"/>
        <v>0</v>
      </c>
      <c r="M58" s="40">
        <f t="shared" si="14"/>
        <v>0</v>
      </c>
      <c r="N58" s="40">
        <f t="shared" si="15"/>
        <v>0</v>
      </c>
      <c r="O58" s="40">
        <f t="shared" si="16"/>
        <v>0</v>
      </c>
      <c r="P58" s="41">
        <f t="shared" si="1"/>
        <v>0</v>
      </c>
      <c r="Q58" s="42">
        <f t="shared" si="17"/>
        <v>0</v>
      </c>
      <c r="R58" s="40">
        <f t="shared" si="18"/>
        <v>0</v>
      </c>
      <c r="S58" s="40">
        <f t="shared" si="19"/>
        <v>0</v>
      </c>
      <c r="T58" s="41">
        <f t="shared" si="49"/>
        <v>0</v>
      </c>
      <c r="U58" s="40">
        <f t="shared" si="20"/>
        <v>0</v>
      </c>
      <c r="V58" s="40">
        <f t="shared" si="21"/>
        <v>0</v>
      </c>
      <c r="W58" s="40">
        <f t="shared" si="22"/>
        <v>0</v>
      </c>
      <c r="X58" s="41">
        <f t="shared" si="2"/>
        <v>0</v>
      </c>
      <c r="Y58" s="40">
        <f t="shared" si="23"/>
        <v>0</v>
      </c>
      <c r="Z58" s="40">
        <f t="shared" si="24"/>
        <v>0</v>
      </c>
      <c r="AA58" s="40">
        <f t="shared" si="25"/>
        <v>0</v>
      </c>
      <c r="AB58" s="43">
        <f t="shared" si="3"/>
        <v>0</v>
      </c>
      <c r="AC58" s="44">
        <f t="shared" si="26"/>
        <v>0</v>
      </c>
      <c r="AD58" s="45">
        <f t="shared" si="27"/>
        <v>0</v>
      </c>
      <c r="AE58" s="46"/>
      <c r="AF58" s="47"/>
      <c r="AG58" s="47"/>
      <c r="AH58" s="77">
        <f t="shared" si="28"/>
        <v>0</v>
      </c>
      <c r="AI58" s="77">
        <f t="shared" si="29"/>
        <v>0</v>
      </c>
      <c r="AJ58" s="77">
        <f t="shared" si="30"/>
        <v>0</v>
      </c>
      <c r="AK58" s="78">
        <f t="shared" si="50"/>
        <v>0</v>
      </c>
      <c r="AL58" s="77">
        <f t="shared" si="31"/>
        <v>0</v>
      </c>
      <c r="AM58" s="77">
        <f t="shared" si="32"/>
        <v>0</v>
      </c>
      <c r="AN58" s="77">
        <f t="shared" si="33"/>
        <v>0</v>
      </c>
      <c r="AO58" s="78">
        <f t="shared" si="4"/>
        <v>0</v>
      </c>
      <c r="AP58" s="77">
        <f t="shared" si="34"/>
        <v>0</v>
      </c>
      <c r="AQ58" s="77">
        <f t="shared" si="35"/>
        <v>0</v>
      </c>
      <c r="AR58" s="77">
        <f t="shared" si="36"/>
        <v>0</v>
      </c>
      <c r="AS58" s="78">
        <f t="shared" si="5"/>
        <v>0</v>
      </c>
      <c r="AT58" s="79">
        <f t="shared" si="37"/>
        <v>0</v>
      </c>
      <c r="AU58" s="77">
        <f t="shared" si="38"/>
        <v>0</v>
      </c>
      <c r="AV58" s="77">
        <f t="shared" si="39"/>
        <v>0</v>
      </c>
      <c r="AW58" s="78">
        <f t="shared" si="51"/>
        <v>0</v>
      </c>
      <c r="AX58" s="77">
        <f t="shared" si="40"/>
        <v>0</v>
      </c>
      <c r="AY58" s="77">
        <f t="shared" si="41"/>
        <v>0</v>
      </c>
      <c r="AZ58" s="77">
        <f t="shared" si="42"/>
        <v>0</v>
      </c>
      <c r="BA58" s="78">
        <f t="shared" si="6"/>
        <v>0</v>
      </c>
      <c r="BB58" s="77">
        <f t="shared" si="43"/>
        <v>0</v>
      </c>
      <c r="BC58" s="77">
        <f t="shared" si="44"/>
        <v>0</v>
      </c>
      <c r="BD58" s="77">
        <f t="shared" si="45"/>
        <v>0</v>
      </c>
      <c r="BE58" s="80">
        <f t="shared" si="7"/>
        <v>0</v>
      </c>
      <c r="BF58" s="44">
        <f t="shared" si="46"/>
        <v>0</v>
      </c>
      <c r="BG58" s="45">
        <f t="shared" si="47"/>
        <v>0</v>
      </c>
      <c r="BH58" s="46"/>
      <c r="BI58" s="47"/>
      <c r="BJ58" s="47"/>
    </row>
    <row r="59" spans="1:62">
      <c r="A59" s="84">
        <v>58</v>
      </c>
      <c r="B59" s="48"/>
      <c r="C59" s="49"/>
      <c r="D59" s="49"/>
      <c r="E59" s="40">
        <f t="shared" si="8"/>
        <v>0</v>
      </c>
      <c r="F59" s="40">
        <f t="shared" si="9"/>
        <v>0</v>
      </c>
      <c r="G59" s="40">
        <f t="shared" si="10"/>
        <v>0</v>
      </c>
      <c r="H59" s="41">
        <f t="shared" si="48"/>
        <v>0</v>
      </c>
      <c r="I59" s="40">
        <f t="shared" si="11"/>
        <v>0</v>
      </c>
      <c r="J59" s="40">
        <f t="shared" si="12"/>
        <v>0</v>
      </c>
      <c r="K59" s="40">
        <f t="shared" si="13"/>
        <v>0</v>
      </c>
      <c r="L59" s="41">
        <f t="shared" si="0"/>
        <v>0</v>
      </c>
      <c r="M59" s="40">
        <f t="shared" si="14"/>
        <v>0</v>
      </c>
      <c r="N59" s="40">
        <f t="shared" si="15"/>
        <v>0</v>
      </c>
      <c r="O59" s="40">
        <f t="shared" si="16"/>
        <v>0</v>
      </c>
      <c r="P59" s="41">
        <f t="shared" si="1"/>
        <v>0</v>
      </c>
      <c r="Q59" s="42">
        <f t="shared" si="17"/>
        <v>0</v>
      </c>
      <c r="R59" s="40">
        <f t="shared" si="18"/>
        <v>0</v>
      </c>
      <c r="S59" s="40">
        <f t="shared" si="19"/>
        <v>0</v>
      </c>
      <c r="T59" s="41">
        <f t="shared" si="49"/>
        <v>0</v>
      </c>
      <c r="U59" s="40">
        <f t="shared" si="20"/>
        <v>0</v>
      </c>
      <c r="V59" s="40">
        <f t="shared" si="21"/>
        <v>0</v>
      </c>
      <c r="W59" s="40">
        <f t="shared" si="22"/>
        <v>0</v>
      </c>
      <c r="X59" s="41">
        <f t="shared" si="2"/>
        <v>0</v>
      </c>
      <c r="Y59" s="40">
        <f t="shared" si="23"/>
        <v>0</v>
      </c>
      <c r="Z59" s="40">
        <f t="shared" si="24"/>
        <v>0</v>
      </c>
      <c r="AA59" s="40">
        <f t="shared" si="25"/>
        <v>0</v>
      </c>
      <c r="AB59" s="43">
        <f t="shared" si="3"/>
        <v>0</v>
      </c>
      <c r="AC59" s="44">
        <f t="shared" si="26"/>
        <v>0</v>
      </c>
      <c r="AD59" s="45">
        <f t="shared" si="27"/>
        <v>0</v>
      </c>
      <c r="AE59" s="46"/>
      <c r="AF59" s="47"/>
      <c r="AG59" s="47"/>
      <c r="AH59" s="77">
        <f t="shared" si="28"/>
        <v>0</v>
      </c>
      <c r="AI59" s="77">
        <f t="shared" si="29"/>
        <v>0</v>
      </c>
      <c r="AJ59" s="77">
        <f t="shared" si="30"/>
        <v>0</v>
      </c>
      <c r="AK59" s="78">
        <f t="shared" si="50"/>
        <v>0</v>
      </c>
      <c r="AL59" s="77">
        <f t="shared" si="31"/>
        <v>0</v>
      </c>
      <c r="AM59" s="77">
        <f t="shared" si="32"/>
        <v>0</v>
      </c>
      <c r="AN59" s="77">
        <f t="shared" si="33"/>
        <v>0</v>
      </c>
      <c r="AO59" s="78">
        <f t="shared" si="4"/>
        <v>0</v>
      </c>
      <c r="AP59" s="77">
        <f t="shared" si="34"/>
        <v>0</v>
      </c>
      <c r="AQ59" s="77">
        <f t="shared" si="35"/>
        <v>0</v>
      </c>
      <c r="AR59" s="77">
        <f t="shared" si="36"/>
        <v>0</v>
      </c>
      <c r="AS59" s="78">
        <f t="shared" si="5"/>
        <v>0</v>
      </c>
      <c r="AT59" s="79">
        <f t="shared" si="37"/>
        <v>0</v>
      </c>
      <c r="AU59" s="77">
        <f t="shared" si="38"/>
        <v>0</v>
      </c>
      <c r="AV59" s="77">
        <f t="shared" si="39"/>
        <v>0</v>
      </c>
      <c r="AW59" s="78">
        <f t="shared" si="51"/>
        <v>0</v>
      </c>
      <c r="AX59" s="77">
        <f t="shared" si="40"/>
        <v>0</v>
      </c>
      <c r="AY59" s="77">
        <f t="shared" si="41"/>
        <v>0</v>
      </c>
      <c r="AZ59" s="77">
        <f t="shared" si="42"/>
        <v>0</v>
      </c>
      <c r="BA59" s="78">
        <f t="shared" si="6"/>
        <v>0</v>
      </c>
      <c r="BB59" s="77">
        <f t="shared" si="43"/>
        <v>0</v>
      </c>
      <c r="BC59" s="77">
        <f t="shared" si="44"/>
        <v>0</v>
      </c>
      <c r="BD59" s="77">
        <f t="shared" si="45"/>
        <v>0</v>
      </c>
      <c r="BE59" s="80">
        <f t="shared" si="7"/>
        <v>0</v>
      </c>
      <c r="BF59" s="44">
        <f t="shared" si="46"/>
        <v>0</v>
      </c>
      <c r="BG59" s="45">
        <f t="shared" si="47"/>
        <v>0</v>
      </c>
      <c r="BH59" s="46"/>
      <c r="BI59" s="47"/>
      <c r="BJ59" s="47"/>
    </row>
    <row r="60" spans="1:62">
      <c r="A60" s="84">
        <v>59</v>
      </c>
      <c r="B60" s="48"/>
      <c r="C60" s="49"/>
      <c r="D60" s="49"/>
      <c r="E60" s="40">
        <f t="shared" si="8"/>
        <v>0</v>
      </c>
      <c r="F60" s="40">
        <f t="shared" si="9"/>
        <v>0</v>
      </c>
      <c r="G60" s="40">
        <f t="shared" si="10"/>
        <v>0</v>
      </c>
      <c r="H60" s="41">
        <f t="shared" si="48"/>
        <v>0</v>
      </c>
      <c r="I60" s="40">
        <f t="shared" si="11"/>
        <v>0</v>
      </c>
      <c r="J60" s="40">
        <f t="shared" si="12"/>
        <v>0</v>
      </c>
      <c r="K60" s="40">
        <f t="shared" si="13"/>
        <v>0</v>
      </c>
      <c r="L60" s="41">
        <f t="shared" si="0"/>
        <v>0</v>
      </c>
      <c r="M60" s="40">
        <f t="shared" si="14"/>
        <v>0</v>
      </c>
      <c r="N60" s="40">
        <f t="shared" si="15"/>
        <v>0</v>
      </c>
      <c r="O60" s="40">
        <f t="shared" si="16"/>
        <v>0</v>
      </c>
      <c r="P60" s="41">
        <f t="shared" si="1"/>
        <v>0</v>
      </c>
      <c r="Q60" s="42">
        <f t="shared" si="17"/>
        <v>0</v>
      </c>
      <c r="R60" s="40">
        <f t="shared" si="18"/>
        <v>0</v>
      </c>
      <c r="S60" s="40">
        <f t="shared" si="19"/>
        <v>0</v>
      </c>
      <c r="T60" s="41">
        <f t="shared" si="49"/>
        <v>0</v>
      </c>
      <c r="U60" s="40">
        <f t="shared" si="20"/>
        <v>0</v>
      </c>
      <c r="V60" s="40">
        <f t="shared" si="21"/>
        <v>0</v>
      </c>
      <c r="W60" s="40">
        <f t="shared" si="22"/>
        <v>0</v>
      </c>
      <c r="X60" s="41">
        <f t="shared" si="2"/>
        <v>0</v>
      </c>
      <c r="Y60" s="40">
        <f t="shared" si="23"/>
        <v>0</v>
      </c>
      <c r="Z60" s="40">
        <f t="shared" si="24"/>
        <v>0</v>
      </c>
      <c r="AA60" s="40">
        <f t="shared" si="25"/>
        <v>0</v>
      </c>
      <c r="AB60" s="43">
        <f t="shared" si="3"/>
        <v>0</v>
      </c>
      <c r="AC60" s="44">
        <f t="shared" si="26"/>
        <v>0</v>
      </c>
      <c r="AD60" s="45">
        <f t="shared" si="27"/>
        <v>0</v>
      </c>
      <c r="AE60" s="46"/>
      <c r="AF60" s="47"/>
      <c r="AG60" s="47"/>
      <c r="AH60" s="77">
        <f t="shared" si="28"/>
        <v>0</v>
      </c>
      <c r="AI60" s="77">
        <f t="shared" si="29"/>
        <v>0</v>
      </c>
      <c r="AJ60" s="77">
        <f t="shared" si="30"/>
        <v>0</v>
      </c>
      <c r="AK60" s="78">
        <f t="shared" si="50"/>
        <v>0</v>
      </c>
      <c r="AL60" s="77">
        <f t="shared" si="31"/>
        <v>0</v>
      </c>
      <c r="AM60" s="77">
        <f t="shared" si="32"/>
        <v>0</v>
      </c>
      <c r="AN60" s="77">
        <f t="shared" si="33"/>
        <v>0</v>
      </c>
      <c r="AO60" s="78">
        <f t="shared" si="4"/>
        <v>0</v>
      </c>
      <c r="AP60" s="77">
        <f t="shared" si="34"/>
        <v>0</v>
      </c>
      <c r="AQ60" s="77">
        <f t="shared" si="35"/>
        <v>0</v>
      </c>
      <c r="AR60" s="77">
        <f t="shared" si="36"/>
        <v>0</v>
      </c>
      <c r="AS60" s="78">
        <f t="shared" si="5"/>
        <v>0</v>
      </c>
      <c r="AT60" s="79">
        <f t="shared" si="37"/>
        <v>0</v>
      </c>
      <c r="AU60" s="77">
        <f t="shared" si="38"/>
        <v>0</v>
      </c>
      <c r="AV60" s="77">
        <f t="shared" si="39"/>
        <v>0</v>
      </c>
      <c r="AW60" s="78">
        <f t="shared" si="51"/>
        <v>0</v>
      </c>
      <c r="AX60" s="77">
        <f t="shared" si="40"/>
        <v>0</v>
      </c>
      <c r="AY60" s="77">
        <f t="shared" si="41"/>
        <v>0</v>
      </c>
      <c r="AZ60" s="77">
        <f t="shared" si="42"/>
        <v>0</v>
      </c>
      <c r="BA60" s="78">
        <f t="shared" si="6"/>
        <v>0</v>
      </c>
      <c r="BB60" s="77">
        <f t="shared" si="43"/>
        <v>0</v>
      </c>
      <c r="BC60" s="77">
        <f t="shared" si="44"/>
        <v>0</v>
      </c>
      <c r="BD60" s="77">
        <f t="shared" si="45"/>
        <v>0</v>
      </c>
      <c r="BE60" s="80">
        <f t="shared" si="7"/>
        <v>0</v>
      </c>
      <c r="BF60" s="44">
        <f t="shared" si="46"/>
        <v>0</v>
      </c>
      <c r="BG60" s="45">
        <f t="shared" si="47"/>
        <v>0</v>
      </c>
      <c r="BH60" s="46"/>
      <c r="BI60" s="47"/>
      <c r="BJ60" s="47"/>
    </row>
    <row r="61" spans="1:62">
      <c r="A61" s="84">
        <v>60</v>
      </c>
      <c r="B61" s="48"/>
      <c r="C61" s="49"/>
      <c r="D61" s="49"/>
      <c r="E61" s="40">
        <f t="shared" si="8"/>
        <v>0</v>
      </c>
      <c r="F61" s="40">
        <f t="shared" si="9"/>
        <v>0</v>
      </c>
      <c r="G61" s="40">
        <f t="shared" si="10"/>
        <v>0</v>
      </c>
      <c r="H61" s="41">
        <f t="shared" si="48"/>
        <v>0</v>
      </c>
      <c r="I61" s="40">
        <f t="shared" si="11"/>
        <v>0</v>
      </c>
      <c r="J61" s="40">
        <f t="shared" si="12"/>
        <v>0</v>
      </c>
      <c r="K61" s="40">
        <f t="shared" si="13"/>
        <v>0</v>
      </c>
      <c r="L61" s="41">
        <f t="shared" si="0"/>
        <v>0</v>
      </c>
      <c r="M61" s="40">
        <f t="shared" si="14"/>
        <v>0</v>
      </c>
      <c r="N61" s="40">
        <f t="shared" si="15"/>
        <v>0</v>
      </c>
      <c r="O61" s="40">
        <f t="shared" si="16"/>
        <v>0</v>
      </c>
      <c r="P61" s="41">
        <f t="shared" si="1"/>
        <v>0</v>
      </c>
      <c r="Q61" s="42">
        <f t="shared" si="17"/>
        <v>0</v>
      </c>
      <c r="R61" s="40">
        <f t="shared" si="18"/>
        <v>0</v>
      </c>
      <c r="S61" s="40">
        <f t="shared" si="19"/>
        <v>0</v>
      </c>
      <c r="T61" s="41">
        <f t="shared" si="49"/>
        <v>0</v>
      </c>
      <c r="U61" s="40">
        <f t="shared" si="20"/>
        <v>0</v>
      </c>
      <c r="V61" s="40">
        <f t="shared" si="21"/>
        <v>0</v>
      </c>
      <c r="W61" s="40">
        <f t="shared" si="22"/>
        <v>0</v>
      </c>
      <c r="X61" s="41">
        <f t="shared" si="2"/>
        <v>0</v>
      </c>
      <c r="Y61" s="40">
        <f t="shared" si="23"/>
        <v>0</v>
      </c>
      <c r="Z61" s="40">
        <f t="shared" si="24"/>
        <v>0</v>
      </c>
      <c r="AA61" s="40">
        <f t="shared" si="25"/>
        <v>0</v>
      </c>
      <c r="AB61" s="43">
        <f t="shared" si="3"/>
        <v>0</v>
      </c>
      <c r="AC61" s="44">
        <f t="shared" si="26"/>
        <v>0</v>
      </c>
      <c r="AD61" s="45">
        <f t="shared" si="27"/>
        <v>0</v>
      </c>
      <c r="AE61" s="46"/>
      <c r="AF61" s="47"/>
      <c r="AG61" s="47"/>
      <c r="AH61" s="77">
        <f t="shared" si="28"/>
        <v>0</v>
      </c>
      <c r="AI61" s="77">
        <f t="shared" si="29"/>
        <v>0</v>
      </c>
      <c r="AJ61" s="77">
        <f t="shared" si="30"/>
        <v>0</v>
      </c>
      <c r="AK61" s="78">
        <f t="shared" si="50"/>
        <v>0</v>
      </c>
      <c r="AL61" s="77">
        <f t="shared" si="31"/>
        <v>0</v>
      </c>
      <c r="AM61" s="77">
        <f t="shared" si="32"/>
        <v>0</v>
      </c>
      <c r="AN61" s="77">
        <f t="shared" si="33"/>
        <v>0</v>
      </c>
      <c r="AO61" s="78">
        <f t="shared" si="4"/>
        <v>0</v>
      </c>
      <c r="AP61" s="77">
        <f t="shared" si="34"/>
        <v>0</v>
      </c>
      <c r="AQ61" s="77">
        <f t="shared" si="35"/>
        <v>0</v>
      </c>
      <c r="AR61" s="77">
        <f t="shared" si="36"/>
        <v>0</v>
      </c>
      <c r="AS61" s="78">
        <f t="shared" si="5"/>
        <v>0</v>
      </c>
      <c r="AT61" s="79">
        <f t="shared" si="37"/>
        <v>0</v>
      </c>
      <c r="AU61" s="77">
        <f t="shared" si="38"/>
        <v>0</v>
      </c>
      <c r="AV61" s="77">
        <f t="shared" si="39"/>
        <v>0</v>
      </c>
      <c r="AW61" s="78">
        <f t="shared" si="51"/>
        <v>0</v>
      </c>
      <c r="AX61" s="77">
        <f t="shared" si="40"/>
        <v>0</v>
      </c>
      <c r="AY61" s="77">
        <f t="shared" si="41"/>
        <v>0</v>
      </c>
      <c r="AZ61" s="77">
        <f t="shared" si="42"/>
        <v>0</v>
      </c>
      <c r="BA61" s="78">
        <f t="shared" si="6"/>
        <v>0</v>
      </c>
      <c r="BB61" s="77">
        <f t="shared" si="43"/>
        <v>0</v>
      </c>
      <c r="BC61" s="77">
        <f t="shared" si="44"/>
        <v>0</v>
      </c>
      <c r="BD61" s="77">
        <f t="shared" si="45"/>
        <v>0</v>
      </c>
      <c r="BE61" s="80">
        <f t="shared" si="7"/>
        <v>0</v>
      </c>
      <c r="BF61" s="44">
        <f t="shared" si="46"/>
        <v>0</v>
      </c>
      <c r="BG61" s="45">
        <f t="shared" si="47"/>
        <v>0</v>
      </c>
      <c r="BH61" s="46"/>
      <c r="BI61" s="47"/>
      <c r="BJ61" s="47"/>
    </row>
    <row r="62" spans="1:62">
      <c r="A62" s="84">
        <v>61</v>
      </c>
      <c r="B62" s="48"/>
      <c r="C62" s="49"/>
      <c r="D62" s="49"/>
      <c r="E62" s="40">
        <f t="shared" si="8"/>
        <v>0</v>
      </c>
      <c r="F62" s="40">
        <f t="shared" ref="F62:F95" si="52">(LEN($C62)-LEN(SUBSTITUTE(UPPER($C62),UPPER(E$1),"")))/LEN(E$1)</f>
        <v>0</v>
      </c>
      <c r="G62" s="40">
        <f t="shared" ref="G62:G95" si="53">(LEN($D62)-LEN(SUBSTITUTE(UPPER($D62),UPPER(E$1),"")))/LEN(E$1)</f>
        <v>0</v>
      </c>
      <c r="H62" s="41">
        <f t="shared" ref="H62:H95" si="54">SUM(E62:G62)</f>
        <v>0</v>
      </c>
      <c r="I62" s="40">
        <f t="shared" si="11"/>
        <v>0</v>
      </c>
      <c r="J62" s="40">
        <f t="shared" ref="J62:J95" si="55">(LEN($C62)-LEN(SUBSTITUTE(UPPER($C62),UPPER(I$1),"")))/LEN(I$1)</f>
        <v>0</v>
      </c>
      <c r="K62" s="40">
        <f t="shared" ref="K62:K95" si="56">(LEN($D62)-LEN(SUBSTITUTE(UPPER($D62),UPPER(I$1),"")))/LEN(I$1)</f>
        <v>0</v>
      </c>
      <c r="L62" s="41">
        <f t="shared" ref="L62:L95" si="57">SUM(I62:K62)</f>
        <v>0</v>
      </c>
      <c r="M62" s="40">
        <f t="shared" si="14"/>
        <v>0</v>
      </c>
      <c r="N62" s="40">
        <f t="shared" ref="N62:N95" si="58">(LEN($C62)-LEN(SUBSTITUTE(UPPER($C62),UPPER(M$1),"")))/LEN(M$1)</f>
        <v>0</v>
      </c>
      <c r="O62" s="40">
        <f t="shared" ref="O62:O95" si="59">(LEN($D62)-LEN(SUBSTITUTE(UPPER($D62),UPPER(M$1),"")))/LEN(M$1)</f>
        <v>0</v>
      </c>
      <c r="P62" s="41">
        <f t="shared" ref="P62:P95" si="60">SUM(M62:O62)</f>
        <v>0</v>
      </c>
      <c r="Q62" s="42">
        <f t="shared" si="17"/>
        <v>0</v>
      </c>
      <c r="R62" s="40">
        <f t="shared" ref="R62:R95" si="61">(LEN($C62)-LEN(SUBSTITUTE(UPPER($C62),UPPER(Q$1),"")))/LEN(Q$1)</f>
        <v>0</v>
      </c>
      <c r="S62" s="40">
        <f t="shared" ref="S62:S95" si="62">(LEN($D62)-LEN(SUBSTITUTE(UPPER($D62),UPPER(Q$1),"")))/LEN(Q$1)</f>
        <v>0</v>
      </c>
      <c r="T62" s="41">
        <f t="shared" ref="T62:T95" si="63">SUM(Q62:S62)</f>
        <v>0</v>
      </c>
      <c r="U62" s="40">
        <f t="shared" si="20"/>
        <v>0</v>
      </c>
      <c r="V62" s="40">
        <f t="shared" ref="V62:V95" si="64">(LEN($C62)-LEN(SUBSTITUTE(UPPER($C62),UPPER(U$1),"")))/LEN(U$1)</f>
        <v>0</v>
      </c>
      <c r="W62" s="40">
        <f t="shared" ref="W62:W95" si="65">(LEN($D62)-LEN(SUBSTITUTE(UPPER($D62),UPPER(U$1),"")))/LEN(U$1)</f>
        <v>0</v>
      </c>
      <c r="X62" s="41">
        <f t="shared" ref="X62:X95" si="66">SUM(U62:W62)</f>
        <v>0</v>
      </c>
      <c r="Y62" s="40">
        <f t="shared" si="23"/>
        <v>0</v>
      </c>
      <c r="Z62" s="40">
        <f t="shared" ref="Z62:Z95" si="67">(LEN($C62)-LEN(SUBSTITUTE(UPPER($C62),UPPER(Y$1),"")))/LEN(Y$1)</f>
        <v>0</v>
      </c>
      <c r="AA62" s="40">
        <f t="shared" ref="AA62:AA95" si="68">(LEN($D62)-LEN(SUBSTITUTE(UPPER($D62),UPPER(Y$1),"")))/LEN(Y$1)</f>
        <v>0</v>
      </c>
      <c r="AB62" s="43">
        <f t="shared" ref="AB62:AB95" si="69">SUM(Y62:AA62)</f>
        <v>0</v>
      </c>
      <c r="AC62" s="44">
        <f t="shared" ref="AC62:AC95" si="70">H62+L62+P62+T62+X62+AB62</f>
        <v>0</v>
      </c>
      <c r="AD62" s="45">
        <f t="shared" ref="AD62:AD95" si="71">IF((AC62)&gt;0,1,0)</f>
        <v>0</v>
      </c>
      <c r="AE62" s="46"/>
      <c r="AF62" s="47"/>
      <c r="AG62" s="47"/>
      <c r="AH62" s="77">
        <f t="shared" si="28"/>
        <v>0</v>
      </c>
      <c r="AI62" s="77">
        <f t="shared" ref="AI62:AI95" si="72">(LEN($C62)-LEN(SUBSTITUTE(UPPER($C62),UPPER(AH$1),"")))/LEN(AH$1)</f>
        <v>0</v>
      </c>
      <c r="AJ62" s="77">
        <f t="shared" ref="AJ62:AJ95" si="73">(LEN($D62)-LEN(SUBSTITUTE(UPPER($D62),UPPER(AH$1),"")))/LEN(AH$1)</f>
        <v>0</v>
      </c>
      <c r="AK62" s="78">
        <f t="shared" ref="AK62:AK95" si="74">SUM(AH62:AJ62)</f>
        <v>0</v>
      </c>
      <c r="AL62" s="77">
        <f t="shared" si="31"/>
        <v>0</v>
      </c>
      <c r="AM62" s="77">
        <f t="shared" ref="AM62:AM95" si="75">(LEN($C62)-LEN(SUBSTITUTE(UPPER($C62),UPPER(AL$1),"")))/LEN(AL$1)</f>
        <v>0</v>
      </c>
      <c r="AN62" s="77">
        <f t="shared" ref="AN62:AN95" si="76">(LEN($D62)-LEN(SUBSTITUTE(UPPER($D62),UPPER(AL$1),"")))/LEN(AL$1)</f>
        <v>0</v>
      </c>
      <c r="AO62" s="78">
        <f t="shared" ref="AO62:AO95" si="77">SUM(AL62:AN62)</f>
        <v>0</v>
      </c>
      <c r="AP62" s="77">
        <f t="shared" si="34"/>
        <v>0</v>
      </c>
      <c r="AQ62" s="77">
        <f t="shared" ref="AQ62:AQ95" si="78">(LEN($C62)-LEN(SUBSTITUTE(UPPER($C62),UPPER(AP$1),"")))/LEN(AP$1)</f>
        <v>0</v>
      </c>
      <c r="AR62" s="77">
        <f t="shared" ref="AR62:AR95" si="79">(LEN($D62)-LEN(SUBSTITUTE(UPPER($D62),UPPER(AP$1),"")))/LEN(AP$1)</f>
        <v>0</v>
      </c>
      <c r="AS62" s="78">
        <f t="shared" ref="AS62:AS95" si="80">SUM(AP62:AR62)</f>
        <v>0</v>
      </c>
      <c r="AT62" s="79">
        <f t="shared" si="37"/>
        <v>0</v>
      </c>
      <c r="AU62" s="77">
        <f t="shared" ref="AU62:AU95" si="81">(LEN($C62)-LEN(SUBSTITUTE(UPPER($C62),UPPER(AT$1),"")))/LEN(AT$1)</f>
        <v>0</v>
      </c>
      <c r="AV62" s="77">
        <f t="shared" ref="AV62:AV95" si="82">(LEN($D62)-LEN(SUBSTITUTE(UPPER($D62),UPPER(AT$1),"")))/LEN(AT$1)</f>
        <v>0</v>
      </c>
      <c r="AW62" s="78">
        <f t="shared" ref="AW62:AW95" si="83">SUM(AT62:AV62)</f>
        <v>0</v>
      </c>
      <c r="AX62" s="77">
        <f t="shared" si="40"/>
        <v>0</v>
      </c>
      <c r="AY62" s="77">
        <f t="shared" ref="AY62:AY95" si="84">(LEN($C62)-LEN(SUBSTITUTE(UPPER($C62),UPPER(AX$1),"")))/LEN(AX$1)</f>
        <v>0</v>
      </c>
      <c r="AZ62" s="77">
        <f t="shared" ref="AZ62:AZ95" si="85">(LEN($D62)-LEN(SUBSTITUTE(UPPER($D62),UPPER(AX$1),"")))/LEN(AX$1)</f>
        <v>0</v>
      </c>
      <c r="BA62" s="78">
        <f t="shared" ref="BA62:BA95" si="86">SUM(AX62:AZ62)</f>
        <v>0</v>
      </c>
      <c r="BB62" s="77">
        <f t="shared" si="43"/>
        <v>0</v>
      </c>
      <c r="BC62" s="77">
        <f t="shared" ref="BC62:BC95" si="87">(LEN($C62)-LEN(SUBSTITUTE(UPPER($C62),UPPER(BB$1),"")))/LEN(BB$1)</f>
        <v>0</v>
      </c>
      <c r="BD62" s="77">
        <f t="shared" ref="BD62:BD95" si="88">(LEN($D62)-LEN(SUBSTITUTE(UPPER($D62),UPPER(BB$1),"")))/LEN(BB$1)</f>
        <v>0</v>
      </c>
      <c r="BE62" s="80">
        <f t="shared" ref="BE62:BE95" si="89">SUM(BB62:BD62)</f>
        <v>0</v>
      </c>
      <c r="BF62" s="44">
        <f t="shared" ref="BF62:BF95" si="90">AK62+AO62+AS62+AW62+BA62+BE62</f>
        <v>0</v>
      </c>
      <c r="BG62" s="45">
        <f t="shared" ref="BG62:BG95" si="91">IF((BF62)&gt;0,1,0)</f>
        <v>0</v>
      </c>
      <c r="BH62" s="46"/>
      <c r="BI62" s="47"/>
      <c r="BJ62" s="47"/>
    </row>
    <row r="63" spans="1:62">
      <c r="A63" s="84">
        <v>62</v>
      </c>
      <c r="B63" s="48"/>
      <c r="C63" s="49"/>
      <c r="D63" s="49"/>
      <c r="E63" s="40">
        <f t="shared" si="8"/>
        <v>0</v>
      </c>
      <c r="F63" s="40">
        <f t="shared" si="52"/>
        <v>0</v>
      </c>
      <c r="G63" s="40">
        <f t="shared" si="53"/>
        <v>0</v>
      </c>
      <c r="H63" s="41">
        <f t="shared" si="54"/>
        <v>0</v>
      </c>
      <c r="I63" s="40">
        <f t="shared" si="11"/>
        <v>0</v>
      </c>
      <c r="J63" s="40">
        <f t="shared" si="55"/>
        <v>0</v>
      </c>
      <c r="K63" s="40">
        <f t="shared" si="56"/>
        <v>0</v>
      </c>
      <c r="L63" s="41">
        <f t="shared" si="57"/>
        <v>0</v>
      </c>
      <c r="M63" s="40">
        <f t="shared" si="14"/>
        <v>0</v>
      </c>
      <c r="N63" s="40">
        <f t="shared" si="58"/>
        <v>0</v>
      </c>
      <c r="O63" s="40">
        <f t="shared" si="59"/>
        <v>0</v>
      </c>
      <c r="P63" s="41">
        <f t="shared" si="60"/>
        <v>0</v>
      </c>
      <c r="Q63" s="42">
        <f t="shared" si="17"/>
        <v>0</v>
      </c>
      <c r="R63" s="40">
        <f t="shared" si="61"/>
        <v>0</v>
      </c>
      <c r="S63" s="40">
        <f t="shared" si="62"/>
        <v>0</v>
      </c>
      <c r="T63" s="41">
        <f t="shared" si="63"/>
        <v>0</v>
      </c>
      <c r="U63" s="40">
        <f t="shared" si="20"/>
        <v>0</v>
      </c>
      <c r="V63" s="40">
        <f t="shared" si="64"/>
        <v>0</v>
      </c>
      <c r="W63" s="40">
        <f t="shared" si="65"/>
        <v>0</v>
      </c>
      <c r="X63" s="41">
        <f t="shared" si="66"/>
        <v>0</v>
      </c>
      <c r="Y63" s="40">
        <f t="shared" si="23"/>
        <v>0</v>
      </c>
      <c r="Z63" s="40">
        <f t="shared" si="67"/>
        <v>0</v>
      </c>
      <c r="AA63" s="40">
        <f t="shared" si="68"/>
        <v>0</v>
      </c>
      <c r="AB63" s="43">
        <f t="shared" si="69"/>
        <v>0</v>
      </c>
      <c r="AC63" s="44">
        <f t="shared" si="70"/>
        <v>0</v>
      </c>
      <c r="AD63" s="45">
        <f t="shared" si="71"/>
        <v>0</v>
      </c>
      <c r="AE63" s="46"/>
      <c r="AF63" s="47"/>
      <c r="AG63" s="47"/>
      <c r="AH63" s="77">
        <f t="shared" si="28"/>
        <v>0</v>
      </c>
      <c r="AI63" s="77">
        <f t="shared" si="72"/>
        <v>0</v>
      </c>
      <c r="AJ63" s="77">
        <f t="shared" si="73"/>
        <v>0</v>
      </c>
      <c r="AK63" s="78">
        <f t="shared" si="74"/>
        <v>0</v>
      </c>
      <c r="AL63" s="77">
        <f t="shared" si="31"/>
        <v>0</v>
      </c>
      <c r="AM63" s="77">
        <f t="shared" si="75"/>
        <v>0</v>
      </c>
      <c r="AN63" s="77">
        <f t="shared" si="76"/>
        <v>0</v>
      </c>
      <c r="AO63" s="78">
        <f t="shared" si="77"/>
        <v>0</v>
      </c>
      <c r="AP63" s="77">
        <f t="shared" si="34"/>
        <v>0</v>
      </c>
      <c r="AQ63" s="77">
        <f t="shared" si="78"/>
        <v>0</v>
      </c>
      <c r="AR63" s="77">
        <f t="shared" si="79"/>
        <v>0</v>
      </c>
      <c r="AS63" s="78">
        <f t="shared" si="80"/>
        <v>0</v>
      </c>
      <c r="AT63" s="79">
        <f t="shared" si="37"/>
        <v>0</v>
      </c>
      <c r="AU63" s="77">
        <f t="shared" si="81"/>
        <v>0</v>
      </c>
      <c r="AV63" s="77">
        <f t="shared" si="82"/>
        <v>0</v>
      </c>
      <c r="AW63" s="78">
        <f t="shared" si="83"/>
        <v>0</v>
      </c>
      <c r="AX63" s="77">
        <f t="shared" si="40"/>
        <v>0</v>
      </c>
      <c r="AY63" s="77">
        <f t="shared" si="84"/>
        <v>0</v>
      </c>
      <c r="AZ63" s="77">
        <f t="shared" si="85"/>
        <v>0</v>
      </c>
      <c r="BA63" s="78">
        <f t="shared" si="86"/>
        <v>0</v>
      </c>
      <c r="BB63" s="77">
        <f t="shared" si="43"/>
        <v>0</v>
      </c>
      <c r="BC63" s="77">
        <f t="shared" si="87"/>
        <v>0</v>
      </c>
      <c r="BD63" s="77">
        <f t="shared" si="88"/>
        <v>0</v>
      </c>
      <c r="BE63" s="80">
        <f t="shared" si="89"/>
        <v>0</v>
      </c>
      <c r="BF63" s="44">
        <f t="shared" si="90"/>
        <v>0</v>
      </c>
      <c r="BG63" s="45">
        <f t="shared" si="91"/>
        <v>0</v>
      </c>
      <c r="BH63" s="46"/>
      <c r="BI63" s="47"/>
      <c r="BJ63" s="47"/>
    </row>
    <row r="64" spans="1:62">
      <c r="A64" s="84">
        <v>63</v>
      </c>
      <c r="B64" s="48"/>
      <c r="C64" s="49"/>
      <c r="D64" s="49"/>
      <c r="E64" s="40">
        <f t="shared" si="8"/>
        <v>0</v>
      </c>
      <c r="F64" s="40">
        <f t="shared" si="52"/>
        <v>0</v>
      </c>
      <c r="G64" s="40">
        <f t="shared" si="53"/>
        <v>0</v>
      </c>
      <c r="H64" s="41">
        <f t="shared" si="54"/>
        <v>0</v>
      </c>
      <c r="I64" s="40">
        <f t="shared" si="11"/>
        <v>0</v>
      </c>
      <c r="J64" s="40">
        <f t="shared" si="55"/>
        <v>0</v>
      </c>
      <c r="K64" s="40">
        <f t="shared" si="56"/>
        <v>0</v>
      </c>
      <c r="L64" s="41">
        <f t="shared" si="57"/>
        <v>0</v>
      </c>
      <c r="M64" s="40">
        <f t="shared" si="14"/>
        <v>0</v>
      </c>
      <c r="N64" s="40">
        <f t="shared" si="58"/>
        <v>0</v>
      </c>
      <c r="O64" s="40">
        <f t="shared" si="59"/>
        <v>0</v>
      </c>
      <c r="P64" s="41">
        <f t="shared" si="60"/>
        <v>0</v>
      </c>
      <c r="Q64" s="42">
        <f t="shared" si="17"/>
        <v>0</v>
      </c>
      <c r="R64" s="40">
        <f t="shared" si="61"/>
        <v>0</v>
      </c>
      <c r="S64" s="40">
        <f t="shared" si="62"/>
        <v>0</v>
      </c>
      <c r="T64" s="41">
        <f t="shared" si="63"/>
        <v>0</v>
      </c>
      <c r="U64" s="40">
        <f t="shared" si="20"/>
        <v>0</v>
      </c>
      <c r="V64" s="40">
        <f t="shared" si="64"/>
        <v>0</v>
      </c>
      <c r="W64" s="40">
        <f t="shared" si="65"/>
        <v>0</v>
      </c>
      <c r="X64" s="41">
        <f t="shared" si="66"/>
        <v>0</v>
      </c>
      <c r="Y64" s="40">
        <f t="shared" si="23"/>
        <v>0</v>
      </c>
      <c r="Z64" s="40">
        <f t="shared" si="67"/>
        <v>0</v>
      </c>
      <c r="AA64" s="40">
        <f t="shared" si="68"/>
        <v>0</v>
      </c>
      <c r="AB64" s="43">
        <f t="shared" si="69"/>
        <v>0</v>
      </c>
      <c r="AC64" s="44">
        <f t="shared" si="70"/>
        <v>0</v>
      </c>
      <c r="AD64" s="45">
        <f t="shared" si="71"/>
        <v>0</v>
      </c>
      <c r="AE64" s="46"/>
      <c r="AF64" s="47"/>
      <c r="AG64" s="47"/>
      <c r="AH64" s="77">
        <f t="shared" si="28"/>
        <v>0</v>
      </c>
      <c r="AI64" s="77">
        <f t="shared" si="72"/>
        <v>0</v>
      </c>
      <c r="AJ64" s="77">
        <f t="shared" si="73"/>
        <v>0</v>
      </c>
      <c r="AK64" s="78">
        <f t="shared" si="74"/>
        <v>0</v>
      </c>
      <c r="AL64" s="77">
        <f t="shared" si="31"/>
        <v>0</v>
      </c>
      <c r="AM64" s="77">
        <f t="shared" si="75"/>
        <v>0</v>
      </c>
      <c r="AN64" s="77">
        <f t="shared" si="76"/>
        <v>0</v>
      </c>
      <c r="AO64" s="78">
        <f t="shared" si="77"/>
        <v>0</v>
      </c>
      <c r="AP64" s="77">
        <f t="shared" si="34"/>
        <v>0</v>
      </c>
      <c r="AQ64" s="77">
        <f t="shared" si="78"/>
        <v>0</v>
      </c>
      <c r="AR64" s="77">
        <f t="shared" si="79"/>
        <v>0</v>
      </c>
      <c r="AS64" s="78">
        <f t="shared" si="80"/>
        <v>0</v>
      </c>
      <c r="AT64" s="79">
        <f t="shared" si="37"/>
        <v>0</v>
      </c>
      <c r="AU64" s="77">
        <f t="shared" si="81"/>
        <v>0</v>
      </c>
      <c r="AV64" s="77">
        <f t="shared" si="82"/>
        <v>0</v>
      </c>
      <c r="AW64" s="78">
        <f t="shared" si="83"/>
        <v>0</v>
      </c>
      <c r="AX64" s="77">
        <f t="shared" si="40"/>
        <v>0</v>
      </c>
      <c r="AY64" s="77">
        <f t="shared" si="84"/>
        <v>0</v>
      </c>
      <c r="AZ64" s="77">
        <f t="shared" si="85"/>
        <v>0</v>
      </c>
      <c r="BA64" s="78">
        <f t="shared" si="86"/>
        <v>0</v>
      </c>
      <c r="BB64" s="77">
        <f t="shared" si="43"/>
        <v>0</v>
      </c>
      <c r="BC64" s="77">
        <f t="shared" si="87"/>
        <v>0</v>
      </c>
      <c r="BD64" s="77">
        <f t="shared" si="88"/>
        <v>0</v>
      </c>
      <c r="BE64" s="80">
        <f t="shared" si="89"/>
        <v>0</v>
      </c>
      <c r="BF64" s="44">
        <f t="shared" si="90"/>
        <v>0</v>
      </c>
      <c r="BG64" s="45">
        <f t="shared" si="91"/>
        <v>0</v>
      </c>
      <c r="BH64" s="46"/>
      <c r="BI64" s="47"/>
      <c r="BJ64" s="47"/>
    </row>
    <row r="65" spans="1:62">
      <c r="A65" s="84">
        <v>64</v>
      </c>
      <c r="B65" s="48"/>
      <c r="C65" s="49"/>
      <c r="D65" s="49"/>
      <c r="E65" s="40">
        <f t="shared" si="8"/>
        <v>0</v>
      </c>
      <c r="F65" s="40">
        <f t="shared" si="52"/>
        <v>0</v>
      </c>
      <c r="G65" s="40">
        <f t="shared" si="53"/>
        <v>0</v>
      </c>
      <c r="H65" s="41">
        <f t="shared" si="54"/>
        <v>0</v>
      </c>
      <c r="I65" s="40">
        <f t="shared" si="11"/>
        <v>0</v>
      </c>
      <c r="J65" s="40">
        <f t="shared" si="55"/>
        <v>0</v>
      </c>
      <c r="K65" s="40">
        <f t="shared" si="56"/>
        <v>0</v>
      </c>
      <c r="L65" s="41">
        <f t="shared" si="57"/>
        <v>0</v>
      </c>
      <c r="M65" s="40">
        <f t="shared" si="14"/>
        <v>0</v>
      </c>
      <c r="N65" s="40">
        <f t="shared" si="58"/>
        <v>0</v>
      </c>
      <c r="O65" s="40">
        <f t="shared" si="59"/>
        <v>0</v>
      </c>
      <c r="P65" s="41">
        <f t="shared" si="60"/>
        <v>0</v>
      </c>
      <c r="Q65" s="42">
        <f t="shared" si="17"/>
        <v>0</v>
      </c>
      <c r="R65" s="40">
        <f t="shared" si="61"/>
        <v>0</v>
      </c>
      <c r="S65" s="40">
        <f t="shared" si="62"/>
        <v>0</v>
      </c>
      <c r="T65" s="41">
        <f t="shared" si="63"/>
        <v>0</v>
      </c>
      <c r="U65" s="40">
        <f t="shared" si="20"/>
        <v>0</v>
      </c>
      <c r="V65" s="40">
        <f t="shared" si="64"/>
        <v>0</v>
      </c>
      <c r="W65" s="40">
        <f t="shared" si="65"/>
        <v>0</v>
      </c>
      <c r="X65" s="41">
        <f t="shared" si="66"/>
        <v>0</v>
      </c>
      <c r="Y65" s="40">
        <f t="shared" si="23"/>
        <v>0</v>
      </c>
      <c r="Z65" s="40">
        <f t="shared" si="67"/>
        <v>0</v>
      </c>
      <c r="AA65" s="40">
        <f t="shared" si="68"/>
        <v>0</v>
      </c>
      <c r="AB65" s="43">
        <f t="shared" si="69"/>
        <v>0</v>
      </c>
      <c r="AC65" s="44">
        <f t="shared" si="70"/>
        <v>0</v>
      </c>
      <c r="AD65" s="45">
        <f t="shared" si="71"/>
        <v>0</v>
      </c>
      <c r="AE65" s="46"/>
      <c r="AF65" s="47"/>
      <c r="AG65" s="47"/>
      <c r="AH65" s="77">
        <f t="shared" si="28"/>
        <v>0</v>
      </c>
      <c r="AI65" s="77">
        <f t="shared" si="72"/>
        <v>0</v>
      </c>
      <c r="AJ65" s="77">
        <f t="shared" si="73"/>
        <v>0</v>
      </c>
      <c r="AK65" s="78">
        <f t="shared" si="74"/>
        <v>0</v>
      </c>
      <c r="AL65" s="77">
        <f t="shared" si="31"/>
        <v>0</v>
      </c>
      <c r="AM65" s="77">
        <f t="shared" si="75"/>
        <v>0</v>
      </c>
      <c r="AN65" s="77">
        <f t="shared" si="76"/>
        <v>0</v>
      </c>
      <c r="AO65" s="78">
        <f t="shared" si="77"/>
        <v>0</v>
      </c>
      <c r="AP65" s="77">
        <f t="shared" si="34"/>
        <v>0</v>
      </c>
      <c r="AQ65" s="77">
        <f t="shared" si="78"/>
        <v>0</v>
      </c>
      <c r="AR65" s="77">
        <f t="shared" si="79"/>
        <v>0</v>
      </c>
      <c r="AS65" s="78">
        <f t="shared" si="80"/>
        <v>0</v>
      </c>
      <c r="AT65" s="79">
        <f t="shared" si="37"/>
        <v>0</v>
      </c>
      <c r="AU65" s="77">
        <f t="shared" si="81"/>
        <v>0</v>
      </c>
      <c r="AV65" s="77">
        <f t="shared" si="82"/>
        <v>0</v>
      </c>
      <c r="AW65" s="78">
        <f t="shared" si="83"/>
        <v>0</v>
      </c>
      <c r="AX65" s="77">
        <f t="shared" si="40"/>
        <v>0</v>
      </c>
      <c r="AY65" s="77">
        <f t="shared" si="84"/>
        <v>0</v>
      </c>
      <c r="AZ65" s="77">
        <f t="shared" si="85"/>
        <v>0</v>
      </c>
      <c r="BA65" s="78">
        <f t="shared" si="86"/>
        <v>0</v>
      </c>
      <c r="BB65" s="77">
        <f t="shared" si="43"/>
        <v>0</v>
      </c>
      <c r="BC65" s="77">
        <f t="shared" si="87"/>
        <v>0</v>
      </c>
      <c r="BD65" s="77">
        <f t="shared" si="88"/>
        <v>0</v>
      </c>
      <c r="BE65" s="80">
        <f t="shared" si="89"/>
        <v>0</v>
      </c>
      <c r="BF65" s="44">
        <f t="shared" si="90"/>
        <v>0</v>
      </c>
      <c r="BG65" s="45">
        <f t="shared" si="91"/>
        <v>0</v>
      </c>
      <c r="BH65" s="46"/>
      <c r="BI65" s="47"/>
      <c r="BJ65" s="47"/>
    </row>
    <row r="66" spans="1:62">
      <c r="A66" s="84">
        <v>65</v>
      </c>
      <c r="B66" s="48"/>
      <c r="C66" s="49"/>
      <c r="D66" s="49"/>
      <c r="E66" s="40">
        <f t="shared" si="8"/>
        <v>0</v>
      </c>
      <c r="F66" s="40">
        <f t="shared" si="52"/>
        <v>0</v>
      </c>
      <c r="G66" s="40">
        <f t="shared" si="53"/>
        <v>0</v>
      </c>
      <c r="H66" s="41">
        <f t="shared" si="54"/>
        <v>0</v>
      </c>
      <c r="I66" s="40">
        <f t="shared" si="11"/>
        <v>0</v>
      </c>
      <c r="J66" s="40">
        <f t="shared" si="55"/>
        <v>0</v>
      </c>
      <c r="K66" s="40">
        <f t="shared" si="56"/>
        <v>0</v>
      </c>
      <c r="L66" s="41">
        <f t="shared" si="57"/>
        <v>0</v>
      </c>
      <c r="M66" s="40">
        <f t="shared" si="14"/>
        <v>0</v>
      </c>
      <c r="N66" s="40">
        <f t="shared" si="58"/>
        <v>0</v>
      </c>
      <c r="O66" s="40">
        <f t="shared" si="59"/>
        <v>0</v>
      </c>
      <c r="P66" s="41">
        <f t="shared" si="60"/>
        <v>0</v>
      </c>
      <c r="Q66" s="42">
        <f t="shared" si="17"/>
        <v>0</v>
      </c>
      <c r="R66" s="40">
        <f t="shared" si="61"/>
        <v>0</v>
      </c>
      <c r="S66" s="40">
        <f t="shared" si="62"/>
        <v>0</v>
      </c>
      <c r="T66" s="41">
        <f t="shared" si="63"/>
        <v>0</v>
      </c>
      <c r="U66" s="40">
        <f t="shared" si="20"/>
        <v>0</v>
      </c>
      <c r="V66" s="40">
        <f t="shared" si="64"/>
        <v>0</v>
      </c>
      <c r="W66" s="40">
        <f t="shared" si="65"/>
        <v>0</v>
      </c>
      <c r="X66" s="41">
        <f t="shared" si="66"/>
        <v>0</v>
      </c>
      <c r="Y66" s="40">
        <f t="shared" si="23"/>
        <v>0</v>
      </c>
      <c r="Z66" s="40">
        <f t="shared" si="67"/>
        <v>0</v>
      </c>
      <c r="AA66" s="40">
        <f t="shared" si="68"/>
        <v>0</v>
      </c>
      <c r="AB66" s="43">
        <f t="shared" si="69"/>
        <v>0</v>
      </c>
      <c r="AC66" s="44">
        <f t="shared" si="70"/>
        <v>0</v>
      </c>
      <c r="AD66" s="45">
        <f t="shared" si="71"/>
        <v>0</v>
      </c>
      <c r="AE66" s="46"/>
      <c r="AF66" s="47"/>
      <c r="AG66" s="47"/>
      <c r="AH66" s="77">
        <f t="shared" si="28"/>
        <v>0</v>
      </c>
      <c r="AI66" s="77">
        <f t="shared" si="72"/>
        <v>0</v>
      </c>
      <c r="AJ66" s="77">
        <f t="shared" si="73"/>
        <v>0</v>
      </c>
      <c r="AK66" s="78">
        <f t="shared" si="74"/>
        <v>0</v>
      </c>
      <c r="AL66" s="77">
        <f t="shared" si="31"/>
        <v>0</v>
      </c>
      <c r="AM66" s="77">
        <f t="shared" si="75"/>
        <v>0</v>
      </c>
      <c r="AN66" s="77">
        <f t="shared" si="76"/>
        <v>0</v>
      </c>
      <c r="AO66" s="78">
        <f t="shared" si="77"/>
        <v>0</v>
      </c>
      <c r="AP66" s="77">
        <f t="shared" si="34"/>
        <v>0</v>
      </c>
      <c r="AQ66" s="77">
        <f t="shared" si="78"/>
        <v>0</v>
      </c>
      <c r="AR66" s="77">
        <f t="shared" si="79"/>
        <v>0</v>
      </c>
      <c r="AS66" s="78">
        <f t="shared" si="80"/>
        <v>0</v>
      </c>
      <c r="AT66" s="79">
        <f t="shared" si="37"/>
        <v>0</v>
      </c>
      <c r="AU66" s="77">
        <f t="shared" si="81"/>
        <v>0</v>
      </c>
      <c r="AV66" s="77">
        <f t="shared" si="82"/>
        <v>0</v>
      </c>
      <c r="AW66" s="78">
        <f t="shared" si="83"/>
        <v>0</v>
      </c>
      <c r="AX66" s="77">
        <f t="shared" si="40"/>
        <v>0</v>
      </c>
      <c r="AY66" s="77">
        <f t="shared" si="84"/>
        <v>0</v>
      </c>
      <c r="AZ66" s="77">
        <f t="shared" si="85"/>
        <v>0</v>
      </c>
      <c r="BA66" s="78">
        <f t="shared" si="86"/>
        <v>0</v>
      </c>
      <c r="BB66" s="77">
        <f t="shared" si="43"/>
        <v>0</v>
      </c>
      <c r="BC66" s="77">
        <f t="shared" si="87"/>
        <v>0</v>
      </c>
      <c r="BD66" s="77">
        <f t="shared" si="88"/>
        <v>0</v>
      </c>
      <c r="BE66" s="80">
        <f t="shared" si="89"/>
        <v>0</v>
      </c>
      <c r="BF66" s="44">
        <f t="shared" si="90"/>
        <v>0</v>
      </c>
      <c r="BG66" s="45">
        <f t="shared" si="91"/>
        <v>0</v>
      </c>
      <c r="BH66" s="46"/>
      <c r="BI66" s="47"/>
      <c r="BJ66" s="47"/>
    </row>
    <row r="67" spans="1:62">
      <c r="A67" s="84">
        <v>66</v>
      </c>
      <c r="B67" s="48"/>
      <c r="C67" s="49"/>
      <c r="D67" s="49"/>
      <c r="E67" s="40">
        <f t="shared" ref="E67:E101" si="92">(LEN($B67)-LEN(SUBSTITUTE(UPPER($B67),UPPER(E$1),"")))/LEN(E$1)</f>
        <v>0</v>
      </c>
      <c r="F67" s="40">
        <f t="shared" si="52"/>
        <v>0</v>
      </c>
      <c r="G67" s="40">
        <f t="shared" si="53"/>
        <v>0</v>
      </c>
      <c r="H67" s="41">
        <f t="shared" si="54"/>
        <v>0</v>
      </c>
      <c r="I67" s="40">
        <f t="shared" ref="I67:I101" si="93">(LEN($B67)-LEN(SUBSTITUTE(UPPER($B67),UPPER(I$1),"")))/LEN(I$1)</f>
        <v>0</v>
      </c>
      <c r="J67" s="40">
        <f t="shared" si="55"/>
        <v>0</v>
      </c>
      <c r="K67" s="40">
        <f t="shared" si="56"/>
        <v>0</v>
      </c>
      <c r="L67" s="41">
        <f t="shared" si="57"/>
        <v>0</v>
      </c>
      <c r="M67" s="40">
        <f t="shared" ref="M67:M101" si="94">(LEN($B67)-LEN(SUBSTITUTE(UPPER($B67),UPPER(M$1),"")))/LEN(M$1)</f>
        <v>0</v>
      </c>
      <c r="N67" s="40">
        <f t="shared" si="58"/>
        <v>0</v>
      </c>
      <c r="O67" s="40">
        <f t="shared" si="59"/>
        <v>0</v>
      </c>
      <c r="P67" s="41">
        <f t="shared" si="60"/>
        <v>0</v>
      </c>
      <c r="Q67" s="42">
        <f t="shared" ref="Q67:Q101" si="95">(LEN($B67)-LEN(SUBSTITUTE(UPPER($B67),UPPER(Q$1),"")))/LEN(Q$1)</f>
        <v>0</v>
      </c>
      <c r="R67" s="40">
        <f t="shared" si="61"/>
        <v>0</v>
      </c>
      <c r="S67" s="40">
        <f t="shared" si="62"/>
        <v>0</v>
      </c>
      <c r="T67" s="41">
        <f t="shared" si="63"/>
        <v>0</v>
      </c>
      <c r="U67" s="40">
        <f t="shared" ref="U67:U101" si="96">(LEN($B67)-LEN(SUBSTITUTE(UPPER($B67),UPPER(U$1),"")))/LEN(U$1)</f>
        <v>0</v>
      </c>
      <c r="V67" s="40">
        <f t="shared" si="64"/>
        <v>0</v>
      </c>
      <c r="W67" s="40">
        <f t="shared" si="65"/>
        <v>0</v>
      </c>
      <c r="X67" s="41">
        <f t="shared" si="66"/>
        <v>0</v>
      </c>
      <c r="Y67" s="40">
        <f t="shared" ref="Y67:Y101" si="97">(LEN($B67)-LEN(SUBSTITUTE(UPPER($B67),UPPER(Y$1),"")))/LEN(Y$1)</f>
        <v>0</v>
      </c>
      <c r="Z67" s="40">
        <f t="shared" si="67"/>
        <v>0</v>
      </c>
      <c r="AA67" s="40">
        <f t="shared" si="68"/>
        <v>0</v>
      </c>
      <c r="AB67" s="43">
        <f t="shared" si="69"/>
        <v>0</v>
      </c>
      <c r="AC67" s="44">
        <f t="shared" si="70"/>
        <v>0</v>
      </c>
      <c r="AD67" s="45">
        <f t="shared" si="71"/>
        <v>0</v>
      </c>
      <c r="AE67" s="46"/>
      <c r="AF67" s="47"/>
      <c r="AG67" s="47"/>
      <c r="AH67" s="77">
        <f t="shared" ref="AH67:AH101" si="98">(LEN($B67)-LEN(SUBSTITUTE(UPPER($B67),UPPER(AH$1),"")))/LEN(AH$1)</f>
        <v>0</v>
      </c>
      <c r="AI67" s="77">
        <f t="shared" si="72"/>
        <v>0</v>
      </c>
      <c r="AJ67" s="77">
        <f t="shared" si="73"/>
        <v>0</v>
      </c>
      <c r="AK67" s="78">
        <f t="shared" si="74"/>
        <v>0</v>
      </c>
      <c r="AL67" s="77">
        <f t="shared" ref="AL67:AL101" si="99">(LEN($B67)-LEN(SUBSTITUTE(UPPER($B67),UPPER(AL$1),"")))/LEN(AL$1)</f>
        <v>0</v>
      </c>
      <c r="AM67" s="77">
        <f t="shared" si="75"/>
        <v>0</v>
      </c>
      <c r="AN67" s="77">
        <f t="shared" si="76"/>
        <v>0</v>
      </c>
      <c r="AO67" s="78">
        <f t="shared" si="77"/>
        <v>0</v>
      </c>
      <c r="AP67" s="77">
        <f t="shared" ref="AP67:AP101" si="100">(LEN($B67)-LEN(SUBSTITUTE(UPPER($B67),UPPER(AP$1),"")))/LEN(AP$1)</f>
        <v>0</v>
      </c>
      <c r="AQ67" s="77">
        <f t="shared" si="78"/>
        <v>0</v>
      </c>
      <c r="AR67" s="77">
        <f t="shared" si="79"/>
        <v>0</v>
      </c>
      <c r="AS67" s="78">
        <f t="shared" si="80"/>
        <v>0</v>
      </c>
      <c r="AT67" s="79">
        <f t="shared" ref="AT67:AT101" si="101">(LEN($B67)-LEN(SUBSTITUTE(UPPER($B67),UPPER(AT$1),"")))/LEN(AT$1)</f>
        <v>0</v>
      </c>
      <c r="AU67" s="77">
        <f t="shared" si="81"/>
        <v>0</v>
      </c>
      <c r="AV67" s="77">
        <f t="shared" si="82"/>
        <v>0</v>
      </c>
      <c r="AW67" s="78">
        <f t="shared" si="83"/>
        <v>0</v>
      </c>
      <c r="AX67" s="77">
        <f t="shared" ref="AX67:AX101" si="102">(LEN($B67)-LEN(SUBSTITUTE(UPPER($B67),UPPER(AX$1),"")))/LEN(AX$1)</f>
        <v>0</v>
      </c>
      <c r="AY67" s="77">
        <f t="shared" si="84"/>
        <v>0</v>
      </c>
      <c r="AZ67" s="77">
        <f t="shared" si="85"/>
        <v>0</v>
      </c>
      <c r="BA67" s="78">
        <f t="shared" si="86"/>
        <v>0</v>
      </c>
      <c r="BB67" s="77">
        <f t="shared" ref="BB67:BB101" si="103">(LEN($B67)-LEN(SUBSTITUTE(UPPER($B67),UPPER(BB$1),"")))/LEN(BB$1)</f>
        <v>0</v>
      </c>
      <c r="BC67" s="77">
        <f t="shared" si="87"/>
        <v>0</v>
      </c>
      <c r="BD67" s="77">
        <f t="shared" si="88"/>
        <v>0</v>
      </c>
      <c r="BE67" s="80">
        <f t="shared" si="89"/>
        <v>0</v>
      </c>
      <c r="BF67" s="44">
        <f t="shared" si="90"/>
        <v>0</v>
      </c>
      <c r="BG67" s="45">
        <f t="shared" si="91"/>
        <v>0</v>
      </c>
      <c r="BH67" s="46"/>
      <c r="BI67" s="47"/>
      <c r="BJ67" s="47"/>
    </row>
    <row r="68" spans="1:62">
      <c r="A68" s="84">
        <v>67</v>
      </c>
      <c r="B68" s="48"/>
      <c r="C68" s="49"/>
      <c r="D68" s="49"/>
      <c r="E68" s="40">
        <f t="shared" si="92"/>
        <v>0</v>
      </c>
      <c r="F68" s="40">
        <f t="shared" si="52"/>
        <v>0</v>
      </c>
      <c r="G68" s="40">
        <f t="shared" si="53"/>
        <v>0</v>
      </c>
      <c r="H68" s="41">
        <f t="shared" si="54"/>
        <v>0</v>
      </c>
      <c r="I68" s="40">
        <f t="shared" si="93"/>
        <v>0</v>
      </c>
      <c r="J68" s="40">
        <f t="shared" si="55"/>
        <v>0</v>
      </c>
      <c r="K68" s="40">
        <f t="shared" si="56"/>
        <v>0</v>
      </c>
      <c r="L68" s="41">
        <f t="shared" si="57"/>
        <v>0</v>
      </c>
      <c r="M68" s="40">
        <f t="shared" si="94"/>
        <v>0</v>
      </c>
      <c r="N68" s="40">
        <f t="shared" si="58"/>
        <v>0</v>
      </c>
      <c r="O68" s="40">
        <f t="shared" si="59"/>
        <v>0</v>
      </c>
      <c r="P68" s="41">
        <f t="shared" si="60"/>
        <v>0</v>
      </c>
      <c r="Q68" s="42">
        <f t="shared" si="95"/>
        <v>0</v>
      </c>
      <c r="R68" s="40">
        <f t="shared" si="61"/>
        <v>0</v>
      </c>
      <c r="S68" s="40">
        <f t="shared" si="62"/>
        <v>0</v>
      </c>
      <c r="T68" s="41">
        <f t="shared" si="63"/>
        <v>0</v>
      </c>
      <c r="U68" s="40">
        <f t="shared" si="96"/>
        <v>0</v>
      </c>
      <c r="V68" s="40">
        <f t="shared" si="64"/>
        <v>0</v>
      </c>
      <c r="W68" s="40">
        <f t="shared" si="65"/>
        <v>0</v>
      </c>
      <c r="X68" s="41">
        <f t="shared" si="66"/>
        <v>0</v>
      </c>
      <c r="Y68" s="40">
        <f t="shared" si="97"/>
        <v>0</v>
      </c>
      <c r="Z68" s="40">
        <f t="shared" si="67"/>
        <v>0</v>
      </c>
      <c r="AA68" s="40">
        <f t="shared" si="68"/>
        <v>0</v>
      </c>
      <c r="AB68" s="43">
        <f t="shared" si="69"/>
        <v>0</v>
      </c>
      <c r="AC68" s="44">
        <f t="shared" si="70"/>
        <v>0</v>
      </c>
      <c r="AD68" s="45">
        <f t="shared" si="71"/>
        <v>0</v>
      </c>
      <c r="AE68" s="46"/>
      <c r="AF68" s="47"/>
      <c r="AG68" s="47"/>
      <c r="AH68" s="77">
        <f t="shared" si="98"/>
        <v>0</v>
      </c>
      <c r="AI68" s="77">
        <f t="shared" si="72"/>
        <v>0</v>
      </c>
      <c r="AJ68" s="77">
        <f t="shared" si="73"/>
        <v>0</v>
      </c>
      <c r="AK68" s="78">
        <f t="shared" si="74"/>
        <v>0</v>
      </c>
      <c r="AL68" s="77">
        <f t="shared" si="99"/>
        <v>0</v>
      </c>
      <c r="AM68" s="77">
        <f t="shared" si="75"/>
        <v>0</v>
      </c>
      <c r="AN68" s="77">
        <f t="shared" si="76"/>
        <v>0</v>
      </c>
      <c r="AO68" s="78">
        <f t="shared" si="77"/>
        <v>0</v>
      </c>
      <c r="AP68" s="77">
        <f t="shared" si="100"/>
        <v>0</v>
      </c>
      <c r="AQ68" s="77">
        <f t="shared" si="78"/>
        <v>0</v>
      </c>
      <c r="AR68" s="77">
        <f t="shared" si="79"/>
        <v>0</v>
      </c>
      <c r="AS68" s="78">
        <f t="shared" si="80"/>
        <v>0</v>
      </c>
      <c r="AT68" s="79">
        <f t="shared" si="101"/>
        <v>0</v>
      </c>
      <c r="AU68" s="77">
        <f t="shared" si="81"/>
        <v>0</v>
      </c>
      <c r="AV68" s="77">
        <f t="shared" si="82"/>
        <v>0</v>
      </c>
      <c r="AW68" s="78">
        <f t="shared" si="83"/>
        <v>0</v>
      </c>
      <c r="AX68" s="77">
        <f t="shared" si="102"/>
        <v>0</v>
      </c>
      <c r="AY68" s="77">
        <f t="shared" si="84"/>
        <v>0</v>
      </c>
      <c r="AZ68" s="77">
        <f t="shared" si="85"/>
        <v>0</v>
      </c>
      <c r="BA68" s="78">
        <f t="shared" si="86"/>
        <v>0</v>
      </c>
      <c r="BB68" s="77">
        <f t="shared" si="103"/>
        <v>0</v>
      </c>
      <c r="BC68" s="77">
        <f t="shared" si="87"/>
        <v>0</v>
      </c>
      <c r="BD68" s="77">
        <f t="shared" si="88"/>
        <v>0</v>
      </c>
      <c r="BE68" s="80">
        <f t="shared" si="89"/>
        <v>0</v>
      </c>
      <c r="BF68" s="44">
        <f t="shared" si="90"/>
        <v>0</v>
      </c>
      <c r="BG68" s="45">
        <f t="shared" si="91"/>
        <v>0</v>
      </c>
      <c r="BH68" s="46"/>
      <c r="BI68" s="47"/>
      <c r="BJ68" s="47"/>
    </row>
    <row r="69" spans="1:62">
      <c r="A69" s="84">
        <v>68</v>
      </c>
      <c r="B69" s="48"/>
      <c r="C69" s="49"/>
      <c r="D69" s="49"/>
      <c r="E69" s="40">
        <f t="shared" si="92"/>
        <v>0</v>
      </c>
      <c r="F69" s="40">
        <f t="shared" si="52"/>
        <v>0</v>
      </c>
      <c r="G69" s="40">
        <f t="shared" si="53"/>
        <v>0</v>
      </c>
      <c r="H69" s="41">
        <f t="shared" si="54"/>
        <v>0</v>
      </c>
      <c r="I69" s="40">
        <f t="shared" si="93"/>
        <v>0</v>
      </c>
      <c r="J69" s="40">
        <f t="shared" si="55"/>
        <v>0</v>
      </c>
      <c r="K69" s="40">
        <f t="shared" si="56"/>
        <v>0</v>
      </c>
      <c r="L69" s="41">
        <f t="shared" si="57"/>
        <v>0</v>
      </c>
      <c r="M69" s="40">
        <f t="shared" si="94"/>
        <v>0</v>
      </c>
      <c r="N69" s="40">
        <f t="shared" si="58"/>
        <v>0</v>
      </c>
      <c r="O69" s="40">
        <f t="shared" si="59"/>
        <v>0</v>
      </c>
      <c r="P69" s="41">
        <f t="shared" si="60"/>
        <v>0</v>
      </c>
      <c r="Q69" s="42">
        <f t="shared" si="95"/>
        <v>0</v>
      </c>
      <c r="R69" s="40">
        <f t="shared" si="61"/>
        <v>0</v>
      </c>
      <c r="S69" s="40">
        <f t="shared" si="62"/>
        <v>0</v>
      </c>
      <c r="T69" s="41">
        <f t="shared" si="63"/>
        <v>0</v>
      </c>
      <c r="U69" s="40">
        <f t="shared" si="96"/>
        <v>0</v>
      </c>
      <c r="V69" s="40">
        <f t="shared" si="64"/>
        <v>0</v>
      </c>
      <c r="W69" s="40">
        <f t="shared" si="65"/>
        <v>0</v>
      </c>
      <c r="X69" s="41">
        <f t="shared" si="66"/>
        <v>0</v>
      </c>
      <c r="Y69" s="40">
        <f t="shared" si="97"/>
        <v>0</v>
      </c>
      <c r="Z69" s="40">
        <f t="shared" si="67"/>
        <v>0</v>
      </c>
      <c r="AA69" s="40">
        <f t="shared" si="68"/>
        <v>0</v>
      </c>
      <c r="AB69" s="43">
        <f t="shared" si="69"/>
        <v>0</v>
      </c>
      <c r="AC69" s="44">
        <f t="shared" si="70"/>
        <v>0</v>
      </c>
      <c r="AD69" s="45">
        <f t="shared" si="71"/>
        <v>0</v>
      </c>
      <c r="AE69" s="46"/>
      <c r="AF69" s="47"/>
      <c r="AG69" s="47"/>
      <c r="AH69" s="77">
        <f t="shared" si="98"/>
        <v>0</v>
      </c>
      <c r="AI69" s="77">
        <f t="shared" si="72"/>
        <v>0</v>
      </c>
      <c r="AJ69" s="77">
        <f t="shared" si="73"/>
        <v>0</v>
      </c>
      <c r="AK69" s="78">
        <f t="shared" si="74"/>
        <v>0</v>
      </c>
      <c r="AL69" s="77">
        <f t="shared" si="99"/>
        <v>0</v>
      </c>
      <c r="AM69" s="77">
        <f t="shared" si="75"/>
        <v>0</v>
      </c>
      <c r="AN69" s="77">
        <f t="shared" si="76"/>
        <v>0</v>
      </c>
      <c r="AO69" s="78">
        <f t="shared" si="77"/>
        <v>0</v>
      </c>
      <c r="AP69" s="77">
        <f t="shared" si="100"/>
        <v>0</v>
      </c>
      <c r="AQ69" s="77">
        <f t="shared" si="78"/>
        <v>0</v>
      </c>
      <c r="AR69" s="77">
        <f t="shared" si="79"/>
        <v>0</v>
      </c>
      <c r="AS69" s="78">
        <f t="shared" si="80"/>
        <v>0</v>
      </c>
      <c r="AT69" s="79">
        <f t="shared" si="101"/>
        <v>0</v>
      </c>
      <c r="AU69" s="77">
        <f t="shared" si="81"/>
        <v>0</v>
      </c>
      <c r="AV69" s="77">
        <f t="shared" si="82"/>
        <v>0</v>
      </c>
      <c r="AW69" s="78">
        <f t="shared" si="83"/>
        <v>0</v>
      </c>
      <c r="AX69" s="77">
        <f t="shared" si="102"/>
        <v>0</v>
      </c>
      <c r="AY69" s="77">
        <f t="shared" si="84"/>
        <v>0</v>
      </c>
      <c r="AZ69" s="77">
        <f t="shared" si="85"/>
        <v>0</v>
      </c>
      <c r="BA69" s="78">
        <f t="shared" si="86"/>
        <v>0</v>
      </c>
      <c r="BB69" s="77">
        <f t="shared" si="103"/>
        <v>0</v>
      </c>
      <c r="BC69" s="77">
        <f t="shared" si="87"/>
        <v>0</v>
      </c>
      <c r="BD69" s="77">
        <f t="shared" si="88"/>
        <v>0</v>
      </c>
      <c r="BE69" s="80">
        <f t="shared" si="89"/>
        <v>0</v>
      </c>
      <c r="BF69" s="44">
        <f t="shared" si="90"/>
        <v>0</v>
      </c>
      <c r="BG69" s="45">
        <f t="shared" si="91"/>
        <v>0</v>
      </c>
      <c r="BH69" s="46"/>
      <c r="BI69" s="47"/>
      <c r="BJ69" s="47"/>
    </row>
    <row r="70" spans="1:62">
      <c r="A70" s="84">
        <v>69</v>
      </c>
      <c r="B70" s="48"/>
      <c r="C70" s="49"/>
      <c r="D70" s="49"/>
      <c r="E70" s="40">
        <f t="shared" si="92"/>
        <v>0</v>
      </c>
      <c r="F70" s="40">
        <f t="shared" si="52"/>
        <v>0</v>
      </c>
      <c r="G70" s="40">
        <f t="shared" si="53"/>
        <v>0</v>
      </c>
      <c r="H70" s="41">
        <f t="shared" si="54"/>
        <v>0</v>
      </c>
      <c r="I70" s="40">
        <f t="shared" si="93"/>
        <v>0</v>
      </c>
      <c r="J70" s="40">
        <f t="shared" si="55"/>
        <v>0</v>
      </c>
      <c r="K70" s="40">
        <f t="shared" si="56"/>
        <v>0</v>
      </c>
      <c r="L70" s="41">
        <f t="shared" si="57"/>
        <v>0</v>
      </c>
      <c r="M70" s="40">
        <f t="shared" si="94"/>
        <v>0</v>
      </c>
      <c r="N70" s="40">
        <f t="shared" si="58"/>
        <v>0</v>
      </c>
      <c r="O70" s="40">
        <f t="shared" si="59"/>
        <v>0</v>
      </c>
      <c r="P70" s="41">
        <f t="shared" si="60"/>
        <v>0</v>
      </c>
      <c r="Q70" s="42">
        <f t="shared" si="95"/>
        <v>0</v>
      </c>
      <c r="R70" s="40">
        <f t="shared" si="61"/>
        <v>0</v>
      </c>
      <c r="S70" s="40">
        <f t="shared" si="62"/>
        <v>0</v>
      </c>
      <c r="T70" s="41">
        <f t="shared" si="63"/>
        <v>0</v>
      </c>
      <c r="U70" s="40">
        <f t="shared" si="96"/>
        <v>0</v>
      </c>
      <c r="V70" s="40">
        <f t="shared" si="64"/>
        <v>0</v>
      </c>
      <c r="W70" s="40">
        <f t="shared" si="65"/>
        <v>0</v>
      </c>
      <c r="X70" s="41">
        <f t="shared" si="66"/>
        <v>0</v>
      </c>
      <c r="Y70" s="40">
        <f t="shared" si="97"/>
        <v>0</v>
      </c>
      <c r="Z70" s="40">
        <f t="shared" si="67"/>
        <v>0</v>
      </c>
      <c r="AA70" s="40">
        <f t="shared" si="68"/>
        <v>0</v>
      </c>
      <c r="AB70" s="43">
        <f t="shared" si="69"/>
        <v>0</v>
      </c>
      <c r="AC70" s="44">
        <f t="shared" si="70"/>
        <v>0</v>
      </c>
      <c r="AD70" s="45">
        <f t="shared" si="71"/>
        <v>0</v>
      </c>
      <c r="AE70" s="46"/>
      <c r="AF70" s="47"/>
      <c r="AG70" s="47"/>
      <c r="AH70" s="77">
        <f t="shared" si="98"/>
        <v>0</v>
      </c>
      <c r="AI70" s="77">
        <f t="shared" si="72"/>
        <v>0</v>
      </c>
      <c r="AJ70" s="77">
        <f t="shared" si="73"/>
        <v>0</v>
      </c>
      <c r="AK70" s="78">
        <f t="shared" si="74"/>
        <v>0</v>
      </c>
      <c r="AL70" s="77">
        <f t="shared" si="99"/>
        <v>0</v>
      </c>
      <c r="AM70" s="77">
        <f t="shared" si="75"/>
        <v>0</v>
      </c>
      <c r="AN70" s="77">
        <f t="shared" si="76"/>
        <v>0</v>
      </c>
      <c r="AO70" s="78">
        <f t="shared" si="77"/>
        <v>0</v>
      </c>
      <c r="AP70" s="77">
        <f t="shared" si="100"/>
        <v>0</v>
      </c>
      <c r="AQ70" s="77">
        <f t="shared" si="78"/>
        <v>0</v>
      </c>
      <c r="AR70" s="77">
        <f t="shared" si="79"/>
        <v>0</v>
      </c>
      <c r="AS70" s="78">
        <f t="shared" si="80"/>
        <v>0</v>
      </c>
      <c r="AT70" s="79">
        <f t="shared" si="101"/>
        <v>0</v>
      </c>
      <c r="AU70" s="77">
        <f t="shared" si="81"/>
        <v>0</v>
      </c>
      <c r="AV70" s="77">
        <f t="shared" si="82"/>
        <v>0</v>
      </c>
      <c r="AW70" s="78">
        <f t="shared" si="83"/>
        <v>0</v>
      </c>
      <c r="AX70" s="77">
        <f t="shared" si="102"/>
        <v>0</v>
      </c>
      <c r="AY70" s="77">
        <f t="shared" si="84"/>
        <v>0</v>
      </c>
      <c r="AZ70" s="77">
        <f t="shared" si="85"/>
        <v>0</v>
      </c>
      <c r="BA70" s="78">
        <f t="shared" si="86"/>
        <v>0</v>
      </c>
      <c r="BB70" s="77">
        <f t="shared" si="103"/>
        <v>0</v>
      </c>
      <c r="BC70" s="77">
        <f t="shared" si="87"/>
        <v>0</v>
      </c>
      <c r="BD70" s="77">
        <f t="shared" si="88"/>
        <v>0</v>
      </c>
      <c r="BE70" s="80">
        <f t="shared" si="89"/>
        <v>0</v>
      </c>
      <c r="BF70" s="44">
        <f t="shared" si="90"/>
        <v>0</v>
      </c>
      <c r="BG70" s="45">
        <f t="shared" si="91"/>
        <v>0</v>
      </c>
      <c r="BH70" s="46"/>
      <c r="BI70" s="47"/>
      <c r="BJ70" s="47"/>
    </row>
    <row r="71" spans="1:62">
      <c r="A71" s="84">
        <v>70</v>
      </c>
      <c r="B71" s="48"/>
      <c r="C71" s="49"/>
      <c r="D71" s="49"/>
      <c r="E71" s="40">
        <f t="shared" si="92"/>
        <v>0</v>
      </c>
      <c r="F71" s="40">
        <f t="shared" si="52"/>
        <v>0</v>
      </c>
      <c r="G71" s="40">
        <f t="shared" si="53"/>
        <v>0</v>
      </c>
      <c r="H71" s="41">
        <f t="shared" si="54"/>
        <v>0</v>
      </c>
      <c r="I71" s="40">
        <f t="shared" si="93"/>
        <v>0</v>
      </c>
      <c r="J71" s="40">
        <f t="shared" si="55"/>
        <v>0</v>
      </c>
      <c r="K71" s="40">
        <f t="shared" si="56"/>
        <v>0</v>
      </c>
      <c r="L71" s="41">
        <f t="shared" si="57"/>
        <v>0</v>
      </c>
      <c r="M71" s="40">
        <f t="shared" si="94"/>
        <v>0</v>
      </c>
      <c r="N71" s="40">
        <f t="shared" si="58"/>
        <v>0</v>
      </c>
      <c r="O71" s="40">
        <f t="shared" si="59"/>
        <v>0</v>
      </c>
      <c r="P71" s="41">
        <f t="shared" si="60"/>
        <v>0</v>
      </c>
      <c r="Q71" s="42">
        <f t="shared" si="95"/>
        <v>0</v>
      </c>
      <c r="R71" s="40">
        <f t="shared" si="61"/>
        <v>0</v>
      </c>
      <c r="S71" s="40">
        <f t="shared" si="62"/>
        <v>0</v>
      </c>
      <c r="T71" s="41">
        <f t="shared" si="63"/>
        <v>0</v>
      </c>
      <c r="U71" s="40">
        <f t="shared" si="96"/>
        <v>0</v>
      </c>
      <c r="V71" s="40">
        <f t="shared" si="64"/>
        <v>0</v>
      </c>
      <c r="W71" s="40">
        <f t="shared" si="65"/>
        <v>0</v>
      </c>
      <c r="X71" s="41">
        <f t="shared" si="66"/>
        <v>0</v>
      </c>
      <c r="Y71" s="40">
        <f t="shared" si="97"/>
        <v>0</v>
      </c>
      <c r="Z71" s="40">
        <f t="shared" si="67"/>
        <v>0</v>
      </c>
      <c r="AA71" s="40">
        <f t="shared" si="68"/>
        <v>0</v>
      </c>
      <c r="AB71" s="43">
        <f t="shared" si="69"/>
        <v>0</v>
      </c>
      <c r="AC71" s="44">
        <f t="shared" si="70"/>
        <v>0</v>
      </c>
      <c r="AD71" s="45">
        <f t="shared" si="71"/>
        <v>0</v>
      </c>
      <c r="AE71" s="46"/>
      <c r="AF71" s="47"/>
      <c r="AG71" s="47"/>
      <c r="AH71" s="77">
        <f t="shared" si="98"/>
        <v>0</v>
      </c>
      <c r="AI71" s="77">
        <f t="shared" si="72"/>
        <v>0</v>
      </c>
      <c r="AJ71" s="77">
        <f t="shared" si="73"/>
        <v>0</v>
      </c>
      <c r="AK71" s="78">
        <f t="shared" si="74"/>
        <v>0</v>
      </c>
      <c r="AL71" s="77">
        <f t="shared" si="99"/>
        <v>0</v>
      </c>
      <c r="AM71" s="77">
        <f t="shared" si="75"/>
        <v>0</v>
      </c>
      <c r="AN71" s="77">
        <f t="shared" si="76"/>
        <v>0</v>
      </c>
      <c r="AO71" s="78">
        <f t="shared" si="77"/>
        <v>0</v>
      </c>
      <c r="AP71" s="77">
        <f t="shared" si="100"/>
        <v>0</v>
      </c>
      <c r="AQ71" s="77">
        <f t="shared" si="78"/>
        <v>0</v>
      </c>
      <c r="AR71" s="77">
        <f t="shared" si="79"/>
        <v>0</v>
      </c>
      <c r="AS71" s="78">
        <f t="shared" si="80"/>
        <v>0</v>
      </c>
      <c r="AT71" s="79">
        <f t="shared" si="101"/>
        <v>0</v>
      </c>
      <c r="AU71" s="77">
        <f t="shared" si="81"/>
        <v>0</v>
      </c>
      <c r="AV71" s="77">
        <f t="shared" si="82"/>
        <v>0</v>
      </c>
      <c r="AW71" s="78">
        <f t="shared" si="83"/>
        <v>0</v>
      </c>
      <c r="AX71" s="77">
        <f t="shared" si="102"/>
        <v>0</v>
      </c>
      <c r="AY71" s="77">
        <f t="shared" si="84"/>
        <v>0</v>
      </c>
      <c r="AZ71" s="77">
        <f t="shared" si="85"/>
        <v>0</v>
      </c>
      <c r="BA71" s="78">
        <f t="shared" si="86"/>
        <v>0</v>
      </c>
      <c r="BB71" s="77">
        <f t="shared" si="103"/>
        <v>0</v>
      </c>
      <c r="BC71" s="77">
        <f t="shared" si="87"/>
        <v>0</v>
      </c>
      <c r="BD71" s="77">
        <f t="shared" si="88"/>
        <v>0</v>
      </c>
      <c r="BE71" s="80">
        <f t="shared" si="89"/>
        <v>0</v>
      </c>
      <c r="BF71" s="44">
        <f t="shared" si="90"/>
        <v>0</v>
      </c>
      <c r="BG71" s="45">
        <f t="shared" si="91"/>
        <v>0</v>
      </c>
      <c r="BH71" s="46"/>
      <c r="BI71" s="47"/>
      <c r="BJ71" s="47"/>
    </row>
    <row r="72" spans="1:62">
      <c r="A72" s="84">
        <v>71</v>
      </c>
      <c r="B72" s="48"/>
      <c r="C72" s="49"/>
      <c r="D72" s="49"/>
      <c r="E72" s="40">
        <f t="shared" si="92"/>
        <v>0</v>
      </c>
      <c r="F72" s="40">
        <f t="shared" si="52"/>
        <v>0</v>
      </c>
      <c r="G72" s="40">
        <f t="shared" si="53"/>
        <v>0</v>
      </c>
      <c r="H72" s="41">
        <f t="shared" si="54"/>
        <v>0</v>
      </c>
      <c r="I72" s="40">
        <f t="shared" si="93"/>
        <v>0</v>
      </c>
      <c r="J72" s="40">
        <f t="shared" si="55"/>
        <v>0</v>
      </c>
      <c r="K72" s="40">
        <f t="shared" si="56"/>
        <v>0</v>
      </c>
      <c r="L72" s="41">
        <f t="shared" si="57"/>
        <v>0</v>
      </c>
      <c r="M72" s="40">
        <f t="shared" si="94"/>
        <v>0</v>
      </c>
      <c r="N72" s="40">
        <f t="shared" si="58"/>
        <v>0</v>
      </c>
      <c r="O72" s="40">
        <f t="shared" si="59"/>
        <v>0</v>
      </c>
      <c r="P72" s="41">
        <f t="shared" si="60"/>
        <v>0</v>
      </c>
      <c r="Q72" s="42">
        <f t="shared" si="95"/>
        <v>0</v>
      </c>
      <c r="R72" s="40">
        <f t="shared" si="61"/>
        <v>0</v>
      </c>
      <c r="S72" s="40">
        <f t="shared" si="62"/>
        <v>0</v>
      </c>
      <c r="T72" s="41">
        <f t="shared" si="63"/>
        <v>0</v>
      </c>
      <c r="U72" s="40">
        <f t="shared" si="96"/>
        <v>0</v>
      </c>
      <c r="V72" s="40">
        <f t="shared" si="64"/>
        <v>0</v>
      </c>
      <c r="W72" s="40">
        <f t="shared" si="65"/>
        <v>0</v>
      </c>
      <c r="X72" s="41">
        <f t="shared" si="66"/>
        <v>0</v>
      </c>
      <c r="Y72" s="40">
        <f t="shared" si="97"/>
        <v>0</v>
      </c>
      <c r="Z72" s="40">
        <f t="shared" si="67"/>
        <v>0</v>
      </c>
      <c r="AA72" s="40">
        <f t="shared" si="68"/>
        <v>0</v>
      </c>
      <c r="AB72" s="43">
        <f t="shared" si="69"/>
        <v>0</v>
      </c>
      <c r="AC72" s="44">
        <f t="shared" si="70"/>
        <v>0</v>
      </c>
      <c r="AD72" s="45">
        <f t="shared" si="71"/>
        <v>0</v>
      </c>
      <c r="AE72" s="46"/>
      <c r="AF72" s="47"/>
      <c r="AG72" s="47"/>
      <c r="AH72" s="77">
        <f t="shared" si="98"/>
        <v>0</v>
      </c>
      <c r="AI72" s="77">
        <f t="shared" si="72"/>
        <v>0</v>
      </c>
      <c r="AJ72" s="77">
        <f t="shared" si="73"/>
        <v>0</v>
      </c>
      <c r="AK72" s="78">
        <f t="shared" si="74"/>
        <v>0</v>
      </c>
      <c r="AL72" s="77">
        <f t="shared" si="99"/>
        <v>0</v>
      </c>
      <c r="AM72" s="77">
        <f t="shared" si="75"/>
        <v>0</v>
      </c>
      <c r="AN72" s="77">
        <f t="shared" si="76"/>
        <v>0</v>
      </c>
      <c r="AO72" s="78">
        <f t="shared" si="77"/>
        <v>0</v>
      </c>
      <c r="AP72" s="77">
        <f t="shared" si="100"/>
        <v>0</v>
      </c>
      <c r="AQ72" s="77">
        <f t="shared" si="78"/>
        <v>0</v>
      </c>
      <c r="AR72" s="77">
        <f t="shared" si="79"/>
        <v>0</v>
      </c>
      <c r="AS72" s="78">
        <f t="shared" si="80"/>
        <v>0</v>
      </c>
      <c r="AT72" s="79">
        <f t="shared" si="101"/>
        <v>0</v>
      </c>
      <c r="AU72" s="77">
        <f t="shared" si="81"/>
        <v>0</v>
      </c>
      <c r="AV72" s="77">
        <f t="shared" si="82"/>
        <v>0</v>
      </c>
      <c r="AW72" s="78">
        <f t="shared" si="83"/>
        <v>0</v>
      </c>
      <c r="AX72" s="77">
        <f t="shared" si="102"/>
        <v>0</v>
      </c>
      <c r="AY72" s="77">
        <f t="shared" si="84"/>
        <v>0</v>
      </c>
      <c r="AZ72" s="77">
        <f t="shared" si="85"/>
        <v>0</v>
      </c>
      <c r="BA72" s="78">
        <f t="shared" si="86"/>
        <v>0</v>
      </c>
      <c r="BB72" s="77">
        <f t="shared" si="103"/>
        <v>0</v>
      </c>
      <c r="BC72" s="77">
        <f t="shared" si="87"/>
        <v>0</v>
      </c>
      <c r="BD72" s="77">
        <f t="shared" si="88"/>
        <v>0</v>
      </c>
      <c r="BE72" s="80">
        <f t="shared" si="89"/>
        <v>0</v>
      </c>
      <c r="BF72" s="44">
        <f t="shared" si="90"/>
        <v>0</v>
      </c>
      <c r="BG72" s="45">
        <f t="shared" si="91"/>
        <v>0</v>
      </c>
      <c r="BH72" s="46"/>
      <c r="BI72" s="47"/>
      <c r="BJ72" s="47"/>
    </row>
    <row r="73" spans="1:62">
      <c r="A73" s="84">
        <v>72</v>
      </c>
      <c r="B73" s="48"/>
      <c r="C73" s="49"/>
      <c r="D73" s="49"/>
      <c r="E73" s="40">
        <f t="shared" si="92"/>
        <v>0</v>
      </c>
      <c r="F73" s="40">
        <f t="shared" si="52"/>
        <v>0</v>
      </c>
      <c r="G73" s="40">
        <f t="shared" si="53"/>
        <v>0</v>
      </c>
      <c r="H73" s="41">
        <f t="shared" si="54"/>
        <v>0</v>
      </c>
      <c r="I73" s="40">
        <f t="shared" si="93"/>
        <v>0</v>
      </c>
      <c r="J73" s="40">
        <f t="shared" si="55"/>
        <v>0</v>
      </c>
      <c r="K73" s="40">
        <f t="shared" si="56"/>
        <v>0</v>
      </c>
      <c r="L73" s="41">
        <f t="shared" si="57"/>
        <v>0</v>
      </c>
      <c r="M73" s="40">
        <f t="shared" si="94"/>
        <v>0</v>
      </c>
      <c r="N73" s="40">
        <f t="shared" si="58"/>
        <v>0</v>
      </c>
      <c r="O73" s="40">
        <f t="shared" si="59"/>
        <v>0</v>
      </c>
      <c r="P73" s="41">
        <f t="shared" si="60"/>
        <v>0</v>
      </c>
      <c r="Q73" s="42">
        <f t="shared" si="95"/>
        <v>0</v>
      </c>
      <c r="R73" s="40">
        <f t="shared" si="61"/>
        <v>0</v>
      </c>
      <c r="S73" s="40">
        <f t="shared" si="62"/>
        <v>0</v>
      </c>
      <c r="T73" s="41">
        <f t="shared" si="63"/>
        <v>0</v>
      </c>
      <c r="U73" s="40">
        <f t="shared" si="96"/>
        <v>0</v>
      </c>
      <c r="V73" s="40">
        <f t="shared" si="64"/>
        <v>0</v>
      </c>
      <c r="W73" s="40">
        <f t="shared" si="65"/>
        <v>0</v>
      </c>
      <c r="X73" s="41">
        <f t="shared" si="66"/>
        <v>0</v>
      </c>
      <c r="Y73" s="40">
        <f t="shared" si="97"/>
        <v>0</v>
      </c>
      <c r="Z73" s="40">
        <f t="shared" si="67"/>
        <v>0</v>
      </c>
      <c r="AA73" s="40">
        <f t="shared" si="68"/>
        <v>0</v>
      </c>
      <c r="AB73" s="43">
        <f t="shared" si="69"/>
        <v>0</v>
      </c>
      <c r="AC73" s="44">
        <f t="shared" si="70"/>
        <v>0</v>
      </c>
      <c r="AD73" s="45">
        <f t="shared" si="71"/>
        <v>0</v>
      </c>
      <c r="AE73" s="46"/>
      <c r="AF73" s="47"/>
      <c r="AG73" s="47"/>
      <c r="AH73" s="77">
        <f t="shared" si="98"/>
        <v>0</v>
      </c>
      <c r="AI73" s="77">
        <f t="shared" si="72"/>
        <v>0</v>
      </c>
      <c r="AJ73" s="77">
        <f t="shared" si="73"/>
        <v>0</v>
      </c>
      <c r="AK73" s="78">
        <f t="shared" si="74"/>
        <v>0</v>
      </c>
      <c r="AL73" s="77">
        <f t="shared" si="99"/>
        <v>0</v>
      </c>
      <c r="AM73" s="77">
        <f t="shared" si="75"/>
        <v>0</v>
      </c>
      <c r="AN73" s="77">
        <f t="shared" si="76"/>
        <v>0</v>
      </c>
      <c r="AO73" s="78">
        <f t="shared" si="77"/>
        <v>0</v>
      </c>
      <c r="AP73" s="77">
        <f t="shared" si="100"/>
        <v>0</v>
      </c>
      <c r="AQ73" s="77">
        <f t="shared" si="78"/>
        <v>0</v>
      </c>
      <c r="AR73" s="77">
        <f t="shared" si="79"/>
        <v>0</v>
      </c>
      <c r="AS73" s="78">
        <f t="shared" si="80"/>
        <v>0</v>
      </c>
      <c r="AT73" s="79">
        <f t="shared" si="101"/>
        <v>0</v>
      </c>
      <c r="AU73" s="77">
        <f t="shared" si="81"/>
        <v>0</v>
      </c>
      <c r="AV73" s="77">
        <f t="shared" si="82"/>
        <v>0</v>
      </c>
      <c r="AW73" s="78">
        <f t="shared" si="83"/>
        <v>0</v>
      </c>
      <c r="AX73" s="77">
        <f t="shared" si="102"/>
        <v>0</v>
      </c>
      <c r="AY73" s="77">
        <f t="shared" si="84"/>
        <v>0</v>
      </c>
      <c r="AZ73" s="77">
        <f t="shared" si="85"/>
        <v>0</v>
      </c>
      <c r="BA73" s="78">
        <f t="shared" si="86"/>
        <v>0</v>
      </c>
      <c r="BB73" s="77">
        <f t="shared" si="103"/>
        <v>0</v>
      </c>
      <c r="BC73" s="77">
        <f t="shared" si="87"/>
        <v>0</v>
      </c>
      <c r="BD73" s="77">
        <f t="shared" si="88"/>
        <v>0</v>
      </c>
      <c r="BE73" s="80">
        <f t="shared" si="89"/>
        <v>0</v>
      </c>
      <c r="BF73" s="44">
        <f t="shared" si="90"/>
        <v>0</v>
      </c>
      <c r="BG73" s="45">
        <f t="shared" si="91"/>
        <v>0</v>
      </c>
      <c r="BH73" s="46"/>
      <c r="BI73" s="47"/>
      <c r="BJ73" s="47"/>
    </row>
    <row r="74" spans="1:62">
      <c r="A74" s="84">
        <v>73</v>
      </c>
      <c r="B74" s="48"/>
      <c r="C74" s="49"/>
      <c r="D74" s="49"/>
      <c r="E74" s="40">
        <f t="shared" si="92"/>
        <v>0</v>
      </c>
      <c r="F74" s="40">
        <f t="shared" si="52"/>
        <v>0</v>
      </c>
      <c r="G74" s="40">
        <f t="shared" si="53"/>
        <v>0</v>
      </c>
      <c r="H74" s="41">
        <f t="shared" si="54"/>
        <v>0</v>
      </c>
      <c r="I74" s="40">
        <f t="shared" si="93"/>
        <v>0</v>
      </c>
      <c r="J74" s="40">
        <f t="shared" si="55"/>
        <v>0</v>
      </c>
      <c r="K74" s="40">
        <f t="shared" si="56"/>
        <v>0</v>
      </c>
      <c r="L74" s="41">
        <f t="shared" si="57"/>
        <v>0</v>
      </c>
      <c r="M74" s="40">
        <f t="shared" si="94"/>
        <v>0</v>
      </c>
      <c r="N74" s="40">
        <f t="shared" si="58"/>
        <v>0</v>
      </c>
      <c r="O74" s="40">
        <f t="shared" si="59"/>
        <v>0</v>
      </c>
      <c r="P74" s="41">
        <f t="shared" si="60"/>
        <v>0</v>
      </c>
      <c r="Q74" s="42">
        <f t="shared" si="95"/>
        <v>0</v>
      </c>
      <c r="R74" s="40">
        <f t="shared" si="61"/>
        <v>0</v>
      </c>
      <c r="S74" s="40">
        <f t="shared" si="62"/>
        <v>0</v>
      </c>
      <c r="T74" s="41">
        <f t="shared" si="63"/>
        <v>0</v>
      </c>
      <c r="U74" s="40">
        <f t="shared" si="96"/>
        <v>0</v>
      </c>
      <c r="V74" s="40">
        <f t="shared" si="64"/>
        <v>0</v>
      </c>
      <c r="W74" s="40">
        <f t="shared" si="65"/>
        <v>0</v>
      </c>
      <c r="X74" s="41">
        <f t="shared" si="66"/>
        <v>0</v>
      </c>
      <c r="Y74" s="40">
        <f t="shared" si="97"/>
        <v>0</v>
      </c>
      <c r="Z74" s="40">
        <f t="shared" si="67"/>
        <v>0</v>
      </c>
      <c r="AA74" s="40">
        <f t="shared" si="68"/>
        <v>0</v>
      </c>
      <c r="AB74" s="43">
        <f t="shared" si="69"/>
        <v>0</v>
      </c>
      <c r="AC74" s="44">
        <f t="shared" si="70"/>
        <v>0</v>
      </c>
      <c r="AD74" s="45">
        <f t="shared" si="71"/>
        <v>0</v>
      </c>
      <c r="AE74" s="46"/>
      <c r="AF74" s="47"/>
      <c r="AG74" s="47"/>
      <c r="AH74" s="77">
        <f t="shared" si="98"/>
        <v>0</v>
      </c>
      <c r="AI74" s="77">
        <f t="shared" si="72"/>
        <v>0</v>
      </c>
      <c r="AJ74" s="77">
        <f t="shared" si="73"/>
        <v>0</v>
      </c>
      <c r="AK74" s="78">
        <f t="shared" si="74"/>
        <v>0</v>
      </c>
      <c r="AL74" s="77">
        <f t="shared" si="99"/>
        <v>0</v>
      </c>
      <c r="AM74" s="77">
        <f t="shared" si="75"/>
        <v>0</v>
      </c>
      <c r="AN74" s="77">
        <f t="shared" si="76"/>
        <v>0</v>
      </c>
      <c r="AO74" s="78">
        <f t="shared" si="77"/>
        <v>0</v>
      </c>
      <c r="AP74" s="77">
        <f t="shared" si="100"/>
        <v>0</v>
      </c>
      <c r="AQ74" s="77">
        <f t="shared" si="78"/>
        <v>0</v>
      </c>
      <c r="AR74" s="77">
        <f t="shared" si="79"/>
        <v>0</v>
      </c>
      <c r="AS74" s="78">
        <f t="shared" si="80"/>
        <v>0</v>
      </c>
      <c r="AT74" s="79">
        <f t="shared" si="101"/>
        <v>0</v>
      </c>
      <c r="AU74" s="77">
        <f t="shared" si="81"/>
        <v>0</v>
      </c>
      <c r="AV74" s="77">
        <f t="shared" si="82"/>
        <v>0</v>
      </c>
      <c r="AW74" s="78">
        <f t="shared" si="83"/>
        <v>0</v>
      </c>
      <c r="AX74" s="77">
        <f t="shared" si="102"/>
        <v>0</v>
      </c>
      <c r="AY74" s="77">
        <f t="shared" si="84"/>
        <v>0</v>
      </c>
      <c r="AZ74" s="77">
        <f t="shared" si="85"/>
        <v>0</v>
      </c>
      <c r="BA74" s="78">
        <f t="shared" si="86"/>
        <v>0</v>
      </c>
      <c r="BB74" s="77">
        <f t="shared" si="103"/>
        <v>0</v>
      </c>
      <c r="BC74" s="77">
        <f t="shared" si="87"/>
        <v>0</v>
      </c>
      <c r="BD74" s="77">
        <f t="shared" si="88"/>
        <v>0</v>
      </c>
      <c r="BE74" s="80">
        <f t="shared" si="89"/>
        <v>0</v>
      </c>
      <c r="BF74" s="44">
        <f t="shared" si="90"/>
        <v>0</v>
      </c>
      <c r="BG74" s="45">
        <f t="shared" si="91"/>
        <v>0</v>
      </c>
      <c r="BH74" s="46"/>
      <c r="BI74" s="47"/>
      <c r="BJ74" s="47"/>
    </row>
    <row r="75" spans="1:62">
      <c r="A75" s="84">
        <v>74</v>
      </c>
      <c r="B75" s="48"/>
      <c r="C75" s="49"/>
      <c r="D75" s="49"/>
      <c r="E75" s="40">
        <f t="shared" si="92"/>
        <v>0</v>
      </c>
      <c r="F75" s="40">
        <f t="shared" si="52"/>
        <v>0</v>
      </c>
      <c r="G75" s="40">
        <f t="shared" si="53"/>
        <v>0</v>
      </c>
      <c r="H75" s="41">
        <f t="shared" si="54"/>
        <v>0</v>
      </c>
      <c r="I75" s="40">
        <f t="shared" si="93"/>
        <v>0</v>
      </c>
      <c r="J75" s="40">
        <f t="shared" si="55"/>
        <v>0</v>
      </c>
      <c r="K75" s="40">
        <f t="shared" si="56"/>
        <v>0</v>
      </c>
      <c r="L75" s="41">
        <f t="shared" si="57"/>
        <v>0</v>
      </c>
      <c r="M75" s="40">
        <f t="shared" si="94"/>
        <v>0</v>
      </c>
      <c r="N75" s="40">
        <f t="shared" si="58"/>
        <v>0</v>
      </c>
      <c r="O75" s="40">
        <f t="shared" si="59"/>
        <v>0</v>
      </c>
      <c r="P75" s="41">
        <f t="shared" si="60"/>
        <v>0</v>
      </c>
      <c r="Q75" s="42">
        <f t="shared" si="95"/>
        <v>0</v>
      </c>
      <c r="R75" s="40">
        <f t="shared" si="61"/>
        <v>0</v>
      </c>
      <c r="S75" s="40">
        <f t="shared" si="62"/>
        <v>0</v>
      </c>
      <c r="T75" s="41">
        <f t="shared" si="63"/>
        <v>0</v>
      </c>
      <c r="U75" s="40">
        <f t="shared" si="96"/>
        <v>0</v>
      </c>
      <c r="V75" s="40">
        <f t="shared" si="64"/>
        <v>0</v>
      </c>
      <c r="W75" s="40">
        <f t="shared" si="65"/>
        <v>0</v>
      </c>
      <c r="X75" s="41">
        <f t="shared" si="66"/>
        <v>0</v>
      </c>
      <c r="Y75" s="40">
        <f t="shared" si="97"/>
        <v>0</v>
      </c>
      <c r="Z75" s="40">
        <f t="shared" si="67"/>
        <v>0</v>
      </c>
      <c r="AA75" s="40">
        <f t="shared" si="68"/>
        <v>0</v>
      </c>
      <c r="AB75" s="43">
        <f t="shared" si="69"/>
        <v>0</v>
      </c>
      <c r="AC75" s="44">
        <f t="shared" si="70"/>
        <v>0</v>
      </c>
      <c r="AD75" s="45">
        <f t="shared" si="71"/>
        <v>0</v>
      </c>
      <c r="AE75" s="46"/>
      <c r="AF75" s="47"/>
      <c r="AG75" s="47"/>
      <c r="AH75" s="77">
        <f t="shared" si="98"/>
        <v>0</v>
      </c>
      <c r="AI75" s="77">
        <f t="shared" si="72"/>
        <v>0</v>
      </c>
      <c r="AJ75" s="77">
        <f t="shared" si="73"/>
        <v>0</v>
      </c>
      <c r="AK75" s="78">
        <f t="shared" si="74"/>
        <v>0</v>
      </c>
      <c r="AL75" s="77">
        <f t="shared" si="99"/>
        <v>0</v>
      </c>
      <c r="AM75" s="77">
        <f t="shared" si="75"/>
        <v>0</v>
      </c>
      <c r="AN75" s="77">
        <f t="shared" si="76"/>
        <v>0</v>
      </c>
      <c r="AO75" s="78">
        <f t="shared" si="77"/>
        <v>0</v>
      </c>
      <c r="AP75" s="77">
        <f t="shared" si="100"/>
        <v>0</v>
      </c>
      <c r="AQ75" s="77">
        <f t="shared" si="78"/>
        <v>0</v>
      </c>
      <c r="AR75" s="77">
        <f t="shared" si="79"/>
        <v>0</v>
      </c>
      <c r="AS75" s="78">
        <f t="shared" si="80"/>
        <v>0</v>
      </c>
      <c r="AT75" s="79">
        <f t="shared" si="101"/>
        <v>0</v>
      </c>
      <c r="AU75" s="77">
        <f t="shared" si="81"/>
        <v>0</v>
      </c>
      <c r="AV75" s="77">
        <f t="shared" si="82"/>
        <v>0</v>
      </c>
      <c r="AW75" s="78">
        <f t="shared" si="83"/>
        <v>0</v>
      </c>
      <c r="AX75" s="77">
        <f t="shared" si="102"/>
        <v>0</v>
      </c>
      <c r="AY75" s="77">
        <f t="shared" si="84"/>
        <v>0</v>
      </c>
      <c r="AZ75" s="77">
        <f t="shared" si="85"/>
        <v>0</v>
      </c>
      <c r="BA75" s="78">
        <f t="shared" si="86"/>
        <v>0</v>
      </c>
      <c r="BB75" s="77">
        <f t="shared" si="103"/>
        <v>0</v>
      </c>
      <c r="BC75" s="77">
        <f t="shared" si="87"/>
        <v>0</v>
      </c>
      <c r="BD75" s="77">
        <f t="shared" si="88"/>
        <v>0</v>
      </c>
      <c r="BE75" s="80">
        <f t="shared" si="89"/>
        <v>0</v>
      </c>
      <c r="BF75" s="44">
        <f t="shared" si="90"/>
        <v>0</v>
      </c>
      <c r="BG75" s="45">
        <f t="shared" si="91"/>
        <v>0</v>
      </c>
      <c r="BH75" s="46"/>
      <c r="BI75" s="47"/>
      <c r="BJ75" s="47"/>
    </row>
    <row r="76" spans="1:62">
      <c r="A76" s="84">
        <v>75</v>
      </c>
      <c r="B76" s="48"/>
      <c r="C76" s="49"/>
      <c r="D76" s="49"/>
      <c r="E76" s="40">
        <f t="shared" si="92"/>
        <v>0</v>
      </c>
      <c r="F76" s="40">
        <f t="shared" si="52"/>
        <v>0</v>
      </c>
      <c r="G76" s="40">
        <f t="shared" si="53"/>
        <v>0</v>
      </c>
      <c r="H76" s="41">
        <f t="shared" si="54"/>
        <v>0</v>
      </c>
      <c r="I76" s="40">
        <f t="shared" si="93"/>
        <v>0</v>
      </c>
      <c r="J76" s="40">
        <f t="shared" si="55"/>
        <v>0</v>
      </c>
      <c r="K76" s="40">
        <f t="shared" si="56"/>
        <v>0</v>
      </c>
      <c r="L76" s="41">
        <f t="shared" si="57"/>
        <v>0</v>
      </c>
      <c r="M76" s="40">
        <f t="shared" si="94"/>
        <v>0</v>
      </c>
      <c r="N76" s="40">
        <f t="shared" si="58"/>
        <v>0</v>
      </c>
      <c r="O76" s="40">
        <f t="shared" si="59"/>
        <v>0</v>
      </c>
      <c r="P76" s="41">
        <f t="shared" si="60"/>
        <v>0</v>
      </c>
      <c r="Q76" s="42">
        <f t="shared" si="95"/>
        <v>0</v>
      </c>
      <c r="R76" s="40">
        <f t="shared" si="61"/>
        <v>0</v>
      </c>
      <c r="S76" s="40">
        <f t="shared" si="62"/>
        <v>0</v>
      </c>
      <c r="T76" s="41">
        <f t="shared" si="63"/>
        <v>0</v>
      </c>
      <c r="U76" s="40">
        <f t="shared" si="96"/>
        <v>0</v>
      </c>
      <c r="V76" s="40">
        <f t="shared" si="64"/>
        <v>0</v>
      </c>
      <c r="W76" s="40">
        <f t="shared" si="65"/>
        <v>0</v>
      </c>
      <c r="X76" s="41">
        <f t="shared" si="66"/>
        <v>0</v>
      </c>
      <c r="Y76" s="40">
        <f t="shared" si="97"/>
        <v>0</v>
      </c>
      <c r="Z76" s="40">
        <f t="shared" si="67"/>
        <v>0</v>
      </c>
      <c r="AA76" s="40">
        <f t="shared" si="68"/>
        <v>0</v>
      </c>
      <c r="AB76" s="43">
        <f t="shared" si="69"/>
        <v>0</v>
      </c>
      <c r="AC76" s="44">
        <f t="shared" si="70"/>
        <v>0</v>
      </c>
      <c r="AD76" s="45">
        <f t="shared" si="71"/>
        <v>0</v>
      </c>
      <c r="AE76" s="46"/>
      <c r="AF76" s="47"/>
      <c r="AG76" s="47"/>
      <c r="AH76" s="77">
        <f t="shared" si="98"/>
        <v>0</v>
      </c>
      <c r="AI76" s="77">
        <f t="shared" si="72"/>
        <v>0</v>
      </c>
      <c r="AJ76" s="77">
        <f t="shared" si="73"/>
        <v>0</v>
      </c>
      <c r="AK76" s="78">
        <f t="shared" si="74"/>
        <v>0</v>
      </c>
      <c r="AL76" s="77">
        <f t="shared" si="99"/>
        <v>0</v>
      </c>
      <c r="AM76" s="77">
        <f t="shared" si="75"/>
        <v>0</v>
      </c>
      <c r="AN76" s="77">
        <f t="shared" si="76"/>
        <v>0</v>
      </c>
      <c r="AO76" s="78">
        <f t="shared" si="77"/>
        <v>0</v>
      </c>
      <c r="AP76" s="77">
        <f t="shared" si="100"/>
        <v>0</v>
      </c>
      <c r="AQ76" s="77">
        <f t="shared" si="78"/>
        <v>0</v>
      </c>
      <c r="AR76" s="77">
        <f t="shared" si="79"/>
        <v>0</v>
      </c>
      <c r="AS76" s="78">
        <f t="shared" si="80"/>
        <v>0</v>
      </c>
      <c r="AT76" s="79">
        <f t="shared" si="101"/>
        <v>0</v>
      </c>
      <c r="AU76" s="77">
        <f t="shared" si="81"/>
        <v>0</v>
      </c>
      <c r="AV76" s="77">
        <f t="shared" si="82"/>
        <v>0</v>
      </c>
      <c r="AW76" s="78">
        <f t="shared" si="83"/>
        <v>0</v>
      </c>
      <c r="AX76" s="77">
        <f t="shared" si="102"/>
        <v>0</v>
      </c>
      <c r="AY76" s="77">
        <f t="shared" si="84"/>
        <v>0</v>
      </c>
      <c r="AZ76" s="77">
        <f t="shared" si="85"/>
        <v>0</v>
      </c>
      <c r="BA76" s="78">
        <f t="shared" si="86"/>
        <v>0</v>
      </c>
      <c r="BB76" s="77">
        <f t="shared" si="103"/>
        <v>0</v>
      </c>
      <c r="BC76" s="77">
        <f t="shared" si="87"/>
        <v>0</v>
      </c>
      <c r="BD76" s="77">
        <f t="shared" si="88"/>
        <v>0</v>
      </c>
      <c r="BE76" s="80">
        <f t="shared" si="89"/>
        <v>0</v>
      </c>
      <c r="BF76" s="44">
        <f t="shared" si="90"/>
        <v>0</v>
      </c>
      <c r="BG76" s="45">
        <f t="shared" si="91"/>
        <v>0</v>
      </c>
      <c r="BH76" s="46"/>
      <c r="BI76" s="47"/>
      <c r="BJ76" s="47"/>
    </row>
    <row r="77" spans="1:62">
      <c r="A77" s="84">
        <v>76</v>
      </c>
      <c r="B77" s="48"/>
      <c r="C77" s="49"/>
      <c r="D77" s="49"/>
      <c r="E77" s="40">
        <f t="shared" si="92"/>
        <v>0</v>
      </c>
      <c r="F77" s="40">
        <f t="shared" si="52"/>
        <v>0</v>
      </c>
      <c r="G77" s="40">
        <f t="shared" si="53"/>
        <v>0</v>
      </c>
      <c r="H77" s="41">
        <f t="shared" si="54"/>
        <v>0</v>
      </c>
      <c r="I77" s="40">
        <f t="shared" si="93"/>
        <v>0</v>
      </c>
      <c r="J77" s="40">
        <f t="shared" si="55"/>
        <v>0</v>
      </c>
      <c r="K77" s="40">
        <f t="shared" si="56"/>
        <v>0</v>
      </c>
      <c r="L77" s="41">
        <f t="shared" si="57"/>
        <v>0</v>
      </c>
      <c r="M77" s="40">
        <f t="shared" si="94"/>
        <v>0</v>
      </c>
      <c r="N77" s="40">
        <f t="shared" si="58"/>
        <v>0</v>
      </c>
      <c r="O77" s="40">
        <f t="shared" si="59"/>
        <v>0</v>
      </c>
      <c r="P77" s="41">
        <f t="shared" si="60"/>
        <v>0</v>
      </c>
      <c r="Q77" s="42">
        <f t="shared" si="95"/>
        <v>0</v>
      </c>
      <c r="R77" s="40">
        <f t="shared" si="61"/>
        <v>0</v>
      </c>
      <c r="S77" s="40">
        <f t="shared" si="62"/>
        <v>0</v>
      </c>
      <c r="T77" s="41">
        <f t="shared" si="63"/>
        <v>0</v>
      </c>
      <c r="U77" s="40">
        <f t="shared" si="96"/>
        <v>0</v>
      </c>
      <c r="V77" s="40">
        <f t="shared" si="64"/>
        <v>0</v>
      </c>
      <c r="W77" s="40">
        <f t="shared" si="65"/>
        <v>0</v>
      </c>
      <c r="X77" s="41">
        <f t="shared" si="66"/>
        <v>0</v>
      </c>
      <c r="Y77" s="40">
        <f t="shared" si="97"/>
        <v>0</v>
      </c>
      <c r="Z77" s="40">
        <f t="shared" si="67"/>
        <v>0</v>
      </c>
      <c r="AA77" s="40">
        <f t="shared" si="68"/>
        <v>0</v>
      </c>
      <c r="AB77" s="43">
        <f t="shared" si="69"/>
        <v>0</v>
      </c>
      <c r="AC77" s="44">
        <f t="shared" si="70"/>
        <v>0</v>
      </c>
      <c r="AD77" s="45">
        <f t="shared" si="71"/>
        <v>0</v>
      </c>
      <c r="AE77" s="46"/>
      <c r="AF77" s="47"/>
      <c r="AG77" s="47"/>
      <c r="AH77" s="77">
        <f t="shared" si="98"/>
        <v>0</v>
      </c>
      <c r="AI77" s="77">
        <f t="shared" si="72"/>
        <v>0</v>
      </c>
      <c r="AJ77" s="77">
        <f t="shared" si="73"/>
        <v>0</v>
      </c>
      <c r="AK77" s="78">
        <f t="shared" si="74"/>
        <v>0</v>
      </c>
      <c r="AL77" s="77">
        <f t="shared" si="99"/>
        <v>0</v>
      </c>
      <c r="AM77" s="77">
        <f t="shared" si="75"/>
        <v>0</v>
      </c>
      <c r="AN77" s="77">
        <f t="shared" si="76"/>
        <v>0</v>
      </c>
      <c r="AO77" s="78">
        <f t="shared" si="77"/>
        <v>0</v>
      </c>
      <c r="AP77" s="77">
        <f t="shared" si="100"/>
        <v>0</v>
      </c>
      <c r="AQ77" s="77">
        <f t="shared" si="78"/>
        <v>0</v>
      </c>
      <c r="AR77" s="77">
        <f t="shared" si="79"/>
        <v>0</v>
      </c>
      <c r="AS77" s="78">
        <f t="shared" si="80"/>
        <v>0</v>
      </c>
      <c r="AT77" s="79">
        <f t="shared" si="101"/>
        <v>0</v>
      </c>
      <c r="AU77" s="77">
        <f t="shared" si="81"/>
        <v>0</v>
      </c>
      <c r="AV77" s="77">
        <f t="shared" si="82"/>
        <v>0</v>
      </c>
      <c r="AW77" s="78">
        <f t="shared" si="83"/>
        <v>0</v>
      </c>
      <c r="AX77" s="77">
        <f t="shared" si="102"/>
        <v>0</v>
      </c>
      <c r="AY77" s="77">
        <f t="shared" si="84"/>
        <v>0</v>
      </c>
      <c r="AZ77" s="77">
        <f t="shared" si="85"/>
        <v>0</v>
      </c>
      <c r="BA77" s="78">
        <f t="shared" si="86"/>
        <v>0</v>
      </c>
      <c r="BB77" s="77">
        <f t="shared" si="103"/>
        <v>0</v>
      </c>
      <c r="BC77" s="77">
        <f t="shared" si="87"/>
        <v>0</v>
      </c>
      <c r="BD77" s="77">
        <f t="shared" si="88"/>
        <v>0</v>
      </c>
      <c r="BE77" s="80">
        <f t="shared" si="89"/>
        <v>0</v>
      </c>
      <c r="BF77" s="44">
        <f t="shared" si="90"/>
        <v>0</v>
      </c>
      <c r="BG77" s="45">
        <f t="shared" si="91"/>
        <v>0</v>
      </c>
      <c r="BH77" s="46"/>
      <c r="BI77" s="47"/>
      <c r="BJ77" s="47"/>
    </row>
    <row r="78" spans="1:62">
      <c r="A78" s="84">
        <v>77</v>
      </c>
      <c r="B78" s="48"/>
      <c r="C78" s="49"/>
      <c r="D78" s="49"/>
      <c r="E78" s="40">
        <f t="shared" si="92"/>
        <v>0</v>
      </c>
      <c r="F78" s="40">
        <f t="shared" si="52"/>
        <v>0</v>
      </c>
      <c r="G78" s="40">
        <f t="shared" si="53"/>
        <v>0</v>
      </c>
      <c r="H78" s="41">
        <f t="shared" si="54"/>
        <v>0</v>
      </c>
      <c r="I78" s="40">
        <f t="shared" si="93"/>
        <v>0</v>
      </c>
      <c r="J78" s="40">
        <f t="shared" si="55"/>
        <v>0</v>
      </c>
      <c r="K78" s="40">
        <f t="shared" si="56"/>
        <v>0</v>
      </c>
      <c r="L78" s="41">
        <f t="shared" si="57"/>
        <v>0</v>
      </c>
      <c r="M78" s="40">
        <f t="shared" si="94"/>
        <v>0</v>
      </c>
      <c r="N78" s="40">
        <f t="shared" si="58"/>
        <v>0</v>
      </c>
      <c r="O78" s="40">
        <f t="shared" si="59"/>
        <v>0</v>
      </c>
      <c r="P78" s="41">
        <f t="shared" si="60"/>
        <v>0</v>
      </c>
      <c r="Q78" s="42">
        <f t="shared" si="95"/>
        <v>0</v>
      </c>
      <c r="R78" s="40">
        <f t="shared" si="61"/>
        <v>0</v>
      </c>
      <c r="S78" s="40">
        <f t="shared" si="62"/>
        <v>0</v>
      </c>
      <c r="T78" s="41">
        <f t="shared" si="63"/>
        <v>0</v>
      </c>
      <c r="U78" s="40">
        <f t="shared" si="96"/>
        <v>0</v>
      </c>
      <c r="V78" s="40">
        <f t="shared" si="64"/>
        <v>0</v>
      </c>
      <c r="W78" s="40">
        <f t="shared" si="65"/>
        <v>0</v>
      </c>
      <c r="X78" s="41">
        <f t="shared" si="66"/>
        <v>0</v>
      </c>
      <c r="Y78" s="40">
        <f t="shared" si="97"/>
        <v>0</v>
      </c>
      <c r="Z78" s="40">
        <f t="shared" si="67"/>
        <v>0</v>
      </c>
      <c r="AA78" s="40">
        <f t="shared" si="68"/>
        <v>0</v>
      </c>
      <c r="AB78" s="43">
        <f t="shared" si="69"/>
        <v>0</v>
      </c>
      <c r="AC78" s="44">
        <f t="shared" si="70"/>
        <v>0</v>
      </c>
      <c r="AD78" s="45">
        <f t="shared" si="71"/>
        <v>0</v>
      </c>
      <c r="AE78" s="46"/>
      <c r="AF78" s="47"/>
      <c r="AG78" s="47"/>
      <c r="AH78" s="77">
        <f t="shared" si="98"/>
        <v>0</v>
      </c>
      <c r="AI78" s="77">
        <f t="shared" si="72"/>
        <v>0</v>
      </c>
      <c r="AJ78" s="77">
        <f t="shared" si="73"/>
        <v>0</v>
      </c>
      <c r="AK78" s="78">
        <f t="shared" si="74"/>
        <v>0</v>
      </c>
      <c r="AL78" s="77">
        <f t="shared" si="99"/>
        <v>0</v>
      </c>
      <c r="AM78" s="77">
        <f t="shared" si="75"/>
        <v>0</v>
      </c>
      <c r="AN78" s="77">
        <f t="shared" si="76"/>
        <v>0</v>
      </c>
      <c r="AO78" s="78">
        <f t="shared" si="77"/>
        <v>0</v>
      </c>
      <c r="AP78" s="77">
        <f t="shared" si="100"/>
        <v>0</v>
      </c>
      <c r="AQ78" s="77">
        <f t="shared" si="78"/>
        <v>0</v>
      </c>
      <c r="AR78" s="77">
        <f t="shared" si="79"/>
        <v>0</v>
      </c>
      <c r="AS78" s="78">
        <f t="shared" si="80"/>
        <v>0</v>
      </c>
      <c r="AT78" s="79">
        <f t="shared" si="101"/>
        <v>0</v>
      </c>
      <c r="AU78" s="77">
        <f t="shared" si="81"/>
        <v>0</v>
      </c>
      <c r="AV78" s="77">
        <f t="shared" si="82"/>
        <v>0</v>
      </c>
      <c r="AW78" s="78">
        <f t="shared" si="83"/>
        <v>0</v>
      </c>
      <c r="AX78" s="77">
        <f t="shared" si="102"/>
        <v>0</v>
      </c>
      <c r="AY78" s="77">
        <f t="shared" si="84"/>
        <v>0</v>
      </c>
      <c r="AZ78" s="77">
        <f t="shared" si="85"/>
        <v>0</v>
      </c>
      <c r="BA78" s="78">
        <f t="shared" si="86"/>
        <v>0</v>
      </c>
      <c r="BB78" s="77">
        <f t="shared" si="103"/>
        <v>0</v>
      </c>
      <c r="BC78" s="77">
        <f t="shared" si="87"/>
        <v>0</v>
      </c>
      <c r="BD78" s="77">
        <f t="shared" si="88"/>
        <v>0</v>
      </c>
      <c r="BE78" s="80">
        <f t="shared" si="89"/>
        <v>0</v>
      </c>
      <c r="BF78" s="44">
        <f t="shared" si="90"/>
        <v>0</v>
      </c>
      <c r="BG78" s="45">
        <f t="shared" si="91"/>
        <v>0</v>
      </c>
      <c r="BH78" s="46"/>
      <c r="BI78" s="47"/>
      <c r="BJ78" s="47"/>
    </row>
    <row r="79" spans="1:62">
      <c r="A79" s="84">
        <v>78</v>
      </c>
      <c r="B79" s="48"/>
      <c r="C79" s="49"/>
      <c r="D79" s="49"/>
      <c r="E79" s="40">
        <f t="shared" si="92"/>
        <v>0</v>
      </c>
      <c r="F79" s="40">
        <f t="shared" si="52"/>
        <v>0</v>
      </c>
      <c r="G79" s="40">
        <f t="shared" si="53"/>
        <v>0</v>
      </c>
      <c r="H79" s="41">
        <f t="shared" si="54"/>
        <v>0</v>
      </c>
      <c r="I79" s="40">
        <f t="shared" si="93"/>
        <v>0</v>
      </c>
      <c r="J79" s="40">
        <f t="shared" si="55"/>
        <v>0</v>
      </c>
      <c r="K79" s="40">
        <f t="shared" si="56"/>
        <v>0</v>
      </c>
      <c r="L79" s="41">
        <f t="shared" si="57"/>
        <v>0</v>
      </c>
      <c r="M79" s="40">
        <f t="shared" si="94"/>
        <v>0</v>
      </c>
      <c r="N79" s="40">
        <f t="shared" si="58"/>
        <v>0</v>
      </c>
      <c r="O79" s="40">
        <f t="shared" si="59"/>
        <v>0</v>
      </c>
      <c r="P79" s="41">
        <f t="shared" si="60"/>
        <v>0</v>
      </c>
      <c r="Q79" s="42">
        <f t="shared" si="95"/>
        <v>0</v>
      </c>
      <c r="R79" s="40">
        <f t="shared" si="61"/>
        <v>0</v>
      </c>
      <c r="S79" s="40">
        <f t="shared" si="62"/>
        <v>0</v>
      </c>
      <c r="T79" s="41">
        <f t="shared" si="63"/>
        <v>0</v>
      </c>
      <c r="U79" s="40">
        <f t="shared" si="96"/>
        <v>0</v>
      </c>
      <c r="V79" s="40">
        <f t="shared" si="64"/>
        <v>0</v>
      </c>
      <c r="W79" s="40">
        <f t="shared" si="65"/>
        <v>0</v>
      </c>
      <c r="X79" s="41">
        <f t="shared" si="66"/>
        <v>0</v>
      </c>
      <c r="Y79" s="40">
        <f t="shared" si="97"/>
        <v>0</v>
      </c>
      <c r="Z79" s="40">
        <f t="shared" si="67"/>
        <v>0</v>
      </c>
      <c r="AA79" s="40">
        <f t="shared" si="68"/>
        <v>0</v>
      </c>
      <c r="AB79" s="43">
        <f t="shared" si="69"/>
        <v>0</v>
      </c>
      <c r="AC79" s="44">
        <f t="shared" si="70"/>
        <v>0</v>
      </c>
      <c r="AD79" s="45">
        <f t="shared" si="71"/>
        <v>0</v>
      </c>
      <c r="AE79" s="46"/>
      <c r="AF79" s="47"/>
      <c r="AG79" s="47"/>
      <c r="AH79" s="77">
        <f t="shared" si="98"/>
        <v>0</v>
      </c>
      <c r="AI79" s="77">
        <f t="shared" si="72"/>
        <v>0</v>
      </c>
      <c r="AJ79" s="77">
        <f t="shared" si="73"/>
        <v>0</v>
      </c>
      <c r="AK79" s="78">
        <f t="shared" si="74"/>
        <v>0</v>
      </c>
      <c r="AL79" s="77">
        <f t="shared" si="99"/>
        <v>0</v>
      </c>
      <c r="AM79" s="77">
        <f t="shared" si="75"/>
        <v>0</v>
      </c>
      <c r="AN79" s="77">
        <f t="shared" si="76"/>
        <v>0</v>
      </c>
      <c r="AO79" s="78">
        <f t="shared" si="77"/>
        <v>0</v>
      </c>
      <c r="AP79" s="77">
        <f t="shared" si="100"/>
        <v>0</v>
      </c>
      <c r="AQ79" s="77">
        <f t="shared" si="78"/>
        <v>0</v>
      </c>
      <c r="AR79" s="77">
        <f t="shared" si="79"/>
        <v>0</v>
      </c>
      <c r="AS79" s="78">
        <f t="shared" si="80"/>
        <v>0</v>
      </c>
      <c r="AT79" s="79">
        <f t="shared" si="101"/>
        <v>0</v>
      </c>
      <c r="AU79" s="77">
        <f t="shared" si="81"/>
        <v>0</v>
      </c>
      <c r="AV79" s="77">
        <f t="shared" si="82"/>
        <v>0</v>
      </c>
      <c r="AW79" s="78">
        <f t="shared" si="83"/>
        <v>0</v>
      </c>
      <c r="AX79" s="77">
        <f t="shared" si="102"/>
        <v>0</v>
      </c>
      <c r="AY79" s="77">
        <f t="shared" si="84"/>
        <v>0</v>
      </c>
      <c r="AZ79" s="77">
        <f t="shared" si="85"/>
        <v>0</v>
      </c>
      <c r="BA79" s="78">
        <f t="shared" si="86"/>
        <v>0</v>
      </c>
      <c r="BB79" s="77">
        <f t="shared" si="103"/>
        <v>0</v>
      </c>
      <c r="BC79" s="77">
        <f t="shared" si="87"/>
        <v>0</v>
      </c>
      <c r="BD79" s="77">
        <f t="shared" si="88"/>
        <v>0</v>
      </c>
      <c r="BE79" s="80">
        <f t="shared" si="89"/>
        <v>0</v>
      </c>
      <c r="BF79" s="44">
        <f t="shared" si="90"/>
        <v>0</v>
      </c>
      <c r="BG79" s="45">
        <f t="shared" si="91"/>
        <v>0</v>
      </c>
      <c r="BH79" s="46"/>
      <c r="BI79" s="47"/>
      <c r="BJ79" s="47"/>
    </row>
    <row r="80" spans="1:62">
      <c r="A80" s="84">
        <v>79</v>
      </c>
      <c r="B80" s="48"/>
      <c r="C80" s="49"/>
      <c r="D80" s="49"/>
      <c r="E80" s="40">
        <f t="shared" si="92"/>
        <v>0</v>
      </c>
      <c r="F80" s="40">
        <f t="shared" si="52"/>
        <v>0</v>
      </c>
      <c r="G80" s="40">
        <f t="shared" si="53"/>
        <v>0</v>
      </c>
      <c r="H80" s="41">
        <f t="shared" si="54"/>
        <v>0</v>
      </c>
      <c r="I80" s="40">
        <f t="shared" si="93"/>
        <v>0</v>
      </c>
      <c r="J80" s="40">
        <f t="shared" si="55"/>
        <v>0</v>
      </c>
      <c r="K80" s="40">
        <f t="shared" si="56"/>
        <v>0</v>
      </c>
      <c r="L80" s="41">
        <f t="shared" si="57"/>
        <v>0</v>
      </c>
      <c r="M80" s="40">
        <f t="shared" si="94"/>
        <v>0</v>
      </c>
      <c r="N80" s="40">
        <f t="shared" si="58"/>
        <v>0</v>
      </c>
      <c r="O80" s="40">
        <f t="shared" si="59"/>
        <v>0</v>
      </c>
      <c r="P80" s="41">
        <f t="shared" si="60"/>
        <v>0</v>
      </c>
      <c r="Q80" s="42">
        <f t="shared" si="95"/>
        <v>0</v>
      </c>
      <c r="R80" s="40">
        <f t="shared" si="61"/>
        <v>0</v>
      </c>
      <c r="S80" s="40">
        <f t="shared" si="62"/>
        <v>0</v>
      </c>
      <c r="T80" s="41">
        <f t="shared" si="63"/>
        <v>0</v>
      </c>
      <c r="U80" s="40">
        <f t="shared" si="96"/>
        <v>0</v>
      </c>
      <c r="V80" s="40">
        <f t="shared" si="64"/>
        <v>0</v>
      </c>
      <c r="W80" s="40">
        <f t="shared" si="65"/>
        <v>0</v>
      </c>
      <c r="X80" s="41">
        <f t="shared" si="66"/>
        <v>0</v>
      </c>
      <c r="Y80" s="40">
        <f t="shared" si="97"/>
        <v>0</v>
      </c>
      <c r="Z80" s="40">
        <f t="shared" si="67"/>
        <v>0</v>
      </c>
      <c r="AA80" s="40">
        <f t="shared" si="68"/>
        <v>0</v>
      </c>
      <c r="AB80" s="43">
        <f t="shared" si="69"/>
        <v>0</v>
      </c>
      <c r="AC80" s="44">
        <f t="shared" si="70"/>
        <v>0</v>
      </c>
      <c r="AD80" s="45">
        <f t="shared" si="71"/>
        <v>0</v>
      </c>
      <c r="AE80" s="46"/>
      <c r="AF80" s="47"/>
      <c r="AG80" s="47"/>
      <c r="AH80" s="77">
        <f t="shared" si="98"/>
        <v>0</v>
      </c>
      <c r="AI80" s="77">
        <f t="shared" si="72"/>
        <v>0</v>
      </c>
      <c r="AJ80" s="77">
        <f t="shared" si="73"/>
        <v>0</v>
      </c>
      <c r="AK80" s="78">
        <f t="shared" si="74"/>
        <v>0</v>
      </c>
      <c r="AL80" s="77">
        <f t="shared" si="99"/>
        <v>0</v>
      </c>
      <c r="AM80" s="77">
        <f t="shared" si="75"/>
        <v>0</v>
      </c>
      <c r="AN80" s="77">
        <f t="shared" si="76"/>
        <v>0</v>
      </c>
      <c r="AO80" s="78">
        <f t="shared" si="77"/>
        <v>0</v>
      </c>
      <c r="AP80" s="77">
        <f t="shared" si="100"/>
        <v>0</v>
      </c>
      <c r="AQ80" s="77">
        <f t="shared" si="78"/>
        <v>0</v>
      </c>
      <c r="AR80" s="77">
        <f t="shared" si="79"/>
        <v>0</v>
      </c>
      <c r="AS80" s="78">
        <f t="shared" si="80"/>
        <v>0</v>
      </c>
      <c r="AT80" s="79">
        <f t="shared" si="101"/>
        <v>0</v>
      </c>
      <c r="AU80" s="77">
        <f t="shared" si="81"/>
        <v>0</v>
      </c>
      <c r="AV80" s="77">
        <f t="shared" si="82"/>
        <v>0</v>
      </c>
      <c r="AW80" s="78">
        <f t="shared" si="83"/>
        <v>0</v>
      </c>
      <c r="AX80" s="77">
        <f t="shared" si="102"/>
        <v>0</v>
      </c>
      <c r="AY80" s="77">
        <f t="shared" si="84"/>
        <v>0</v>
      </c>
      <c r="AZ80" s="77">
        <f t="shared" si="85"/>
        <v>0</v>
      </c>
      <c r="BA80" s="78">
        <f t="shared" si="86"/>
        <v>0</v>
      </c>
      <c r="BB80" s="77">
        <f t="shared" si="103"/>
        <v>0</v>
      </c>
      <c r="BC80" s="77">
        <f t="shared" si="87"/>
        <v>0</v>
      </c>
      <c r="BD80" s="77">
        <f t="shared" si="88"/>
        <v>0</v>
      </c>
      <c r="BE80" s="80">
        <f t="shared" si="89"/>
        <v>0</v>
      </c>
      <c r="BF80" s="44">
        <f t="shared" si="90"/>
        <v>0</v>
      </c>
      <c r="BG80" s="45">
        <f t="shared" si="91"/>
        <v>0</v>
      </c>
      <c r="BH80" s="46"/>
      <c r="BI80" s="47"/>
      <c r="BJ80" s="47"/>
    </row>
    <row r="81" spans="1:62">
      <c r="A81" s="84">
        <v>80</v>
      </c>
      <c r="B81" s="48"/>
      <c r="C81" s="49"/>
      <c r="D81" s="49"/>
      <c r="E81" s="40">
        <f t="shared" si="92"/>
        <v>0</v>
      </c>
      <c r="F81" s="40">
        <f t="shared" si="52"/>
        <v>0</v>
      </c>
      <c r="G81" s="40">
        <f t="shared" si="53"/>
        <v>0</v>
      </c>
      <c r="H81" s="41">
        <f t="shared" si="54"/>
        <v>0</v>
      </c>
      <c r="I81" s="40">
        <f t="shared" si="93"/>
        <v>0</v>
      </c>
      <c r="J81" s="40">
        <f t="shared" si="55"/>
        <v>0</v>
      </c>
      <c r="K81" s="40">
        <f t="shared" si="56"/>
        <v>0</v>
      </c>
      <c r="L81" s="41">
        <f t="shared" si="57"/>
        <v>0</v>
      </c>
      <c r="M81" s="40">
        <f t="shared" si="94"/>
        <v>0</v>
      </c>
      <c r="N81" s="40">
        <f t="shared" si="58"/>
        <v>0</v>
      </c>
      <c r="O81" s="40">
        <f t="shared" si="59"/>
        <v>0</v>
      </c>
      <c r="P81" s="41">
        <f t="shared" si="60"/>
        <v>0</v>
      </c>
      <c r="Q81" s="42">
        <f t="shared" si="95"/>
        <v>0</v>
      </c>
      <c r="R81" s="40">
        <f t="shared" si="61"/>
        <v>0</v>
      </c>
      <c r="S81" s="40">
        <f t="shared" si="62"/>
        <v>0</v>
      </c>
      <c r="T81" s="41">
        <f t="shared" si="63"/>
        <v>0</v>
      </c>
      <c r="U81" s="40">
        <f t="shared" si="96"/>
        <v>0</v>
      </c>
      <c r="V81" s="40">
        <f t="shared" si="64"/>
        <v>0</v>
      </c>
      <c r="W81" s="40">
        <f t="shared" si="65"/>
        <v>0</v>
      </c>
      <c r="X81" s="41">
        <f t="shared" si="66"/>
        <v>0</v>
      </c>
      <c r="Y81" s="40">
        <f t="shared" si="97"/>
        <v>0</v>
      </c>
      <c r="Z81" s="40">
        <f t="shared" si="67"/>
        <v>0</v>
      </c>
      <c r="AA81" s="40">
        <f t="shared" si="68"/>
        <v>0</v>
      </c>
      <c r="AB81" s="43">
        <f t="shared" si="69"/>
        <v>0</v>
      </c>
      <c r="AC81" s="44">
        <f t="shared" si="70"/>
        <v>0</v>
      </c>
      <c r="AD81" s="45">
        <f t="shared" si="71"/>
        <v>0</v>
      </c>
      <c r="AE81" s="46"/>
      <c r="AF81" s="47"/>
      <c r="AG81" s="47"/>
      <c r="AH81" s="77">
        <f t="shared" si="98"/>
        <v>0</v>
      </c>
      <c r="AI81" s="77">
        <f t="shared" si="72"/>
        <v>0</v>
      </c>
      <c r="AJ81" s="77">
        <f t="shared" si="73"/>
        <v>0</v>
      </c>
      <c r="AK81" s="78">
        <f t="shared" si="74"/>
        <v>0</v>
      </c>
      <c r="AL81" s="77">
        <f t="shared" si="99"/>
        <v>0</v>
      </c>
      <c r="AM81" s="77">
        <f t="shared" si="75"/>
        <v>0</v>
      </c>
      <c r="AN81" s="77">
        <f t="shared" si="76"/>
        <v>0</v>
      </c>
      <c r="AO81" s="78">
        <f t="shared" si="77"/>
        <v>0</v>
      </c>
      <c r="AP81" s="77">
        <f t="shared" si="100"/>
        <v>0</v>
      </c>
      <c r="AQ81" s="77">
        <f t="shared" si="78"/>
        <v>0</v>
      </c>
      <c r="AR81" s="77">
        <f t="shared" si="79"/>
        <v>0</v>
      </c>
      <c r="AS81" s="78">
        <f t="shared" si="80"/>
        <v>0</v>
      </c>
      <c r="AT81" s="79">
        <f t="shared" si="101"/>
        <v>0</v>
      </c>
      <c r="AU81" s="77">
        <f t="shared" si="81"/>
        <v>0</v>
      </c>
      <c r="AV81" s="77">
        <f t="shared" si="82"/>
        <v>0</v>
      </c>
      <c r="AW81" s="78">
        <f t="shared" si="83"/>
        <v>0</v>
      </c>
      <c r="AX81" s="77">
        <f t="shared" si="102"/>
        <v>0</v>
      </c>
      <c r="AY81" s="77">
        <f t="shared" si="84"/>
        <v>0</v>
      </c>
      <c r="AZ81" s="77">
        <f t="shared" si="85"/>
        <v>0</v>
      </c>
      <c r="BA81" s="78">
        <f t="shared" si="86"/>
        <v>0</v>
      </c>
      <c r="BB81" s="77">
        <f t="shared" si="103"/>
        <v>0</v>
      </c>
      <c r="BC81" s="77">
        <f t="shared" si="87"/>
        <v>0</v>
      </c>
      <c r="BD81" s="77">
        <f t="shared" si="88"/>
        <v>0</v>
      </c>
      <c r="BE81" s="80">
        <f t="shared" si="89"/>
        <v>0</v>
      </c>
      <c r="BF81" s="44">
        <f t="shared" si="90"/>
        <v>0</v>
      </c>
      <c r="BG81" s="45">
        <f t="shared" si="91"/>
        <v>0</v>
      </c>
      <c r="BH81" s="46"/>
      <c r="BI81" s="47"/>
      <c r="BJ81" s="47"/>
    </row>
    <row r="82" spans="1:62">
      <c r="A82" s="84">
        <v>81</v>
      </c>
      <c r="B82" s="48"/>
      <c r="C82" s="49"/>
      <c r="D82" s="49"/>
      <c r="E82" s="40">
        <f t="shared" si="92"/>
        <v>0</v>
      </c>
      <c r="F82" s="40">
        <f t="shared" si="52"/>
        <v>0</v>
      </c>
      <c r="G82" s="40">
        <f t="shared" si="53"/>
        <v>0</v>
      </c>
      <c r="H82" s="41">
        <f t="shared" si="54"/>
        <v>0</v>
      </c>
      <c r="I82" s="40">
        <f t="shared" si="93"/>
        <v>0</v>
      </c>
      <c r="J82" s="40">
        <f t="shared" si="55"/>
        <v>0</v>
      </c>
      <c r="K82" s="40">
        <f t="shared" si="56"/>
        <v>0</v>
      </c>
      <c r="L82" s="41">
        <f t="shared" si="57"/>
        <v>0</v>
      </c>
      <c r="M82" s="40">
        <f t="shared" si="94"/>
        <v>0</v>
      </c>
      <c r="N82" s="40">
        <f t="shared" si="58"/>
        <v>0</v>
      </c>
      <c r="O82" s="40">
        <f t="shared" si="59"/>
        <v>0</v>
      </c>
      <c r="P82" s="41">
        <f t="shared" si="60"/>
        <v>0</v>
      </c>
      <c r="Q82" s="42">
        <f t="shared" si="95"/>
        <v>0</v>
      </c>
      <c r="R82" s="40">
        <f t="shared" si="61"/>
        <v>0</v>
      </c>
      <c r="S82" s="40">
        <f t="shared" si="62"/>
        <v>0</v>
      </c>
      <c r="T82" s="41">
        <f t="shared" si="63"/>
        <v>0</v>
      </c>
      <c r="U82" s="40">
        <f t="shared" si="96"/>
        <v>0</v>
      </c>
      <c r="V82" s="40">
        <f t="shared" si="64"/>
        <v>0</v>
      </c>
      <c r="W82" s="40">
        <f t="shared" si="65"/>
        <v>0</v>
      </c>
      <c r="X82" s="41">
        <f t="shared" si="66"/>
        <v>0</v>
      </c>
      <c r="Y82" s="40">
        <f t="shared" si="97"/>
        <v>0</v>
      </c>
      <c r="Z82" s="40">
        <f t="shared" si="67"/>
        <v>0</v>
      </c>
      <c r="AA82" s="40">
        <f t="shared" si="68"/>
        <v>0</v>
      </c>
      <c r="AB82" s="43">
        <f t="shared" si="69"/>
        <v>0</v>
      </c>
      <c r="AC82" s="44">
        <f t="shared" si="70"/>
        <v>0</v>
      </c>
      <c r="AD82" s="45">
        <f t="shared" si="71"/>
        <v>0</v>
      </c>
      <c r="AE82" s="46"/>
      <c r="AF82" s="47"/>
      <c r="AG82" s="47"/>
      <c r="AH82" s="77">
        <f t="shared" si="98"/>
        <v>0</v>
      </c>
      <c r="AI82" s="77">
        <f t="shared" si="72"/>
        <v>0</v>
      </c>
      <c r="AJ82" s="77">
        <f t="shared" si="73"/>
        <v>0</v>
      </c>
      <c r="AK82" s="78">
        <f t="shared" si="74"/>
        <v>0</v>
      </c>
      <c r="AL82" s="77">
        <f t="shared" si="99"/>
        <v>0</v>
      </c>
      <c r="AM82" s="77">
        <f t="shared" si="75"/>
        <v>0</v>
      </c>
      <c r="AN82" s="77">
        <f t="shared" si="76"/>
        <v>0</v>
      </c>
      <c r="AO82" s="78">
        <f t="shared" si="77"/>
        <v>0</v>
      </c>
      <c r="AP82" s="77">
        <f t="shared" si="100"/>
        <v>0</v>
      </c>
      <c r="AQ82" s="77">
        <f t="shared" si="78"/>
        <v>0</v>
      </c>
      <c r="AR82" s="77">
        <f t="shared" si="79"/>
        <v>0</v>
      </c>
      <c r="AS82" s="78">
        <f t="shared" si="80"/>
        <v>0</v>
      </c>
      <c r="AT82" s="79">
        <f t="shared" si="101"/>
        <v>0</v>
      </c>
      <c r="AU82" s="77">
        <f t="shared" si="81"/>
        <v>0</v>
      </c>
      <c r="AV82" s="77">
        <f t="shared" si="82"/>
        <v>0</v>
      </c>
      <c r="AW82" s="78">
        <f t="shared" si="83"/>
        <v>0</v>
      </c>
      <c r="AX82" s="77">
        <f t="shared" si="102"/>
        <v>0</v>
      </c>
      <c r="AY82" s="77">
        <f t="shared" si="84"/>
        <v>0</v>
      </c>
      <c r="AZ82" s="77">
        <f t="shared" si="85"/>
        <v>0</v>
      </c>
      <c r="BA82" s="78">
        <f t="shared" si="86"/>
        <v>0</v>
      </c>
      <c r="BB82" s="77">
        <f t="shared" si="103"/>
        <v>0</v>
      </c>
      <c r="BC82" s="77">
        <f t="shared" si="87"/>
        <v>0</v>
      </c>
      <c r="BD82" s="77">
        <f t="shared" si="88"/>
        <v>0</v>
      </c>
      <c r="BE82" s="80">
        <f t="shared" si="89"/>
        <v>0</v>
      </c>
      <c r="BF82" s="44">
        <f t="shared" si="90"/>
        <v>0</v>
      </c>
      <c r="BG82" s="45">
        <f t="shared" si="91"/>
        <v>0</v>
      </c>
      <c r="BH82" s="46"/>
      <c r="BI82" s="47"/>
      <c r="BJ82" s="47"/>
    </row>
    <row r="83" spans="1:62">
      <c r="A83" s="84">
        <v>82</v>
      </c>
      <c r="B83" s="48"/>
      <c r="C83" s="49"/>
      <c r="D83" s="49"/>
      <c r="E83" s="40">
        <f t="shared" si="92"/>
        <v>0</v>
      </c>
      <c r="F83" s="40">
        <f t="shared" si="52"/>
        <v>0</v>
      </c>
      <c r="G83" s="40">
        <f t="shared" si="53"/>
        <v>0</v>
      </c>
      <c r="H83" s="41">
        <f t="shared" si="54"/>
        <v>0</v>
      </c>
      <c r="I83" s="40">
        <f t="shared" si="93"/>
        <v>0</v>
      </c>
      <c r="J83" s="40">
        <f t="shared" si="55"/>
        <v>0</v>
      </c>
      <c r="K83" s="40">
        <f t="shared" si="56"/>
        <v>0</v>
      </c>
      <c r="L83" s="41">
        <f t="shared" si="57"/>
        <v>0</v>
      </c>
      <c r="M83" s="40">
        <f t="shared" si="94"/>
        <v>0</v>
      </c>
      <c r="N83" s="40">
        <f t="shared" si="58"/>
        <v>0</v>
      </c>
      <c r="O83" s="40">
        <f t="shared" si="59"/>
        <v>0</v>
      </c>
      <c r="P83" s="41">
        <f t="shared" si="60"/>
        <v>0</v>
      </c>
      <c r="Q83" s="42">
        <f t="shared" si="95"/>
        <v>0</v>
      </c>
      <c r="R83" s="40">
        <f t="shared" si="61"/>
        <v>0</v>
      </c>
      <c r="S83" s="40">
        <f t="shared" si="62"/>
        <v>0</v>
      </c>
      <c r="T83" s="41">
        <f t="shared" si="63"/>
        <v>0</v>
      </c>
      <c r="U83" s="40">
        <f t="shared" si="96"/>
        <v>0</v>
      </c>
      <c r="V83" s="40">
        <f t="shared" si="64"/>
        <v>0</v>
      </c>
      <c r="W83" s="40">
        <f t="shared" si="65"/>
        <v>0</v>
      </c>
      <c r="X83" s="41">
        <f t="shared" si="66"/>
        <v>0</v>
      </c>
      <c r="Y83" s="40">
        <f t="shared" si="97"/>
        <v>0</v>
      </c>
      <c r="Z83" s="40">
        <f t="shared" si="67"/>
        <v>0</v>
      </c>
      <c r="AA83" s="40">
        <f t="shared" si="68"/>
        <v>0</v>
      </c>
      <c r="AB83" s="43">
        <f t="shared" si="69"/>
        <v>0</v>
      </c>
      <c r="AC83" s="44">
        <f t="shared" si="70"/>
        <v>0</v>
      </c>
      <c r="AD83" s="45">
        <f t="shared" si="71"/>
        <v>0</v>
      </c>
      <c r="AE83" s="46"/>
      <c r="AF83" s="47"/>
      <c r="AG83" s="47"/>
      <c r="AH83" s="77">
        <f t="shared" si="98"/>
        <v>0</v>
      </c>
      <c r="AI83" s="77">
        <f t="shared" si="72"/>
        <v>0</v>
      </c>
      <c r="AJ83" s="77">
        <f t="shared" si="73"/>
        <v>0</v>
      </c>
      <c r="AK83" s="78">
        <f t="shared" si="74"/>
        <v>0</v>
      </c>
      <c r="AL83" s="77">
        <f t="shared" si="99"/>
        <v>0</v>
      </c>
      <c r="AM83" s="77">
        <f t="shared" si="75"/>
        <v>0</v>
      </c>
      <c r="AN83" s="77">
        <f t="shared" si="76"/>
        <v>0</v>
      </c>
      <c r="AO83" s="78">
        <f t="shared" si="77"/>
        <v>0</v>
      </c>
      <c r="AP83" s="77">
        <f t="shared" si="100"/>
        <v>0</v>
      </c>
      <c r="AQ83" s="77">
        <f t="shared" si="78"/>
        <v>0</v>
      </c>
      <c r="AR83" s="77">
        <f t="shared" si="79"/>
        <v>0</v>
      </c>
      <c r="AS83" s="78">
        <f t="shared" si="80"/>
        <v>0</v>
      </c>
      <c r="AT83" s="79">
        <f t="shared" si="101"/>
        <v>0</v>
      </c>
      <c r="AU83" s="77">
        <f t="shared" si="81"/>
        <v>0</v>
      </c>
      <c r="AV83" s="77">
        <f t="shared" si="82"/>
        <v>0</v>
      </c>
      <c r="AW83" s="78">
        <f t="shared" si="83"/>
        <v>0</v>
      </c>
      <c r="AX83" s="77">
        <f t="shared" si="102"/>
        <v>0</v>
      </c>
      <c r="AY83" s="77">
        <f t="shared" si="84"/>
        <v>0</v>
      </c>
      <c r="AZ83" s="77">
        <f t="shared" si="85"/>
        <v>0</v>
      </c>
      <c r="BA83" s="78">
        <f t="shared" si="86"/>
        <v>0</v>
      </c>
      <c r="BB83" s="77">
        <f t="shared" si="103"/>
        <v>0</v>
      </c>
      <c r="BC83" s="77">
        <f t="shared" si="87"/>
        <v>0</v>
      </c>
      <c r="BD83" s="77">
        <f t="shared" si="88"/>
        <v>0</v>
      </c>
      <c r="BE83" s="80">
        <f t="shared" si="89"/>
        <v>0</v>
      </c>
      <c r="BF83" s="44">
        <f t="shared" si="90"/>
        <v>0</v>
      </c>
      <c r="BG83" s="45">
        <f t="shared" si="91"/>
        <v>0</v>
      </c>
      <c r="BH83" s="46"/>
      <c r="BI83" s="47"/>
      <c r="BJ83" s="47"/>
    </row>
    <row r="84" spans="1:62">
      <c r="A84" s="84">
        <v>83</v>
      </c>
      <c r="B84" s="48"/>
      <c r="C84" s="49"/>
      <c r="D84" s="49"/>
      <c r="E84" s="40">
        <f t="shared" si="92"/>
        <v>0</v>
      </c>
      <c r="F84" s="40">
        <f t="shared" si="52"/>
        <v>0</v>
      </c>
      <c r="G84" s="40">
        <f t="shared" si="53"/>
        <v>0</v>
      </c>
      <c r="H84" s="41">
        <f t="shared" si="54"/>
        <v>0</v>
      </c>
      <c r="I84" s="40">
        <f t="shared" si="93"/>
        <v>0</v>
      </c>
      <c r="J84" s="40">
        <f t="shared" si="55"/>
        <v>0</v>
      </c>
      <c r="K84" s="40">
        <f t="shared" si="56"/>
        <v>0</v>
      </c>
      <c r="L84" s="41">
        <f t="shared" si="57"/>
        <v>0</v>
      </c>
      <c r="M84" s="40">
        <f t="shared" si="94"/>
        <v>0</v>
      </c>
      <c r="N84" s="40">
        <f t="shared" si="58"/>
        <v>0</v>
      </c>
      <c r="O84" s="40">
        <f t="shared" si="59"/>
        <v>0</v>
      </c>
      <c r="P84" s="41">
        <f t="shared" si="60"/>
        <v>0</v>
      </c>
      <c r="Q84" s="42">
        <f t="shared" si="95"/>
        <v>0</v>
      </c>
      <c r="R84" s="40">
        <f t="shared" si="61"/>
        <v>0</v>
      </c>
      <c r="S84" s="40">
        <f t="shared" si="62"/>
        <v>0</v>
      </c>
      <c r="T84" s="41">
        <f t="shared" si="63"/>
        <v>0</v>
      </c>
      <c r="U84" s="40">
        <f t="shared" si="96"/>
        <v>0</v>
      </c>
      <c r="V84" s="40">
        <f t="shared" si="64"/>
        <v>0</v>
      </c>
      <c r="W84" s="40">
        <f t="shared" si="65"/>
        <v>0</v>
      </c>
      <c r="X84" s="41">
        <f t="shared" si="66"/>
        <v>0</v>
      </c>
      <c r="Y84" s="40">
        <f t="shared" si="97"/>
        <v>0</v>
      </c>
      <c r="Z84" s="40">
        <f t="shared" si="67"/>
        <v>0</v>
      </c>
      <c r="AA84" s="40">
        <f t="shared" si="68"/>
        <v>0</v>
      </c>
      <c r="AB84" s="43">
        <f t="shared" si="69"/>
        <v>0</v>
      </c>
      <c r="AC84" s="44">
        <f t="shared" si="70"/>
        <v>0</v>
      </c>
      <c r="AD84" s="45">
        <f t="shared" si="71"/>
        <v>0</v>
      </c>
      <c r="AE84" s="46"/>
      <c r="AF84" s="47"/>
      <c r="AG84" s="47"/>
      <c r="AH84" s="77">
        <f t="shared" si="98"/>
        <v>0</v>
      </c>
      <c r="AI84" s="77">
        <f t="shared" si="72"/>
        <v>0</v>
      </c>
      <c r="AJ84" s="77">
        <f t="shared" si="73"/>
        <v>0</v>
      </c>
      <c r="AK84" s="78">
        <f t="shared" si="74"/>
        <v>0</v>
      </c>
      <c r="AL84" s="77">
        <f t="shared" si="99"/>
        <v>0</v>
      </c>
      <c r="AM84" s="77">
        <f t="shared" si="75"/>
        <v>0</v>
      </c>
      <c r="AN84" s="77">
        <f t="shared" si="76"/>
        <v>0</v>
      </c>
      <c r="AO84" s="78">
        <f t="shared" si="77"/>
        <v>0</v>
      </c>
      <c r="AP84" s="77">
        <f t="shared" si="100"/>
        <v>0</v>
      </c>
      <c r="AQ84" s="77">
        <f t="shared" si="78"/>
        <v>0</v>
      </c>
      <c r="AR84" s="77">
        <f t="shared" si="79"/>
        <v>0</v>
      </c>
      <c r="AS84" s="78">
        <f t="shared" si="80"/>
        <v>0</v>
      </c>
      <c r="AT84" s="79">
        <f t="shared" si="101"/>
        <v>0</v>
      </c>
      <c r="AU84" s="77">
        <f t="shared" si="81"/>
        <v>0</v>
      </c>
      <c r="AV84" s="77">
        <f t="shared" si="82"/>
        <v>0</v>
      </c>
      <c r="AW84" s="78">
        <f t="shared" si="83"/>
        <v>0</v>
      </c>
      <c r="AX84" s="77">
        <f t="shared" si="102"/>
        <v>0</v>
      </c>
      <c r="AY84" s="77">
        <f t="shared" si="84"/>
        <v>0</v>
      </c>
      <c r="AZ84" s="77">
        <f t="shared" si="85"/>
        <v>0</v>
      </c>
      <c r="BA84" s="78">
        <f t="shared" si="86"/>
        <v>0</v>
      </c>
      <c r="BB84" s="77">
        <f t="shared" si="103"/>
        <v>0</v>
      </c>
      <c r="BC84" s="77">
        <f t="shared" si="87"/>
        <v>0</v>
      </c>
      <c r="BD84" s="77">
        <f t="shared" si="88"/>
        <v>0</v>
      </c>
      <c r="BE84" s="80">
        <f t="shared" si="89"/>
        <v>0</v>
      </c>
      <c r="BF84" s="44">
        <f t="shared" si="90"/>
        <v>0</v>
      </c>
      <c r="BG84" s="45">
        <f t="shared" si="91"/>
        <v>0</v>
      </c>
      <c r="BH84" s="46"/>
      <c r="BI84" s="47"/>
      <c r="BJ84" s="47"/>
    </row>
    <row r="85" spans="1:62">
      <c r="A85" s="84">
        <v>84</v>
      </c>
      <c r="B85" s="48"/>
      <c r="C85" s="49"/>
      <c r="D85" s="49"/>
      <c r="E85" s="40">
        <f t="shared" si="92"/>
        <v>0</v>
      </c>
      <c r="F85" s="40">
        <f t="shared" si="52"/>
        <v>0</v>
      </c>
      <c r="G85" s="40">
        <f t="shared" si="53"/>
        <v>0</v>
      </c>
      <c r="H85" s="41">
        <f t="shared" si="54"/>
        <v>0</v>
      </c>
      <c r="I85" s="40">
        <f t="shared" si="93"/>
        <v>0</v>
      </c>
      <c r="J85" s="40">
        <f t="shared" si="55"/>
        <v>0</v>
      </c>
      <c r="K85" s="40">
        <f t="shared" si="56"/>
        <v>0</v>
      </c>
      <c r="L85" s="41">
        <f t="shared" si="57"/>
        <v>0</v>
      </c>
      <c r="M85" s="40">
        <f t="shared" si="94"/>
        <v>0</v>
      </c>
      <c r="N85" s="40">
        <f t="shared" si="58"/>
        <v>0</v>
      </c>
      <c r="O85" s="40">
        <f t="shared" si="59"/>
        <v>0</v>
      </c>
      <c r="P85" s="41">
        <f t="shared" si="60"/>
        <v>0</v>
      </c>
      <c r="Q85" s="42">
        <f t="shared" si="95"/>
        <v>0</v>
      </c>
      <c r="R85" s="40">
        <f t="shared" si="61"/>
        <v>0</v>
      </c>
      <c r="S85" s="40">
        <f t="shared" si="62"/>
        <v>0</v>
      </c>
      <c r="T85" s="41">
        <f t="shared" si="63"/>
        <v>0</v>
      </c>
      <c r="U85" s="40">
        <f t="shared" si="96"/>
        <v>0</v>
      </c>
      <c r="V85" s="40">
        <f t="shared" si="64"/>
        <v>0</v>
      </c>
      <c r="W85" s="40">
        <f t="shared" si="65"/>
        <v>0</v>
      </c>
      <c r="X85" s="41">
        <f t="shared" si="66"/>
        <v>0</v>
      </c>
      <c r="Y85" s="40">
        <f t="shared" si="97"/>
        <v>0</v>
      </c>
      <c r="Z85" s="40">
        <f t="shared" si="67"/>
        <v>0</v>
      </c>
      <c r="AA85" s="40">
        <f t="shared" si="68"/>
        <v>0</v>
      </c>
      <c r="AB85" s="43">
        <f t="shared" si="69"/>
        <v>0</v>
      </c>
      <c r="AC85" s="44">
        <f t="shared" si="70"/>
        <v>0</v>
      </c>
      <c r="AD85" s="45">
        <f t="shared" si="71"/>
        <v>0</v>
      </c>
      <c r="AE85" s="46"/>
      <c r="AF85" s="47"/>
      <c r="AG85" s="47"/>
      <c r="AH85" s="77">
        <f t="shared" si="98"/>
        <v>0</v>
      </c>
      <c r="AI85" s="77">
        <f t="shared" si="72"/>
        <v>0</v>
      </c>
      <c r="AJ85" s="77">
        <f t="shared" si="73"/>
        <v>0</v>
      </c>
      <c r="AK85" s="78">
        <f t="shared" si="74"/>
        <v>0</v>
      </c>
      <c r="AL85" s="77">
        <f t="shared" si="99"/>
        <v>0</v>
      </c>
      <c r="AM85" s="77">
        <f t="shared" si="75"/>
        <v>0</v>
      </c>
      <c r="AN85" s="77">
        <f t="shared" si="76"/>
        <v>0</v>
      </c>
      <c r="AO85" s="78">
        <f t="shared" si="77"/>
        <v>0</v>
      </c>
      <c r="AP85" s="77">
        <f t="shared" si="100"/>
        <v>0</v>
      </c>
      <c r="AQ85" s="77">
        <f t="shared" si="78"/>
        <v>0</v>
      </c>
      <c r="AR85" s="77">
        <f t="shared" si="79"/>
        <v>0</v>
      </c>
      <c r="AS85" s="78">
        <f t="shared" si="80"/>
        <v>0</v>
      </c>
      <c r="AT85" s="79">
        <f t="shared" si="101"/>
        <v>0</v>
      </c>
      <c r="AU85" s="77">
        <f t="shared" si="81"/>
        <v>0</v>
      </c>
      <c r="AV85" s="77">
        <f t="shared" si="82"/>
        <v>0</v>
      </c>
      <c r="AW85" s="78">
        <f t="shared" si="83"/>
        <v>0</v>
      </c>
      <c r="AX85" s="77">
        <f t="shared" si="102"/>
        <v>0</v>
      </c>
      <c r="AY85" s="77">
        <f t="shared" si="84"/>
        <v>0</v>
      </c>
      <c r="AZ85" s="77">
        <f t="shared" si="85"/>
        <v>0</v>
      </c>
      <c r="BA85" s="78">
        <f t="shared" si="86"/>
        <v>0</v>
      </c>
      <c r="BB85" s="77">
        <f t="shared" si="103"/>
        <v>0</v>
      </c>
      <c r="BC85" s="77">
        <f t="shared" si="87"/>
        <v>0</v>
      </c>
      <c r="BD85" s="77">
        <f t="shared" si="88"/>
        <v>0</v>
      </c>
      <c r="BE85" s="80">
        <f t="shared" si="89"/>
        <v>0</v>
      </c>
      <c r="BF85" s="44">
        <f t="shared" si="90"/>
        <v>0</v>
      </c>
      <c r="BG85" s="45">
        <f t="shared" si="91"/>
        <v>0</v>
      </c>
      <c r="BH85" s="46"/>
      <c r="BI85" s="47"/>
      <c r="BJ85" s="47"/>
    </row>
    <row r="86" spans="1:62">
      <c r="A86" s="84">
        <v>85</v>
      </c>
      <c r="B86" s="48"/>
      <c r="C86" s="49"/>
      <c r="D86" s="49"/>
      <c r="E86" s="40">
        <f t="shared" si="92"/>
        <v>0</v>
      </c>
      <c r="F86" s="40">
        <f t="shared" si="52"/>
        <v>0</v>
      </c>
      <c r="G86" s="40">
        <f t="shared" si="53"/>
        <v>0</v>
      </c>
      <c r="H86" s="41">
        <f t="shared" si="54"/>
        <v>0</v>
      </c>
      <c r="I86" s="40">
        <f t="shared" si="93"/>
        <v>0</v>
      </c>
      <c r="J86" s="40">
        <f t="shared" si="55"/>
        <v>0</v>
      </c>
      <c r="K86" s="40">
        <f t="shared" si="56"/>
        <v>0</v>
      </c>
      <c r="L86" s="41">
        <f t="shared" si="57"/>
        <v>0</v>
      </c>
      <c r="M86" s="40">
        <f t="shared" si="94"/>
        <v>0</v>
      </c>
      <c r="N86" s="40">
        <f t="shared" si="58"/>
        <v>0</v>
      </c>
      <c r="O86" s="40">
        <f t="shared" si="59"/>
        <v>0</v>
      </c>
      <c r="P86" s="41">
        <f t="shared" si="60"/>
        <v>0</v>
      </c>
      <c r="Q86" s="42">
        <f t="shared" si="95"/>
        <v>0</v>
      </c>
      <c r="R86" s="40">
        <f t="shared" si="61"/>
        <v>0</v>
      </c>
      <c r="S86" s="40">
        <f t="shared" si="62"/>
        <v>0</v>
      </c>
      <c r="T86" s="41">
        <f t="shared" si="63"/>
        <v>0</v>
      </c>
      <c r="U86" s="40">
        <f t="shared" si="96"/>
        <v>0</v>
      </c>
      <c r="V86" s="40">
        <f t="shared" si="64"/>
        <v>0</v>
      </c>
      <c r="W86" s="40">
        <f t="shared" si="65"/>
        <v>0</v>
      </c>
      <c r="X86" s="41">
        <f t="shared" si="66"/>
        <v>0</v>
      </c>
      <c r="Y86" s="40">
        <f t="shared" si="97"/>
        <v>0</v>
      </c>
      <c r="Z86" s="40">
        <f t="shared" si="67"/>
        <v>0</v>
      </c>
      <c r="AA86" s="40">
        <f t="shared" si="68"/>
        <v>0</v>
      </c>
      <c r="AB86" s="43">
        <f t="shared" si="69"/>
        <v>0</v>
      </c>
      <c r="AC86" s="44">
        <f t="shared" si="70"/>
        <v>0</v>
      </c>
      <c r="AD86" s="45">
        <f t="shared" si="71"/>
        <v>0</v>
      </c>
      <c r="AE86" s="46"/>
      <c r="AF86" s="47"/>
      <c r="AG86" s="47"/>
      <c r="AH86" s="77">
        <f t="shared" si="98"/>
        <v>0</v>
      </c>
      <c r="AI86" s="77">
        <f t="shared" si="72"/>
        <v>0</v>
      </c>
      <c r="AJ86" s="77">
        <f t="shared" si="73"/>
        <v>0</v>
      </c>
      <c r="AK86" s="78">
        <f t="shared" si="74"/>
        <v>0</v>
      </c>
      <c r="AL86" s="77">
        <f t="shared" si="99"/>
        <v>0</v>
      </c>
      <c r="AM86" s="77">
        <f t="shared" si="75"/>
        <v>0</v>
      </c>
      <c r="AN86" s="77">
        <f t="shared" si="76"/>
        <v>0</v>
      </c>
      <c r="AO86" s="78">
        <f t="shared" si="77"/>
        <v>0</v>
      </c>
      <c r="AP86" s="77">
        <f t="shared" si="100"/>
        <v>0</v>
      </c>
      <c r="AQ86" s="77">
        <f t="shared" si="78"/>
        <v>0</v>
      </c>
      <c r="AR86" s="77">
        <f t="shared" si="79"/>
        <v>0</v>
      </c>
      <c r="AS86" s="78">
        <f t="shared" si="80"/>
        <v>0</v>
      </c>
      <c r="AT86" s="79">
        <f t="shared" si="101"/>
        <v>0</v>
      </c>
      <c r="AU86" s="77">
        <f t="shared" si="81"/>
        <v>0</v>
      </c>
      <c r="AV86" s="77">
        <f t="shared" si="82"/>
        <v>0</v>
      </c>
      <c r="AW86" s="78">
        <f t="shared" si="83"/>
        <v>0</v>
      </c>
      <c r="AX86" s="77">
        <f t="shared" si="102"/>
        <v>0</v>
      </c>
      <c r="AY86" s="77">
        <f t="shared" si="84"/>
        <v>0</v>
      </c>
      <c r="AZ86" s="77">
        <f t="shared" si="85"/>
        <v>0</v>
      </c>
      <c r="BA86" s="78">
        <f t="shared" si="86"/>
        <v>0</v>
      </c>
      <c r="BB86" s="77">
        <f t="shared" si="103"/>
        <v>0</v>
      </c>
      <c r="BC86" s="77">
        <f t="shared" si="87"/>
        <v>0</v>
      </c>
      <c r="BD86" s="77">
        <f t="shared" si="88"/>
        <v>0</v>
      </c>
      <c r="BE86" s="80">
        <f t="shared" si="89"/>
        <v>0</v>
      </c>
      <c r="BF86" s="44">
        <f t="shared" si="90"/>
        <v>0</v>
      </c>
      <c r="BG86" s="45">
        <f t="shared" si="91"/>
        <v>0</v>
      </c>
      <c r="BH86" s="46"/>
      <c r="BI86" s="47"/>
      <c r="BJ86" s="47"/>
    </row>
    <row r="87" spans="1:62">
      <c r="A87" s="84">
        <v>86</v>
      </c>
      <c r="B87" s="48"/>
      <c r="C87" s="49"/>
      <c r="D87" s="49"/>
      <c r="E87" s="40">
        <f t="shared" si="92"/>
        <v>0</v>
      </c>
      <c r="F87" s="40">
        <f t="shared" si="52"/>
        <v>0</v>
      </c>
      <c r="G87" s="40">
        <f t="shared" si="53"/>
        <v>0</v>
      </c>
      <c r="H87" s="41">
        <f t="shared" si="54"/>
        <v>0</v>
      </c>
      <c r="I87" s="40">
        <f t="shared" si="93"/>
        <v>0</v>
      </c>
      <c r="J87" s="40">
        <f t="shared" si="55"/>
        <v>0</v>
      </c>
      <c r="K87" s="40">
        <f t="shared" si="56"/>
        <v>0</v>
      </c>
      <c r="L87" s="41">
        <f t="shared" si="57"/>
        <v>0</v>
      </c>
      <c r="M87" s="40">
        <f t="shared" si="94"/>
        <v>0</v>
      </c>
      <c r="N87" s="40">
        <f t="shared" si="58"/>
        <v>0</v>
      </c>
      <c r="O87" s="40">
        <f t="shared" si="59"/>
        <v>0</v>
      </c>
      <c r="P87" s="41">
        <f t="shared" si="60"/>
        <v>0</v>
      </c>
      <c r="Q87" s="42">
        <f t="shared" si="95"/>
        <v>0</v>
      </c>
      <c r="R87" s="40">
        <f t="shared" si="61"/>
        <v>0</v>
      </c>
      <c r="S87" s="40">
        <f t="shared" si="62"/>
        <v>0</v>
      </c>
      <c r="T87" s="41">
        <f t="shared" si="63"/>
        <v>0</v>
      </c>
      <c r="U87" s="40">
        <f t="shared" si="96"/>
        <v>0</v>
      </c>
      <c r="V87" s="40">
        <f t="shared" si="64"/>
        <v>0</v>
      </c>
      <c r="W87" s="40">
        <f t="shared" si="65"/>
        <v>0</v>
      </c>
      <c r="X87" s="41">
        <f t="shared" si="66"/>
        <v>0</v>
      </c>
      <c r="Y87" s="40">
        <f t="shared" si="97"/>
        <v>0</v>
      </c>
      <c r="Z87" s="40">
        <f t="shared" si="67"/>
        <v>0</v>
      </c>
      <c r="AA87" s="40">
        <f t="shared" si="68"/>
        <v>0</v>
      </c>
      <c r="AB87" s="43">
        <f t="shared" si="69"/>
        <v>0</v>
      </c>
      <c r="AC87" s="44">
        <f t="shared" si="70"/>
        <v>0</v>
      </c>
      <c r="AD87" s="45">
        <f t="shared" si="71"/>
        <v>0</v>
      </c>
      <c r="AE87" s="46"/>
      <c r="AF87" s="47"/>
      <c r="AG87" s="47"/>
      <c r="AH87" s="77">
        <f t="shared" si="98"/>
        <v>0</v>
      </c>
      <c r="AI87" s="77">
        <f t="shared" si="72"/>
        <v>0</v>
      </c>
      <c r="AJ87" s="77">
        <f t="shared" si="73"/>
        <v>0</v>
      </c>
      <c r="AK87" s="78">
        <f t="shared" si="74"/>
        <v>0</v>
      </c>
      <c r="AL87" s="77">
        <f t="shared" si="99"/>
        <v>0</v>
      </c>
      <c r="AM87" s="77">
        <f t="shared" si="75"/>
        <v>0</v>
      </c>
      <c r="AN87" s="77">
        <f t="shared" si="76"/>
        <v>0</v>
      </c>
      <c r="AO87" s="78">
        <f t="shared" si="77"/>
        <v>0</v>
      </c>
      <c r="AP87" s="77">
        <f t="shared" si="100"/>
        <v>0</v>
      </c>
      <c r="AQ87" s="77">
        <f t="shared" si="78"/>
        <v>0</v>
      </c>
      <c r="AR87" s="77">
        <f t="shared" si="79"/>
        <v>0</v>
      </c>
      <c r="AS87" s="78">
        <f t="shared" si="80"/>
        <v>0</v>
      </c>
      <c r="AT87" s="79">
        <f t="shared" si="101"/>
        <v>0</v>
      </c>
      <c r="AU87" s="77">
        <f t="shared" si="81"/>
        <v>0</v>
      </c>
      <c r="AV87" s="77">
        <f t="shared" si="82"/>
        <v>0</v>
      </c>
      <c r="AW87" s="78">
        <f t="shared" si="83"/>
        <v>0</v>
      </c>
      <c r="AX87" s="77">
        <f t="shared" si="102"/>
        <v>0</v>
      </c>
      <c r="AY87" s="77">
        <f t="shared" si="84"/>
        <v>0</v>
      </c>
      <c r="AZ87" s="77">
        <f t="shared" si="85"/>
        <v>0</v>
      </c>
      <c r="BA87" s="78">
        <f t="shared" si="86"/>
        <v>0</v>
      </c>
      <c r="BB87" s="77">
        <f t="shared" si="103"/>
        <v>0</v>
      </c>
      <c r="BC87" s="77">
        <f t="shared" si="87"/>
        <v>0</v>
      </c>
      <c r="BD87" s="77">
        <f t="shared" si="88"/>
        <v>0</v>
      </c>
      <c r="BE87" s="80">
        <f t="shared" si="89"/>
        <v>0</v>
      </c>
      <c r="BF87" s="44">
        <f t="shared" si="90"/>
        <v>0</v>
      </c>
      <c r="BG87" s="45">
        <f t="shared" si="91"/>
        <v>0</v>
      </c>
      <c r="BH87" s="46"/>
      <c r="BI87" s="47"/>
      <c r="BJ87" s="47"/>
    </row>
    <row r="88" spans="1:62">
      <c r="A88" s="84">
        <v>87</v>
      </c>
      <c r="B88" s="48"/>
      <c r="C88" s="49"/>
      <c r="D88" s="49"/>
      <c r="E88" s="40">
        <f t="shared" si="92"/>
        <v>0</v>
      </c>
      <c r="F88" s="40">
        <f t="shared" si="52"/>
        <v>0</v>
      </c>
      <c r="G88" s="40">
        <f t="shared" si="53"/>
        <v>0</v>
      </c>
      <c r="H88" s="41">
        <f t="shared" si="54"/>
        <v>0</v>
      </c>
      <c r="I88" s="40">
        <f t="shared" si="93"/>
        <v>0</v>
      </c>
      <c r="J88" s="40">
        <f t="shared" si="55"/>
        <v>0</v>
      </c>
      <c r="K88" s="40">
        <f t="shared" si="56"/>
        <v>0</v>
      </c>
      <c r="L88" s="41">
        <f t="shared" si="57"/>
        <v>0</v>
      </c>
      <c r="M88" s="40">
        <f t="shared" si="94"/>
        <v>0</v>
      </c>
      <c r="N88" s="40">
        <f t="shared" si="58"/>
        <v>0</v>
      </c>
      <c r="O88" s="40">
        <f t="shared" si="59"/>
        <v>0</v>
      </c>
      <c r="P88" s="41">
        <f t="shared" si="60"/>
        <v>0</v>
      </c>
      <c r="Q88" s="42">
        <f t="shared" si="95"/>
        <v>0</v>
      </c>
      <c r="R88" s="40">
        <f t="shared" si="61"/>
        <v>0</v>
      </c>
      <c r="S88" s="40">
        <f t="shared" si="62"/>
        <v>0</v>
      </c>
      <c r="T88" s="41">
        <f t="shared" si="63"/>
        <v>0</v>
      </c>
      <c r="U88" s="40">
        <f t="shared" si="96"/>
        <v>0</v>
      </c>
      <c r="V88" s="40">
        <f t="shared" si="64"/>
        <v>0</v>
      </c>
      <c r="W88" s="40">
        <f t="shared" si="65"/>
        <v>0</v>
      </c>
      <c r="X88" s="41">
        <f t="shared" si="66"/>
        <v>0</v>
      </c>
      <c r="Y88" s="40">
        <f t="shared" si="97"/>
        <v>0</v>
      </c>
      <c r="Z88" s="40">
        <f t="shared" si="67"/>
        <v>0</v>
      </c>
      <c r="AA88" s="40">
        <f t="shared" si="68"/>
        <v>0</v>
      </c>
      <c r="AB88" s="43">
        <f t="shared" si="69"/>
        <v>0</v>
      </c>
      <c r="AC88" s="44">
        <f t="shared" si="70"/>
        <v>0</v>
      </c>
      <c r="AD88" s="45">
        <f t="shared" si="71"/>
        <v>0</v>
      </c>
      <c r="AE88" s="46"/>
      <c r="AF88" s="47"/>
      <c r="AG88" s="47"/>
      <c r="AH88" s="77">
        <f t="shared" si="98"/>
        <v>0</v>
      </c>
      <c r="AI88" s="77">
        <f t="shared" si="72"/>
        <v>0</v>
      </c>
      <c r="AJ88" s="77">
        <f t="shared" si="73"/>
        <v>0</v>
      </c>
      <c r="AK88" s="78">
        <f t="shared" si="74"/>
        <v>0</v>
      </c>
      <c r="AL88" s="77">
        <f t="shared" si="99"/>
        <v>0</v>
      </c>
      <c r="AM88" s="77">
        <f t="shared" si="75"/>
        <v>0</v>
      </c>
      <c r="AN88" s="77">
        <f t="shared" si="76"/>
        <v>0</v>
      </c>
      <c r="AO88" s="78">
        <f t="shared" si="77"/>
        <v>0</v>
      </c>
      <c r="AP88" s="77">
        <f t="shared" si="100"/>
        <v>0</v>
      </c>
      <c r="AQ88" s="77">
        <f t="shared" si="78"/>
        <v>0</v>
      </c>
      <c r="AR88" s="77">
        <f t="shared" si="79"/>
        <v>0</v>
      </c>
      <c r="AS88" s="78">
        <f t="shared" si="80"/>
        <v>0</v>
      </c>
      <c r="AT88" s="79">
        <f t="shared" si="101"/>
        <v>0</v>
      </c>
      <c r="AU88" s="77">
        <f t="shared" si="81"/>
        <v>0</v>
      </c>
      <c r="AV88" s="77">
        <f t="shared" si="82"/>
        <v>0</v>
      </c>
      <c r="AW88" s="78">
        <f t="shared" si="83"/>
        <v>0</v>
      </c>
      <c r="AX88" s="77">
        <f t="shared" si="102"/>
        <v>0</v>
      </c>
      <c r="AY88" s="77">
        <f t="shared" si="84"/>
        <v>0</v>
      </c>
      <c r="AZ88" s="77">
        <f t="shared" si="85"/>
        <v>0</v>
      </c>
      <c r="BA88" s="78">
        <f t="shared" si="86"/>
        <v>0</v>
      </c>
      <c r="BB88" s="77">
        <f t="shared" si="103"/>
        <v>0</v>
      </c>
      <c r="BC88" s="77">
        <f t="shared" si="87"/>
        <v>0</v>
      </c>
      <c r="BD88" s="77">
        <f t="shared" si="88"/>
        <v>0</v>
      </c>
      <c r="BE88" s="80">
        <f t="shared" si="89"/>
        <v>0</v>
      </c>
      <c r="BF88" s="44">
        <f t="shared" si="90"/>
        <v>0</v>
      </c>
      <c r="BG88" s="45">
        <f t="shared" si="91"/>
        <v>0</v>
      </c>
      <c r="BH88" s="46"/>
      <c r="BI88" s="47"/>
      <c r="BJ88" s="47"/>
    </row>
    <row r="89" spans="1:62">
      <c r="A89" s="84">
        <v>88</v>
      </c>
      <c r="B89" s="48"/>
      <c r="C89" s="49"/>
      <c r="D89" s="49"/>
      <c r="E89" s="40">
        <f t="shared" si="92"/>
        <v>0</v>
      </c>
      <c r="F89" s="40">
        <f t="shared" si="52"/>
        <v>0</v>
      </c>
      <c r="G89" s="40">
        <f t="shared" si="53"/>
        <v>0</v>
      </c>
      <c r="H89" s="41">
        <f t="shared" si="54"/>
        <v>0</v>
      </c>
      <c r="I89" s="40">
        <f t="shared" si="93"/>
        <v>0</v>
      </c>
      <c r="J89" s="40">
        <f t="shared" si="55"/>
        <v>0</v>
      </c>
      <c r="K89" s="40">
        <f t="shared" si="56"/>
        <v>0</v>
      </c>
      <c r="L89" s="41">
        <f t="shared" si="57"/>
        <v>0</v>
      </c>
      <c r="M89" s="40">
        <f t="shared" si="94"/>
        <v>0</v>
      </c>
      <c r="N89" s="40">
        <f t="shared" si="58"/>
        <v>0</v>
      </c>
      <c r="O89" s="40">
        <f t="shared" si="59"/>
        <v>0</v>
      </c>
      <c r="P89" s="41">
        <f t="shared" si="60"/>
        <v>0</v>
      </c>
      <c r="Q89" s="42">
        <f t="shared" si="95"/>
        <v>0</v>
      </c>
      <c r="R89" s="40">
        <f t="shared" si="61"/>
        <v>0</v>
      </c>
      <c r="S89" s="40">
        <f t="shared" si="62"/>
        <v>0</v>
      </c>
      <c r="T89" s="41">
        <f t="shared" si="63"/>
        <v>0</v>
      </c>
      <c r="U89" s="40">
        <f t="shared" si="96"/>
        <v>0</v>
      </c>
      <c r="V89" s="40">
        <f t="shared" si="64"/>
        <v>0</v>
      </c>
      <c r="W89" s="40">
        <f t="shared" si="65"/>
        <v>0</v>
      </c>
      <c r="X89" s="41">
        <f t="shared" si="66"/>
        <v>0</v>
      </c>
      <c r="Y89" s="40">
        <f t="shared" si="97"/>
        <v>0</v>
      </c>
      <c r="Z89" s="40">
        <f t="shared" si="67"/>
        <v>0</v>
      </c>
      <c r="AA89" s="40">
        <f t="shared" si="68"/>
        <v>0</v>
      </c>
      <c r="AB89" s="43">
        <f t="shared" si="69"/>
        <v>0</v>
      </c>
      <c r="AC89" s="44">
        <f t="shared" si="70"/>
        <v>0</v>
      </c>
      <c r="AD89" s="45">
        <f t="shared" si="71"/>
        <v>0</v>
      </c>
      <c r="AE89" s="46"/>
      <c r="AF89" s="47"/>
      <c r="AG89" s="47"/>
      <c r="AH89" s="77">
        <f t="shared" si="98"/>
        <v>0</v>
      </c>
      <c r="AI89" s="77">
        <f t="shared" si="72"/>
        <v>0</v>
      </c>
      <c r="AJ89" s="77">
        <f t="shared" si="73"/>
        <v>0</v>
      </c>
      <c r="AK89" s="78">
        <f t="shared" si="74"/>
        <v>0</v>
      </c>
      <c r="AL89" s="77">
        <f t="shared" si="99"/>
        <v>0</v>
      </c>
      <c r="AM89" s="77">
        <f t="shared" si="75"/>
        <v>0</v>
      </c>
      <c r="AN89" s="77">
        <f t="shared" si="76"/>
        <v>0</v>
      </c>
      <c r="AO89" s="78">
        <f t="shared" si="77"/>
        <v>0</v>
      </c>
      <c r="AP89" s="77">
        <f t="shared" si="100"/>
        <v>0</v>
      </c>
      <c r="AQ89" s="77">
        <f t="shared" si="78"/>
        <v>0</v>
      </c>
      <c r="AR89" s="77">
        <f t="shared" si="79"/>
        <v>0</v>
      </c>
      <c r="AS89" s="78">
        <f t="shared" si="80"/>
        <v>0</v>
      </c>
      <c r="AT89" s="79">
        <f t="shared" si="101"/>
        <v>0</v>
      </c>
      <c r="AU89" s="77">
        <f t="shared" si="81"/>
        <v>0</v>
      </c>
      <c r="AV89" s="77">
        <f t="shared" si="82"/>
        <v>0</v>
      </c>
      <c r="AW89" s="78">
        <f t="shared" si="83"/>
        <v>0</v>
      </c>
      <c r="AX89" s="77">
        <f t="shared" si="102"/>
        <v>0</v>
      </c>
      <c r="AY89" s="77">
        <f t="shared" si="84"/>
        <v>0</v>
      </c>
      <c r="AZ89" s="77">
        <f t="shared" si="85"/>
        <v>0</v>
      </c>
      <c r="BA89" s="78">
        <f t="shared" si="86"/>
        <v>0</v>
      </c>
      <c r="BB89" s="77">
        <f t="shared" si="103"/>
        <v>0</v>
      </c>
      <c r="BC89" s="77">
        <f t="shared" si="87"/>
        <v>0</v>
      </c>
      <c r="BD89" s="77">
        <f t="shared" si="88"/>
        <v>0</v>
      </c>
      <c r="BE89" s="80">
        <f t="shared" si="89"/>
        <v>0</v>
      </c>
      <c r="BF89" s="44">
        <f t="shared" si="90"/>
        <v>0</v>
      </c>
      <c r="BG89" s="45">
        <f t="shared" si="91"/>
        <v>0</v>
      </c>
      <c r="BH89" s="46"/>
      <c r="BI89" s="47"/>
      <c r="BJ89" s="47"/>
    </row>
    <row r="90" spans="1:62">
      <c r="A90" s="84">
        <v>89</v>
      </c>
      <c r="B90" s="48"/>
      <c r="C90" s="49"/>
      <c r="D90" s="49"/>
      <c r="E90" s="40">
        <f t="shared" si="92"/>
        <v>0</v>
      </c>
      <c r="F90" s="40">
        <f t="shared" si="52"/>
        <v>0</v>
      </c>
      <c r="G90" s="40">
        <f t="shared" si="53"/>
        <v>0</v>
      </c>
      <c r="H90" s="41">
        <f t="shared" si="54"/>
        <v>0</v>
      </c>
      <c r="I90" s="40">
        <f t="shared" si="93"/>
        <v>0</v>
      </c>
      <c r="J90" s="40">
        <f t="shared" si="55"/>
        <v>0</v>
      </c>
      <c r="K90" s="40">
        <f t="shared" si="56"/>
        <v>0</v>
      </c>
      <c r="L90" s="41">
        <f t="shared" si="57"/>
        <v>0</v>
      </c>
      <c r="M90" s="40">
        <f t="shared" si="94"/>
        <v>0</v>
      </c>
      <c r="N90" s="40">
        <f t="shared" si="58"/>
        <v>0</v>
      </c>
      <c r="O90" s="40">
        <f t="shared" si="59"/>
        <v>0</v>
      </c>
      <c r="P90" s="41">
        <f t="shared" si="60"/>
        <v>0</v>
      </c>
      <c r="Q90" s="42">
        <f t="shared" si="95"/>
        <v>0</v>
      </c>
      <c r="R90" s="40">
        <f t="shared" si="61"/>
        <v>0</v>
      </c>
      <c r="S90" s="40">
        <f t="shared" si="62"/>
        <v>0</v>
      </c>
      <c r="T90" s="41">
        <f t="shared" si="63"/>
        <v>0</v>
      </c>
      <c r="U90" s="40">
        <f t="shared" si="96"/>
        <v>0</v>
      </c>
      <c r="V90" s="40">
        <f t="shared" si="64"/>
        <v>0</v>
      </c>
      <c r="W90" s="40">
        <f t="shared" si="65"/>
        <v>0</v>
      </c>
      <c r="X90" s="41">
        <f t="shared" si="66"/>
        <v>0</v>
      </c>
      <c r="Y90" s="40">
        <f t="shared" si="97"/>
        <v>0</v>
      </c>
      <c r="Z90" s="40">
        <f t="shared" si="67"/>
        <v>0</v>
      </c>
      <c r="AA90" s="40">
        <f t="shared" si="68"/>
        <v>0</v>
      </c>
      <c r="AB90" s="43">
        <f t="shared" si="69"/>
        <v>0</v>
      </c>
      <c r="AC90" s="44">
        <f t="shared" si="70"/>
        <v>0</v>
      </c>
      <c r="AD90" s="45">
        <f t="shared" si="71"/>
        <v>0</v>
      </c>
      <c r="AE90" s="46"/>
      <c r="AF90" s="47"/>
      <c r="AG90" s="47"/>
      <c r="AH90" s="77">
        <f t="shared" si="98"/>
        <v>0</v>
      </c>
      <c r="AI90" s="77">
        <f t="shared" si="72"/>
        <v>0</v>
      </c>
      <c r="AJ90" s="77">
        <f t="shared" si="73"/>
        <v>0</v>
      </c>
      <c r="AK90" s="78">
        <f t="shared" si="74"/>
        <v>0</v>
      </c>
      <c r="AL90" s="77">
        <f t="shared" si="99"/>
        <v>0</v>
      </c>
      <c r="AM90" s="77">
        <f t="shared" si="75"/>
        <v>0</v>
      </c>
      <c r="AN90" s="77">
        <f t="shared" si="76"/>
        <v>0</v>
      </c>
      <c r="AO90" s="78">
        <f t="shared" si="77"/>
        <v>0</v>
      </c>
      <c r="AP90" s="77">
        <f t="shared" si="100"/>
        <v>0</v>
      </c>
      <c r="AQ90" s="77">
        <f t="shared" si="78"/>
        <v>0</v>
      </c>
      <c r="AR90" s="77">
        <f t="shared" si="79"/>
        <v>0</v>
      </c>
      <c r="AS90" s="78">
        <f t="shared" si="80"/>
        <v>0</v>
      </c>
      <c r="AT90" s="79">
        <f t="shared" si="101"/>
        <v>0</v>
      </c>
      <c r="AU90" s="77">
        <f t="shared" si="81"/>
        <v>0</v>
      </c>
      <c r="AV90" s="77">
        <f t="shared" si="82"/>
        <v>0</v>
      </c>
      <c r="AW90" s="78">
        <f t="shared" si="83"/>
        <v>0</v>
      </c>
      <c r="AX90" s="77">
        <f t="shared" si="102"/>
        <v>0</v>
      </c>
      <c r="AY90" s="77">
        <f t="shared" si="84"/>
        <v>0</v>
      </c>
      <c r="AZ90" s="77">
        <f t="shared" si="85"/>
        <v>0</v>
      </c>
      <c r="BA90" s="78">
        <f t="shared" si="86"/>
        <v>0</v>
      </c>
      <c r="BB90" s="77">
        <f t="shared" si="103"/>
        <v>0</v>
      </c>
      <c r="BC90" s="77">
        <f t="shared" si="87"/>
        <v>0</v>
      </c>
      <c r="BD90" s="77">
        <f t="shared" si="88"/>
        <v>0</v>
      </c>
      <c r="BE90" s="80">
        <f t="shared" si="89"/>
        <v>0</v>
      </c>
      <c r="BF90" s="44">
        <f t="shared" si="90"/>
        <v>0</v>
      </c>
      <c r="BG90" s="45">
        <f t="shared" si="91"/>
        <v>0</v>
      </c>
      <c r="BH90" s="46"/>
      <c r="BI90" s="47"/>
      <c r="BJ90" s="47"/>
    </row>
    <row r="91" spans="1:62">
      <c r="A91" s="84">
        <v>90</v>
      </c>
      <c r="B91" s="48"/>
      <c r="C91" s="49"/>
      <c r="D91" s="49"/>
      <c r="E91" s="40">
        <f t="shared" si="92"/>
        <v>0</v>
      </c>
      <c r="F91" s="40">
        <f t="shared" si="52"/>
        <v>0</v>
      </c>
      <c r="G91" s="40">
        <f t="shared" si="53"/>
        <v>0</v>
      </c>
      <c r="H91" s="41">
        <f t="shared" si="54"/>
        <v>0</v>
      </c>
      <c r="I91" s="40">
        <f t="shared" si="93"/>
        <v>0</v>
      </c>
      <c r="J91" s="40">
        <f t="shared" si="55"/>
        <v>0</v>
      </c>
      <c r="K91" s="40">
        <f t="shared" si="56"/>
        <v>0</v>
      </c>
      <c r="L91" s="41">
        <f t="shared" si="57"/>
        <v>0</v>
      </c>
      <c r="M91" s="40">
        <f t="shared" si="94"/>
        <v>0</v>
      </c>
      <c r="N91" s="40">
        <f t="shared" si="58"/>
        <v>0</v>
      </c>
      <c r="O91" s="40">
        <f t="shared" si="59"/>
        <v>0</v>
      </c>
      <c r="P91" s="41">
        <f t="shared" si="60"/>
        <v>0</v>
      </c>
      <c r="Q91" s="42">
        <f t="shared" si="95"/>
        <v>0</v>
      </c>
      <c r="R91" s="40">
        <f t="shared" si="61"/>
        <v>0</v>
      </c>
      <c r="S91" s="40">
        <f t="shared" si="62"/>
        <v>0</v>
      </c>
      <c r="T91" s="41">
        <f t="shared" si="63"/>
        <v>0</v>
      </c>
      <c r="U91" s="40">
        <f t="shared" si="96"/>
        <v>0</v>
      </c>
      <c r="V91" s="40">
        <f t="shared" si="64"/>
        <v>0</v>
      </c>
      <c r="W91" s="40">
        <f t="shared" si="65"/>
        <v>0</v>
      </c>
      <c r="X91" s="41">
        <f t="shared" si="66"/>
        <v>0</v>
      </c>
      <c r="Y91" s="40">
        <f t="shared" si="97"/>
        <v>0</v>
      </c>
      <c r="Z91" s="40">
        <f t="shared" si="67"/>
        <v>0</v>
      </c>
      <c r="AA91" s="40">
        <f t="shared" si="68"/>
        <v>0</v>
      </c>
      <c r="AB91" s="43">
        <f t="shared" si="69"/>
        <v>0</v>
      </c>
      <c r="AC91" s="44">
        <f t="shared" si="70"/>
        <v>0</v>
      </c>
      <c r="AD91" s="45">
        <f t="shared" si="71"/>
        <v>0</v>
      </c>
      <c r="AE91" s="46"/>
      <c r="AF91" s="47"/>
      <c r="AG91" s="47"/>
      <c r="AH91" s="77">
        <f t="shared" si="98"/>
        <v>0</v>
      </c>
      <c r="AI91" s="77">
        <f t="shared" si="72"/>
        <v>0</v>
      </c>
      <c r="AJ91" s="77">
        <f t="shared" si="73"/>
        <v>0</v>
      </c>
      <c r="AK91" s="78">
        <f t="shared" si="74"/>
        <v>0</v>
      </c>
      <c r="AL91" s="77">
        <f t="shared" si="99"/>
        <v>0</v>
      </c>
      <c r="AM91" s="77">
        <f t="shared" si="75"/>
        <v>0</v>
      </c>
      <c r="AN91" s="77">
        <f t="shared" si="76"/>
        <v>0</v>
      </c>
      <c r="AO91" s="78">
        <f t="shared" si="77"/>
        <v>0</v>
      </c>
      <c r="AP91" s="77">
        <f t="shared" si="100"/>
        <v>0</v>
      </c>
      <c r="AQ91" s="77">
        <f t="shared" si="78"/>
        <v>0</v>
      </c>
      <c r="AR91" s="77">
        <f t="shared" si="79"/>
        <v>0</v>
      </c>
      <c r="AS91" s="78">
        <f t="shared" si="80"/>
        <v>0</v>
      </c>
      <c r="AT91" s="79">
        <f t="shared" si="101"/>
        <v>0</v>
      </c>
      <c r="AU91" s="77">
        <f t="shared" si="81"/>
        <v>0</v>
      </c>
      <c r="AV91" s="77">
        <f t="shared" si="82"/>
        <v>0</v>
      </c>
      <c r="AW91" s="78">
        <f t="shared" si="83"/>
        <v>0</v>
      </c>
      <c r="AX91" s="77">
        <f t="shared" si="102"/>
        <v>0</v>
      </c>
      <c r="AY91" s="77">
        <f t="shared" si="84"/>
        <v>0</v>
      </c>
      <c r="AZ91" s="77">
        <f t="shared" si="85"/>
        <v>0</v>
      </c>
      <c r="BA91" s="78">
        <f t="shared" si="86"/>
        <v>0</v>
      </c>
      <c r="BB91" s="77">
        <f t="shared" si="103"/>
        <v>0</v>
      </c>
      <c r="BC91" s="77">
        <f t="shared" si="87"/>
        <v>0</v>
      </c>
      <c r="BD91" s="77">
        <f t="shared" si="88"/>
        <v>0</v>
      </c>
      <c r="BE91" s="80">
        <f t="shared" si="89"/>
        <v>0</v>
      </c>
      <c r="BF91" s="44">
        <f t="shared" si="90"/>
        <v>0</v>
      </c>
      <c r="BG91" s="45">
        <f t="shared" si="91"/>
        <v>0</v>
      </c>
      <c r="BH91" s="46"/>
      <c r="BI91" s="47"/>
      <c r="BJ91" s="47"/>
    </row>
    <row r="92" spans="1:62">
      <c r="A92" s="84">
        <v>91</v>
      </c>
      <c r="B92" s="48"/>
      <c r="C92" s="49"/>
      <c r="D92" s="49"/>
      <c r="E92" s="40">
        <f t="shared" si="92"/>
        <v>0</v>
      </c>
      <c r="F92" s="40">
        <f t="shared" si="52"/>
        <v>0</v>
      </c>
      <c r="G92" s="40">
        <f t="shared" si="53"/>
        <v>0</v>
      </c>
      <c r="H92" s="41">
        <f t="shared" si="54"/>
        <v>0</v>
      </c>
      <c r="I92" s="40">
        <f t="shared" si="93"/>
        <v>0</v>
      </c>
      <c r="J92" s="40">
        <f t="shared" si="55"/>
        <v>0</v>
      </c>
      <c r="K92" s="40">
        <f t="shared" si="56"/>
        <v>0</v>
      </c>
      <c r="L92" s="41">
        <f t="shared" si="57"/>
        <v>0</v>
      </c>
      <c r="M92" s="40">
        <f t="shared" si="94"/>
        <v>0</v>
      </c>
      <c r="N92" s="40">
        <f t="shared" si="58"/>
        <v>0</v>
      </c>
      <c r="O92" s="40">
        <f t="shared" si="59"/>
        <v>0</v>
      </c>
      <c r="P92" s="41">
        <f t="shared" si="60"/>
        <v>0</v>
      </c>
      <c r="Q92" s="42">
        <f t="shared" si="95"/>
        <v>0</v>
      </c>
      <c r="R92" s="40">
        <f t="shared" si="61"/>
        <v>0</v>
      </c>
      <c r="S92" s="40">
        <f t="shared" si="62"/>
        <v>0</v>
      </c>
      <c r="T92" s="41">
        <f t="shared" si="63"/>
        <v>0</v>
      </c>
      <c r="U92" s="40">
        <f t="shared" si="96"/>
        <v>0</v>
      </c>
      <c r="V92" s="40">
        <f t="shared" si="64"/>
        <v>0</v>
      </c>
      <c r="W92" s="40">
        <f t="shared" si="65"/>
        <v>0</v>
      </c>
      <c r="X92" s="41">
        <f t="shared" si="66"/>
        <v>0</v>
      </c>
      <c r="Y92" s="40">
        <f t="shared" si="97"/>
        <v>0</v>
      </c>
      <c r="Z92" s="40">
        <f t="shared" si="67"/>
        <v>0</v>
      </c>
      <c r="AA92" s="40">
        <f t="shared" si="68"/>
        <v>0</v>
      </c>
      <c r="AB92" s="43">
        <f t="shared" si="69"/>
        <v>0</v>
      </c>
      <c r="AC92" s="44">
        <f t="shared" si="70"/>
        <v>0</v>
      </c>
      <c r="AD92" s="45">
        <f t="shared" si="71"/>
        <v>0</v>
      </c>
      <c r="AE92" s="46"/>
      <c r="AF92" s="47"/>
      <c r="AG92" s="47"/>
      <c r="AH92" s="77">
        <f t="shared" si="98"/>
        <v>0</v>
      </c>
      <c r="AI92" s="77">
        <f t="shared" si="72"/>
        <v>0</v>
      </c>
      <c r="AJ92" s="77">
        <f t="shared" si="73"/>
        <v>0</v>
      </c>
      <c r="AK92" s="78">
        <f t="shared" si="74"/>
        <v>0</v>
      </c>
      <c r="AL92" s="77">
        <f t="shared" si="99"/>
        <v>0</v>
      </c>
      <c r="AM92" s="77">
        <f t="shared" si="75"/>
        <v>0</v>
      </c>
      <c r="AN92" s="77">
        <f t="shared" si="76"/>
        <v>0</v>
      </c>
      <c r="AO92" s="78">
        <f t="shared" si="77"/>
        <v>0</v>
      </c>
      <c r="AP92" s="77">
        <f t="shared" si="100"/>
        <v>0</v>
      </c>
      <c r="AQ92" s="77">
        <f t="shared" si="78"/>
        <v>0</v>
      </c>
      <c r="AR92" s="77">
        <f t="shared" si="79"/>
        <v>0</v>
      </c>
      <c r="AS92" s="78">
        <f t="shared" si="80"/>
        <v>0</v>
      </c>
      <c r="AT92" s="79">
        <f t="shared" si="101"/>
        <v>0</v>
      </c>
      <c r="AU92" s="77">
        <f t="shared" si="81"/>
        <v>0</v>
      </c>
      <c r="AV92" s="77">
        <f t="shared" si="82"/>
        <v>0</v>
      </c>
      <c r="AW92" s="78">
        <f t="shared" si="83"/>
        <v>0</v>
      </c>
      <c r="AX92" s="77">
        <f t="shared" si="102"/>
        <v>0</v>
      </c>
      <c r="AY92" s="77">
        <f t="shared" si="84"/>
        <v>0</v>
      </c>
      <c r="AZ92" s="77">
        <f t="shared" si="85"/>
        <v>0</v>
      </c>
      <c r="BA92" s="78">
        <f t="shared" si="86"/>
        <v>0</v>
      </c>
      <c r="BB92" s="77">
        <f t="shared" si="103"/>
        <v>0</v>
      </c>
      <c r="BC92" s="77">
        <f t="shared" si="87"/>
        <v>0</v>
      </c>
      <c r="BD92" s="77">
        <f t="shared" si="88"/>
        <v>0</v>
      </c>
      <c r="BE92" s="80">
        <f t="shared" si="89"/>
        <v>0</v>
      </c>
      <c r="BF92" s="44">
        <f t="shared" si="90"/>
        <v>0</v>
      </c>
      <c r="BG92" s="45">
        <f t="shared" si="91"/>
        <v>0</v>
      </c>
      <c r="BH92" s="46"/>
      <c r="BI92" s="47"/>
      <c r="BJ92" s="47"/>
    </row>
    <row r="93" spans="1:62">
      <c r="A93" s="84">
        <v>92</v>
      </c>
      <c r="B93" s="48"/>
      <c r="C93" s="49"/>
      <c r="D93" s="49"/>
      <c r="E93" s="40">
        <f t="shared" si="92"/>
        <v>0</v>
      </c>
      <c r="F93" s="40">
        <f t="shared" si="52"/>
        <v>0</v>
      </c>
      <c r="G93" s="40">
        <f t="shared" si="53"/>
        <v>0</v>
      </c>
      <c r="H93" s="41">
        <f t="shared" si="54"/>
        <v>0</v>
      </c>
      <c r="I93" s="40">
        <f t="shared" si="93"/>
        <v>0</v>
      </c>
      <c r="J93" s="40">
        <f t="shared" si="55"/>
        <v>0</v>
      </c>
      <c r="K93" s="40">
        <f t="shared" si="56"/>
        <v>0</v>
      </c>
      <c r="L93" s="41">
        <f t="shared" si="57"/>
        <v>0</v>
      </c>
      <c r="M93" s="40">
        <f t="shared" si="94"/>
        <v>0</v>
      </c>
      <c r="N93" s="40">
        <f t="shared" si="58"/>
        <v>0</v>
      </c>
      <c r="O93" s="40">
        <f t="shared" si="59"/>
        <v>0</v>
      </c>
      <c r="P93" s="41">
        <f t="shared" si="60"/>
        <v>0</v>
      </c>
      <c r="Q93" s="42">
        <f t="shared" si="95"/>
        <v>0</v>
      </c>
      <c r="R93" s="40">
        <f t="shared" si="61"/>
        <v>0</v>
      </c>
      <c r="S93" s="40">
        <f t="shared" si="62"/>
        <v>0</v>
      </c>
      <c r="T93" s="41">
        <f t="shared" si="63"/>
        <v>0</v>
      </c>
      <c r="U93" s="40">
        <f t="shared" si="96"/>
        <v>0</v>
      </c>
      <c r="V93" s="40">
        <f t="shared" si="64"/>
        <v>0</v>
      </c>
      <c r="W93" s="40">
        <f t="shared" si="65"/>
        <v>0</v>
      </c>
      <c r="X93" s="41">
        <f t="shared" si="66"/>
        <v>0</v>
      </c>
      <c r="Y93" s="40">
        <f t="shared" si="97"/>
        <v>0</v>
      </c>
      <c r="Z93" s="40">
        <f t="shared" si="67"/>
        <v>0</v>
      </c>
      <c r="AA93" s="40">
        <f t="shared" si="68"/>
        <v>0</v>
      </c>
      <c r="AB93" s="43">
        <f t="shared" si="69"/>
        <v>0</v>
      </c>
      <c r="AC93" s="44">
        <f t="shared" si="70"/>
        <v>0</v>
      </c>
      <c r="AD93" s="45">
        <f t="shared" si="71"/>
        <v>0</v>
      </c>
      <c r="AE93" s="46"/>
      <c r="AF93" s="47"/>
      <c r="AG93" s="47"/>
      <c r="AH93" s="77">
        <f t="shared" si="98"/>
        <v>0</v>
      </c>
      <c r="AI93" s="77">
        <f t="shared" si="72"/>
        <v>0</v>
      </c>
      <c r="AJ93" s="77">
        <f t="shared" si="73"/>
        <v>0</v>
      </c>
      <c r="AK93" s="78">
        <f t="shared" si="74"/>
        <v>0</v>
      </c>
      <c r="AL93" s="77">
        <f t="shared" si="99"/>
        <v>0</v>
      </c>
      <c r="AM93" s="77">
        <f t="shared" si="75"/>
        <v>0</v>
      </c>
      <c r="AN93" s="77">
        <f t="shared" si="76"/>
        <v>0</v>
      </c>
      <c r="AO93" s="78">
        <f t="shared" si="77"/>
        <v>0</v>
      </c>
      <c r="AP93" s="77">
        <f t="shared" si="100"/>
        <v>0</v>
      </c>
      <c r="AQ93" s="77">
        <f t="shared" si="78"/>
        <v>0</v>
      </c>
      <c r="AR93" s="77">
        <f t="shared" si="79"/>
        <v>0</v>
      </c>
      <c r="AS93" s="78">
        <f t="shared" si="80"/>
        <v>0</v>
      </c>
      <c r="AT93" s="79">
        <f t="shared" si="101"/>
        <v>0</v>
      </c>
      <c r="AU93" s="77">
        <f t="shared" si="81"/>
        <v>0</v>
      </c>
      <c r="AV93" s="77">
        <f t="shared" si="82"/>
        <v>0</v>
      </c>
      <c r="AW93" s="78">
        <f t="shared" si="83"/>
        <v>0</v>
      </c>
      <c r="AX93" s="77">
        <f t="shared" si="102"/>
        <v>0</v>
      </c>
      <c r="AY93" s="77">
        <f t="shared" si="84"/>
        <v>0</v>
      </c>
      <c r="AZ93" s="77">
        <f t="shared" si="85"/>
        <v>0</v>
      </c>
      <c r="BA93" s="78">
        <f t="shared" si="86"/>
        <v>0</v>
      </c>
      <c r="BB93" s="77">
        <f t="shared" si="103"/>
        <v>0</v>
      </c>
      <c r="BC93" s="77">
        <f t="shared" si="87"/>
        <v>0</v>
      </c>
      <c r="BD93" s="77">
        <f t="shared" si="88"/>
        <v>0</v>
      </c>
      <c r="BE93" s="80">
        <f t="shared" si="89"/>
        <v>0</v>
      </c>
      <c r="BF93" s="44">
        <f t="shared" si="90"/>
        <v>0</v>
      </c>
      <c r="BG93" s="45">
        <f t="shared" si="91"/>
        <v>0</v>
      </c>
      <c r="BH93" s="46"/>
      <c r="BI93" s="47"/>
      <c r="BJ93" s="47"/>
    </row>
    <row r="94" spans="1:62">
      <c r="A94" s="84">
        <v>93</v>
      </c>
      <c r="B94" s="48"/>
      <c r="C94" s="49"/>
      <c r="D94" s="49"/>
      <c r="E94" s="40">
        <f t="shared" si="92"/>
        <v>0</v>
      </c>
      <c r="F94" s="40">
        <f t="shared" si="52"/>
        <v>0</v>
      </c>
      <c r="G94" s="40">
        <f t="shared" si="53"/>
        <v>0</v>
      </c>
      <c r="H94" s="41">
        <f t="shared" si="54"/>
        <v>0</v>
      </c>
      <c r="I94" s="40">
        <f t="shared" si="93"/>
        <v>0</v>
      </c>
      <c r="J94" s="40">
        <f t="shared" si="55"/>
        <v>0</v>
      </c>
      <c r="K94" s="40">
        <f t="shared" si="56"/>
        <v>0</v>
      </c>
      <c r="L94" s="41">
        <f t="shared" si="57"/>
        <v>0</v>
      </c>
      <c r="M94" s="40">
        <f t="shared" si="94"/>
        <v>0</v>
      </c>
      <c r="N94" s="40">
        <f t="shared" si="58"/>
        <v>0</v>
      </c>
      <c r="O94" s="40">
        <f t="shared" si="59"/>
        <v>0</v>
      </c>
      <c r="P94" s="41">
        <f t="shared" si="60"/>
        <v>0</v>
      </c>
      <c r="Q94" s="42">
        <f t="shared" si="95"/>
        <v>0</v>
      </c>
      <c r="R94" s="40">
        <f t="shared" si="61"/>
        <v>0</v>
      </c>
      <c r="S94" s="40">
        <f t="shared" si="62"/>
        <v>0</v>
      </c>
      <c r="T94" s="41">
        <f t="shared" si="63"/>
        <v>0</v>
      </c>
      <c r="U94" s="40">
        <f t="shared" si="96"/>
        <v>0</v>
      </c>
      <c r="V94" s="40">
        <f t="shared" si="64"/>
        <v>0</v>
      </c>
      <c r="W94" s="40">
        <f t="shared" si="65"/>
        <v>0</v>
      </c>
      <c r="X94" s="41">
        <f t="shared" si="66"/>
        <v>0</v>
      </c>
      <c r="Y94" s="40">
        <f t="shared" si="97"/>
        <v>0</v>
      </c>
      <c r="Z94" s="40">
        <f t="shared" si="67"/>
        <v>0</v>
      </c>
      <c r="AA94" s="40">
        <f t="shared" si="68"/>
        <v>0</v>
      </c>
      <c r="AB94" s="43">
        <f t="shared" si="69"/>
        <v>0</v>
      </c>
      <c r="AC94" s="44">
        <f t="shared" si="70"/>
        <v>0</v>
      </c>
      <c r="AD94" s="45">
        <f t="shared" si="71"/>
        <v>0</v>
      </c>
      <c r="AE94" s="46"/>
      <c r="AF94" s="47"/>
      <c r="AG94" s="47"/>
      <c r="AH94" s="77">
        <f t="shared" si="98"/>
        <v>0</v>
      </c>
      <c r="AI94" s="77">
        <f t="shared" si="72"/>
        <v>0</v>
      </c>
      <c r="AJ94" s="77">
        <f t="shared" si="73"/>
        <v>0</v>
      </c>
      <c r="AK94" s="78">
        <f t="shared" si="74"/>
        <v>0</v>
      </c>
      <c r="AL94" s="77">
        <f t="shared" si="99"/>
        <v>0</v>
      </c>
      <c r="AM94" s="77">
        <f t="shared" si="75"/>
        <v>0</v>
      </c>
      <c r="AN94" s="77">
        <f t="shared" si="76"/>
        <v>0</v>
      </c>
      <c r="AO94" s="78">
        <f t="shared" si="77"/>
        <v>0</v>
      </c>
      <c r="AP94" s="77">
        <f t="shared" si="100"/>
        <v>0</v>
      </c>
      <c r="AQ94" s="77">
        <f t="shared" si="78"/>
        <v>0</v>
      </c>
      <c r="AR94" s="77">
        <f t="shared" si="79"/>
        <v>0</v>
      </c>
      <c r="AS94" s="78">
        <f t="shared" si="80"/>
        <v>0</v>
      </c>
      <c r="AT94" s="79">
        <f t="shared" si="101"/>
        <v>0</v>
      </c>
      <c r="AU94" s="77">
        <f t="shared" si="81"/>
        <v>0</v>
      </c>
      <c r="AV94" s="77">
        <f t="shared" si="82"/>
        <v>0</v>
      </c>
      <c r="AW94" s="78">
        <f t="shared" si="83"/>
        <v>0</v>
      </c>
      <c r="AX94" s="77">
        <f t="shared" si="102"/>
        <v>0</v>
      </c>
      <c r="AY94" s="77">
        <f t="shared" si="84"/>
        <v>0</v>
      </c>
      <c r="AZ94" s="77">
        <f t="shared" si="85"/>
        <v>0</v>
      </c>
      <c r="BA94" s="78">
        <f t="shared" si="86"/>
        <v>0</v>
      </c>
      <c r="BB94" s="77">
        <f t="shared" si="103"/>
        <v>0</v>
      </c>
      <c r="BC94" s="77">
        <f t="shared" si="87"/>
        <v>0</v>
      </c>
      <c r="BD94" s="77">
        <f t="shared" si="88"/>
        <v>0</v>
      </c>
      <c r="BE94" s="80">
        <f t="shared" si="89"/>
        <v>0</v>
      </c>
      <c r="BF94" s="44">
        <f t="shared" si="90"/>
        <v>0</v>
      </c>
      <c r="BG94" s="45">
        <f t="shared" si="91"/>
        <v>0</v>
      </c>
      <c r="BH94" s="46"/>
      <c r="BI94" s="47"/>
      <c r="BJ94" s="47"/>
    </row>
    <row r="95" spans="1:62">
      <c r="A95" s="84">
        <v>94</v>
      </c>
      <c r="B95" s="48"/>
      <c r="C95" s="49"/>
      <c r="D95" s="49"/>
      <c r="E95" s="40">
        <f t="shared" si="92"/>
        <v>0</v>
      </c>
      <c r="F95" s="40">
        <f t="shared" si="52"/>
        <v>0</v>
      </c>
      <c r="G95" s="40">
        <f t="shared" si="53"/>
        <v>0</v>
      </c>
      <c r="H95" s="41">
        <f t="shared" si="54"/>
        <v>0</v>
      </c>
      <c r="I95" s="40">
        <f t="shared" si="93"/>
        <v>0</v>
      </c>
      <c r="J95" s="40">
        <f t="shared" si="55"/>
        <v>0</v>
      </c>
      <c r="K95" s="40">
        <f t="shared" si="56"/>
        <v>0</v>
      </c>
      <c r="L95" s="41">
        <f t="shared" si="57"/>
        <v>0</v>
      </c>
      <c r="M95" s="40">
        <f t="shared" si="94"/>
        <v>0</v>
      </c>
      <c r="N95" s="40">
        <f t="shared" si="58"/>
        <v>0</v>
      </c>
      <c r="O95" s="40">
        <f t="shared" si="59"/>
        <v>0</v>
      </c>
      <c r="P95" s="41">
        <f t="shared" si="60"/>
        <v>0</v>
      </c>
      <c r="Q95" s="42">
        <f t="shared" si="95"/>
        <v>0</v>
      </c>
      <c r="R95" s="40">
        <f t="shared" si="61"/>
        <v>0</v>
      </c>
      <c r="S95" s="40">
        <f t="shared" si="62"/>
        <v>0</v>
      </c>
      <c r="T95" s="41">
        <f t="shared" si="63"/>
        <v>0</v>
      </c>
      <c r="U95" s="40">
        <f t="shared" si="96"/>
        <v>0</v>
      </c>
      <c r="V95" s="40">
        <f t="shared" si="64"/>
        <v>0</v>
      </c>
      <c r="W95" s="40">
        <f t="shared" si="65"/>
        <v>0</v>
      </c>
      <c r="X95" s="41">
        <f t="shared" si="66"/>
        <v>0</v>
      </c>
      <c r="Y95" s="40">
        <f t="shared" si="97"/>
        <v>0</v>
      </c>
      <c r="Z95" s="40">
        <f t="shared" si="67"/>
        <v>0</v>
      </c>
      <c r="AA95" s="40">
        <f t="shared" si="68"/>
        <v>0</v>
      </c>
      <c r="AB95" s="43">
        <f t="shared" si="69"/>
        <v>0</v>
      </c>
      <c r="AC95" s="44">
        <f t="shared" si="70"/>
        <v>0</v>
      </c>
      <c r="AD95" s="45">
        <f t="shared" si="71"/>
        <v>0</v>
      </c>
      <c r="AE95" s="46"/>
      <c r="AF95" s="47"/>
      <c r="AG95" s="47"/>
      <c r="AH95" s="77">
        <f t="shared" si="98"/>
        <v>0</v>
      </c>
      <c r="AI95" s="77">
        <f t="shared" si="72"/>
        <v>0</v>
      </c>
      <c r="AJ95" s="77">
        <f t="shared" si="73"/>
        <v>0</v>
      </c>
      <c r="AK95" s="78">
        <f t="shared" si="74"/>
        <v>0</v>
      </c>
      <c r="AL95" s="77">
        <f t="shared" si="99"/>
        <v>0</v>
      </c>
      <c r="AM95" s="77">
        <f t="shared" si="75"/>
        <v>0</v>
      </c>
      <c r="AN95" s="77">
        <f t="shared" si="76"/>
        <v>0</v>
      </c>
      <c r="AO95" s="78">
        <f t="shared" si="77"/>
        <v>0</v>
      </c>
      <c r="AP95" s="77">
        <f t="shared" si="100"/>
        <v>0</v>
      </c>
      <c r="AQ95" s="77">
        <f t="shared" si="78"/>
        <v>0</v>
      </c>
      <c r="AR95" s="77">
        <f t="shared" si="79"/>
        <v>0</v>
      </c>
      <c r="AS95" s="78">
        <f t="shared" si="80"/>
        <v>0</v>
      </c>
      <c r="AT95" s="79">
        <f t="shared" si="101"/>
        <v>0</v>
      </c>
      <c r="AU95" s="77">
        <f t="shared" si="81"/>
        <v>0</v>
      </c>
      <c r="AV95" s="77">
        <f t="shared" si="82"/>
        <v>0</v>
      </c>
      <c r="AW95" s="78">
        <f t="shared" si="83"/>
        <v>0</v>
      </c>
      <c r="AX95" s="77">
        <f t="shared" si="102"/>
        <v>0</v>
      </c>
      <c r="AY95" s="77">
        <f t="shared" si="84"/>
        <v>0</v>
      </c>
      <c r="AZ95" s="77">
        <f t="shared" si="85"/>
        <v>0</v>
      </c>
      <c r="BA95" s="78">
        <f t="shared" si="86"/>
        <v>0</v>
      </c>
      <c r="BB95" s="77">
        <f t="shared" si="103"/>
        <v>0</v>
      </c>
      <c r="BC95" s="77">
        <f t="shared" si="87"/>
        <v>0</v>
      </c>
      <c r="BD95" s="77">
        <f t="shared" si="88"/>
        <v>0</v>
      </c>
      <c r="BE95" s="80">
        <f t="shared" si="89"/>
        <v>0</v>
      </c>
      <c r="BF95" s="44">
        <f t="shared" si="90"/>
        <v>0</v>
      </c>
      <c r="BG95" s="45">
        <f t="shared" si="91"/>
        <v>0</v>
      </c>
      <c r="BH95" s="46"/>
      <c r="BI95" s="47"/>
      <c r="BJ95" s="47"/>
    </row>
    <row r="96" spans="1:62">
      <c r="A96" s="84">
        <v>95</v>
      </c>
      <c r="B96" s="48"/>
      <c r="C96" s="49"/>
      <c r="D96" s="49"/>
      <c r="E96" s="40">
        <f t="shared" si="92"/>
        <v>0</v>
      </c>
      <c r="F96" s="40">
        <f t="shared" ref="F96:F101" si="104">(LEN($C96)-LEN(SUBSTITUTE(UPPER($C96),UPPER(E$1),"")))/LEN(E$1)</f>
        <v>0</v>
      </c>
      <c r="G96" s="40">
        <f t="shared" ref="G96:G101" si="105">(LEN($D96)-LEN(SUBSTITUTE(UPPER($D96),UPPER(E$1),"")))/LEN(E$1)</f>
        <v>0</v>
      </c>
      <c r="H96" s="41">
        <f t="shared" ref="H96:H101" si="106">SUM(E96:G96)</f>
        <v>0</v>
      </c>
      <c r="I96" s="40">
        <f t="shared" si="93"/>
        <v>0</v>
      </c>
      <c r="J96" s="40">
        <f t="shared" ref="J96:J101" si="107">(LEN($C96)-LEN(SUBSTITUTE(UPPER($C96),UPPER(I$1),"")))/LEN(I$1)</f>
        <v>0</v>
      </c>
      <c r="K96" s="40">
        <f t="shared" ref="K96:K101" si="108">(LEN($D96)-LEN(SUBSTITUTE(UPPER($D96),UPPER(I$1),"")))/LEN(I$1)</f>
        <v>0</v>
      </c>
      <c r="L96" s="41">
        <f t="shared" ref="L96:L101" si="109">SUM(I96:K96)</f>
        <v>0</v>
      </c>
      <c r="M96" s="40">
        <f t="shared" si="94"/>
        <v>0</v>
      </c>
      <c r="N96" s="40">
        <f t="shared" ref="N96:N101" si="110">(LEN($C96)-LEN(SUBSTITUTE(UPPER($C96),UPPER(M$1),"")))/LEN(M$1)</f>
        <v>0</v>
      </c>
      <c r="O96" s="40">
        <f t="shared" ref="O96:O101" si="111">(LEN($D96)-LEN(SUBSTITUTE(UPPER($D96),UPPER(M$1),"")))/LEN(M$1)</f>
        <v>0</v>
      </c>
      <c r="P96" s="41">
        <f t="shared" ref="P96:P101" si="112">SUM(M96:O96)</f>
        <v>0</v>
      </c>
      <c r="Q96" s="42">
        <f t="shared" si="95"/>
        <v>0</v>
      </c>
      <c r="R96" s="40">
        <f t="shared" ref="R96:R101" si="113">(LEN($C96)-LEN(SUBSTITUTE(UPPER($C96),UPPER(Q$1),"")))/LEN(Q$1)</f>
        <v>0</v>
      </c>
      <c r="S96" s="40">
        <f t="shared" ref="S96:S101" si="114">(LEN($D96)-LEN(SUBSTITUTE(UPPER($D96),UPPER(Q$1),"")))/LEN(Q$1)</f>
        <v>0</v>
      </c>
      <c r="T96" s="41">
        <f t="shared" ref="T96:T101" si="115">SUM(Q96:S96)</f>
        <v>0</v>
      </c>
      <c r="U96" s="40">
        <f t="shared" si="96"/>
        <v>0</v>
      </c>
      <c r="V96" s="40">
        <f t="shared" ref="V96:V101" si="116">(LEN($C96)-LEN(SUBSTITUTE(UPPER($C96),UPPER(U$1),"")))/LEN(U$1)</f>
        <v>0</v>
      </c>
      <c r="W96" s="40">
        <f t="shared" ref="W96:W101" si="117">(LEN($D96)-LEN(SUBSTITUTE(UPPER($D96),UPPER(U$1),"")))/LEN(U$1)</f>
        <v>0</v>
      </c>
      <c r="X96" s="41">
        <f t="shared" ref="X96:X101" si="118">SUM(U96:W96)</f>
        <v>0</v>
      </c>
      <c r="Y96" s="40">
        <f t="shared" si="97"/>
        <v>0</v>
      </c>
      <c r="Z96" s="40">
        <f t="shared" ref="Z96:Z101" si="119">(LEN($C96)-LEN(SUBSTITUTE(UPPER($C96),UPPER(Y$1),"")))/LEN(Y$1)</f>
        <v>0</v>
      </c>
      <c r="AA96" s="40">
        <f t="shared" ref="AA96:AA101" si="120">(LEN($D96)-LEN(SUBSTITUTE(UPPER($D96),UPPER(Y$1),"")))/LEN(Y$1)</f>
        <v>0</v>
      </c>
      <c r="AB96" s="43">
        <f t="shared" ref="AB96:AB101" si="121">SUM(Y96:AA96)</f>
        <v>0</v>
      </c>
      <c r="AC96" s="44">
        <f t="shared" ref="AC96:AC101" si="122">H96+L96+P96+T96+X96+AB96</f>
        <v>0</v>
      </c>
      <c r="AD96" s="45">
        <f t="shared" ref="AD96:AD101" si="123">IF((AC96)&gt;0,1,0)</f>
        <v>0</v>
      </c>
      <c r="AE96" s="46"/>
      <c r="AF96" s="47"/>
      <c r="AG96" s="47"/>
      <c r="AH96" s="77">
        <f t="shared" si="98"/>
        <v>0</v>
      </c>
      <c r="AI96" s="77">
        <f t="shared" ref="AI96:AI101" si="124">(LEN($C96)-LEN(SUBSTITUTE(UPPER($C96),UPPER(AH$1),"")))/LEN(AH$1)</f>
        <v>0</v>
      </c>
      <c r="AJ96" s="77">
        <f t="shared" ref="AJ96:AJ101" si="125">(LEN($D96)-LEN(SUBSTITUTE(UPPER($D96),UPPER(AH$1),"")))/LEN(AH$1)</f>
        <v>0</v>
      </c>
      <c r="AK96" s="78">
        <f t="shared" ref="AK96:AK101" si="126">SUM(AH96:AJ96)</f>
        <v>0</v>
      </c>
      <c r="AL96" s="77">
        <f t="shared" si="99"/>
        <v>0</v>
      </c>
      <c r="AM96" s="77">
        <f t="shared" ref="AM96:AM101" si="127">(LEN($C96)-LEN(SUBSTITUTE(UPPER($C96),UPPER(AL$1),"")))/LEN(AL$1)</f>
        <v>0</v>
      </c>
      <c r="AN96" s="77">
        <f t="shared" ref="AN96:AN101" si="128">(LEN($D96)-LEN(SUBSTITUTE(UPPER($D96),UPPER(AL$1),"")))/LEN(AL$1)</f>
        <v>0</v>
      </c>
      <c r="AO96" s="78">
        <f t="shared" ref="AO96:AO101" si="129">SUM(AL96:AN96)</f>
        <v>0</v>
      </c>
      <c r="AP96" s="77">
        <f t="shared" si="100"/>
        <v>0</v>
      </c>
      <c r="AQ96" s="77">
        <f t="shared" ref="AQ96:AQ101" si="130">(LEN($C96)-LEN(SUBSTITUTE(UPPER($C96),UPPER(AP$1),"")))/LEN(AP$1)</f>
        <v>0</v>
      </c>
      <c r="AR96" s="77">
        <f t="shared" ref="AR96:AR101" si="131">(LEN($D96)-LEN(SUBSTITUTE(UPPER($D96),UPPER(AP$1),"")))/LEN(AP$1)</f>
        <v>0</v>
      </c>
      <c r="AS96" s="78">
        <f t="shared" ref="AS96:AS101" si="132">SUM(AP96:AR96)</f>
        <v>0</v>
      </c>
      <c r="AT96" s="79">
        <f t="shared" si="101"/>
        <v>0</v>
      </c>
      <c r="AU96" s="77">
        <f t="shared" ref="AU96:AU101" si="133">(LEN($C96)-LEN(SUBSTITUTE(UPPER($C96),UPPER(AT$1),"")))/LEN(AT$1)</f>
        <v>0</v>
      </c>
      <c r="AV96" s="77">
        <f t="shared" ref="AV96:AV101" si="134">(LEN($D96)-LEN(SUBSTITUTE(UPPER($D96),UPPER(AT$1),"")))/LEN(AT$1)</f>
        <v>0</v>
      </c>
      <c r="AW96" s="78">
        <f t="shared" ref="AW96:AW101" si="135">SUM(AT96:AV96)</f>
        <v>0</v>
      </c>
      <c r="AX96" s="77">
        <f t="shared" si="102"/>
        <v>0</v>
      </c>
      <c r="AY96" s="77">
        <f t="shared" ref="AY96:AY101" si="136">(LEN($C96)-LEN(SUBSTITUTE(UPPER($C96),UPPER(AX$1),"")))/LEN(AX$1)</f>
        <v>0</v>
      </c>
      <c r="AZ96" s="77">
        <f t="shared" ref="AZ96:AZ101" si="137">(LEN($D96)-LEN(SUBSTITUTE(UPPER($D96),UPPER(AX$1),"")))/LEN(AX$1)</f>
        <v>0</v>
      </c>
      <c r="BA96" s="78">
        <f t="shared" ref="BA96:BA101" si="138">SUM(AX96:AZ96)</f>
        <v>0</v>
      </c>
      <c r="BB96" s="77">
        <f t="shared" si="103"/>
        <v>0</v>
      </c>
      <c r="BC96" s="77">
        <f t="shared" ref="BC96:BC101" si="139">(LEN($C96)-LEN(SUBSTITUTE(UPPER($C96),UPPER(BB$1),"")))/LEN(BB$1)</f>
        <v>0</v>
      </c>
      <c r="BD96" s="77">
        <f t="shared" ref="BD96:BD101" si="140">(LEN($D96)-LEN(SUBSTITUTE(UPPER($D96),UPPER(BB$1),"")))/LEN(BB$1)</f>
        <v>0</v>
      </c>
      <c r="BE96" s="80">
        <f t="shared" ref="BE96:BE101" si="141">SUM(BB96:BD96)</f>
        <v>0</v>
      </c>
      <c r="BF96" s="44">
        <f t="shared" ref="BF96:BF101" si="142">AK96+AO96+AS96+AW96+BA96+BE96</f>
        <v>0</v>
      </c>
      <c r="BG96" s="45">
        <f t="shared" ref="BG96:BG101" si="143">IF((BF96)&gt;0,1,0)</f>
        <v>0</v>
      </c>
      <c r="BH96" s="46"/>
      <c r="BI96" s="47"/>
      <c r="BJ96" s="47"/>
    </row>
    <row r="97" spans="1:62">
      <c r="A97" s="84">
        <v>96</v>
      </c>
      <c r="B97" s="48"/>
      <c r="C97" s="49"/>
      <c r="D97" s="49"/>
      <c r="E97" s="40">
        <f t="shared" si="92"/>
        <v>0</v>
      </c>
      <c r="F97" s="40">
        <f t="shared" si="104"/>
        <v>0</v>
      </c>
      <c r="G97" s="40">
        <f t="shared" si="105"/>
        <v>0</v>
      </c>
      <c r="H97" s="41">
        <f t="shared" si="106"/>
        <v>0</v>
      </c>
      <c r="I97" s="40">
        <f t="shared" si="93"/>
        <v>0</v>
      </c>
      <c r="J97" s="40">
        <f t="shared" si="107"/>
        <v>0</v>
      </c>
      <c r="K97" s="40">
        <f t="shared" si="108"/>
        <v>0</v>
      </c>
      <c r="L97" s="41">
        <f t="shared" si="109"/>
        <v>0</v>
      </c>
      <c r="M97" s="40">
        <f t="shared" si="94"/>
        <v>0</v>
      </c>
      <c r="N97" s="40">
        <f t="shared" si="110"/>
        <v>0</v>
      </c>
      <c r="O97" s="40">
        <f t="shared" si="111"/>
        <v>0</v>
      </c>
      <c r="P97" s="41">
        <f t="shared" si="112"/>
        <v>0</v>
      </c>
      <c r="Q97" s="42">
        <f t="shared" si="95"/>
        <v>0</v>
      </c>
      <c r="R97" s="40">
        <f t="shared" si="113"/>
        <v>0</v>
      </c>
      <c r="S97" s="40">
        <f t="shared" si="114"/>
        <v>0</v>
      </c>
      <c r="T97" s="41">
        <f t="shared" si="115"/>
        <v>0</v>
      </c>
      <c r="U97" s="40">
        <f t="shared" si="96"/>
        <v>0</v>
      </c>
      <c r="V97" s="40">
        <f t="shared" si="116"/>
        <v>0</v>
      </c>
      <c r="W97" s="40">
        <f t="shared" si="117"/>
        <v>0</v>
      </c>
      <c r="X97" s="41">
        <f t="shared" si="118"/>
        <v>0</v>
      </c>
      <c r="Y97" s="40">
        <f t="shared" si="97"/>
        <v>0</v>
      </c>
      <c r="Z97" s="40">
        <f t="shared" si="119"/>
        <v>0</v>
      </c>
      <c r="AA97" s="40">
        <f t="shared" si="120"/>
        <v>0</v>
      </c>
      <c r="AB97" s="43">
        <f t="shared" si="121"/>
        <v>0</v>
      </c>
      <c r="AC97" s="44">
        <f t="shared" si="122"/>
        <v>0</v>
      </c>
      <c r="AD97" s="45">
        <f t="shared" si="123"/>
        <v>0</v>
      </c>
      <c r="AE97" s="46"/>
      <c r="AF97" s="47"/>
      <c r="AG97" s="47"/>
      <c r="AH97" s="77">
        <f t="shared" si="98"/>
        <v>0</v>
      </c>
      <c r="AI97" s="77">
        <f t="shared" si="124"/>
        <v>0</v>
      </c>
      <c r="AJ97" s="77">
        <f t="shared" si="125"/>
        <v>0</v>
      </c>
      <c r="AK97" s="78">
        <f t="shared" si="126"/>
        <v>0</v>
      </c>
      <c r="AL97" s="77">
        <f t="shared" si="99"/>
        <v>0</v>
      </c>
      <c r="AM97" s="77">
        <f t="shared" si="127"/>
        <v>0</v>
      </c>
      <c r="AN97" s="77">
        <f t="shared" si="128"/>
        <v>0</v>
      </c>
      <c r="AO97" s="78">
        <f t="shared" si="129"/>
        <v>0</v>
      </c>
      <c r="AP97" s="77">
        <f t="shared" si="100"/>
        <v>0</v>
      </c>
      <c r="AQ97" s="77">
        <f t="shared" si="130"/>
        <v>0</v>
      </c>
      <c r="AR97" s="77">
        <f t="shared" si="131"/>
        <v>0</v>
      </c>
      <c r="AS97" s="78">
        <f t="shared" si="132"/>
        <v>0</v>
      </c>
      <c r="AT97" s="79">
        <f t="shared" si="101"/>
        <v>0</v>
      </c>
      <c r="AU97" s="77">
        <f t="shared" si="133"/>
        <v>0</v>
      </c>
      <c r="AV97" s="77">
        <f t="shared" si="134"/>
        <v>0</v>
      </c>
      <c r="AW97" s="78">
        <f t="shared" si="135"/>
        <v>0</v>
      </c>
      <c r="AX97" s="77">
        <f t="shared" si="102"/>
        <v>0</v>
      </c>
      <c r="AY97" s="77">
        <f t="shared" si="136"/>
        <v>0</v>
      </c>
      <c r="AZ97" s="77">
        <f t="shared" si="137"/>
        <v>0</v>
      </c>
      <c r="BA97" s="78">
        <f t="shared" si="138"/>
        <v>0</v>
      </c>
      <c r="BB97" s="77">
        <f t="shared" si="103"/>
        <v>0</v>
      </c>
      <c r="BC97" s="77">
        <f t="shared" si="139"/>
        <v>0</v>
      </c>
      <c r="BD97" s="77">
        <f t="shared" si="140"/>
        <v>0</v>
      </c>
      <c r="BE97" s="80">
        <f t="shared" si="141"/>
        <v>0</v>
      </c>
      <c r="BF97" s="44">
        <f t="shared" si="142"/>
        <v>0</v>
      </c>
      <c r="BG97" s="45">
        <f t="shared" si="143"/>
        <v>0</v>
      </c>
      <c r="BH97" s="46"/>
      <c r="BI97" s="47"/>
      <c r="BJ97" s="47"/>
    </row>
    <row r="98" spans="1:62">
      <c r="A98" s="84">
        <v>97</v>
      </c>
      <c r="B98" s="48"/>
      <c r="C98" s="49"/>
      <c r="D98" s="49"/>
      <c r="E98" s="40">
        <f t="shared" si="92"/>
        <v>0</v>
      </c>
      <c r="F98" s="40">
        <f t="shared" si="104"/>
        <v>0</v>
      </c>
      <c r="G98" s="40">
        <f t="shared" si="105"/>
        <v>0</v>
      </c>
      <c r="H98" s="41">
        <f t="shared" si="106"/>
        <v>0</v>
      </c>
      <c r="I98" s="40">
        <f t="shared" si="93"/>
        <v>0</v>
      </c>
      <c r="J98" s="40">
        <f t="shared" si="107"/>
        <v>0</v>
      </c>
      <c r="K98" s="40">
        <f t="shared" si="108"/>
        <v>0</v>
      </c>
      <c r="L98" s="41">
        <f t="shared" si="109"/>
        <v>0</v>
      </c>
      <c r="M98" s="40">
        <f t="shared" si="94"/>
        <v>0</v>
      </c>
      <c r="N98" s="40">
        <f t="shared" si="110"/>
        <v>0</v>
      </c>
      <c r="O98" s="40">
        <f t="shared" si="111"/>
        <v>0</v>
      </c>
      <c r="P98" s="41">
        <f t="shared" si="112"/>
        <v>0</v>
      </c>
      <c r="Q98" s="42">
        <f t="shared" si="95"/>
        <v>0</v>
      </c>
      <c r="R98" s="40">
        <f t="shared" si="113"/>
        <v>0</v>
      </c>
      <c r="S98" s="40">
        <f t="shared" si="114"/>
        <v>0</v>
      </c>
      <c r="T98" s="41">
        <f t="shared" si="115"/>
        <v>0</v>
      </c>
      <c r="U98" s="40">
        <f t="shared" si="96"/>
        <v>0</v>
      </c>
      <c r="V98" s="40">
        <f t="shared" si="116"/>
        <v>0</v>
      </c>
      <c r="W98" s="40">
        <f t="shared" si="117"/>
        <v>0</v>
      </c>
      <c r="X98" s="41">
        <f t="shared" si="118"/>
        <v>0</v>
      </c>
      <c r="Y98" s="40">
        <f t="shared" si="97"/>
        <v>0</v>
      </c>
      <c r="Z98" s="40">
        <f t="shared" si="119"/>
        <v>0</v>
      </c>
      <c r="AA98" s="40">
        <f t="shared" si="120"/>
        <v>0</v>
      </c>
      <c r="AB98" s="43">
        <f t="shared" si="121"/>
        <v>0</v>
      </c>
      <c r="AC98" s="44">
        <f t="shared" si="122"/>
        <v>0</v>
      </c>
      <c r="AD98" s="45">
        <f t="shared" si="123"/>
        <v>0</v>
      </c>
      <c r="AE98" s="46"/>
      <c r="AF98" s="47"/>
      <c r="AG98" s="47"/>
      <c r="AH98" s="77">
        <f t="shared" si="98"/>
        <v>0</v>
      </c>
      <c r="AI98" s="77">
        <f t="shared" si="124"/>
        <v>0</v>
      </c>
      <c r="AJ98" s="77">
        <f t="shared" si="125"/>
        <v>0</v>
      </c>
      <c r="AK98" s="78">
        <f t="shared" si="126"/>
        <v>0</v>
      </c>
      <c r="AL98" s="77">
        <f t="shared" si="99"/>
        <v>0</v>
      </c>
      <c r="AM98" s="77">
        <f t="shared" si="127"/>
        <v>0</v>
      </c>
      <c r="AN98" s="77">
        <f t="shared" si="128"/>
        <v>0</v>
      </c>
      <c r="AO98" s="78">
        <f t="shared" si="129"/>
        <v>0</v>
      </c>
      <c r="AP98" s="77">
        <f t="shared" si="100"/>
        <v>0</v>
      </c>
      <c r="AQ98" s="77">
        <f t="shared" si="130"/>
        <v>0</v>
      </c>
      <c r="AR98" s="77">
        <f t="shared" si="131"/>
        <v>0</v>
      </c>
      <c r="AS98" s="78">
        <f t="shared" si="132"/>
        <v>0</v>
      </c>
      <c r="AT98" s="79">
        <f t="shared" si="101"/>
        <v>0</v>
      </c>
      <c r="AU98" s="77">
        <f t="shared" si="133"/>
        <v>0</v>
      </c>
      <c r="AV98" s="77">
        <f t="shared" si="134"/>
        <v>0</v>
      </c>
      <c r="AW98" s="78">
        <f t="shared" si="135"/>
        <v>0</v>
      </c>
      <c r="AX98" s="77">
        <f t="shared" si="102"/>
        <v>0</v>
      </c>
      <c r="AY98" s="77">
        <f t="shared" si="136"/>
        <v>0</v>
      </c>
      <c r="AZ98" s="77">
        <f t="shared" si="137"/>
        <v>0</v>
      </c>
      <c r="BA98" s="78">
        <f t="shared" si="138"/>
        <v>0</v>
      </c>
      <c r="BB98" s="77">
        <f t="shared" si="103"/>
        <v>0</v>
      </c>
      <c r="BC98" s="77">
        <f t="shared" si="139"/>
        <v>0</v>
      </c>
      <c r="BD98" s="77">
        <f t="shared" si="140"/>
        <v>0</v>
      </c>
      <c r="BE98" s="80">
        <f t="shared" si="141"/>
        <v>0</v>
      </c>
      <c r="BF98" s="44">
        <f t="shared" si="142"/>
        <v>0</v>
      </c>
      <c r="BG98" s="45">
        <f t="shared" si="143"/>
        <v>0</v>
      </c>
      <c r="BH98" s="46"/>
      <c r="BI98" s="47"/>
      <c r="BJ98" s="47"/>
    </row>
    <row r="99" spans="1:62">
      <c r="A99" s="84">
        <v>98</v>
      </c>
      <c r="B99" s="48"/>
      <c r="C99" s="49"/>
      <c r="D99" s="49"/>
      <c r="E99" s="40">
        <f t="shared" si="92"/>
        <v>0</v>
      </c>
      <c r="F99" s="40">
        <f t="shared" si="104"/>
        <v>0</v>
      </c>
      <c r="G99" s="40">
        <f t="shared" si="105"/>
        <v>0</v>
      </c>
      <c r="H99" s="41">
        <f t="shared" si="106"/>
        <v>0</v>
      </c>
      <c r="I99" s="40">
        <f t="shared" si="93"/>
        <v>0</v>
      </c>
      <c r="J99" s="40">
        <f t="shared" si="107"/>
        <v>0</v>
      </c>
      <c r="K99" s="40">
        <f t="shared" si="108"/>
        <v>0</v>
      </c>
      <c r="L99" s="41">
        <f t="shared" si="109"/>
        <v>0</v>
      </c>
      <c r="M99" s="40">
        <f t="shared" si="94"/>
        <v>0</v>
      </c>
      <c r="N99" s="40">
        <f t="shared" si="110"/>
        <v>0</v>
      </c>
      <c r="O99" s="40">
        <f t="shared" si="111"/>
        <v>0</v>
      </c>
      <c r="P99" s="41">
        <f t="shared" si="112"/>
        <v>0</v>
      </c>
      <c r="Q99" s="42">
        <f t="shared" si="95"/>
        <v>0</v>
      </c>
      <c r="R99" s="40">
        <f t="shared" si="113"/>
        <v>0</v>
      </c>
      <c r="S99" s="40">
        <f t="shared" si="114"/>
        <v>0</v>
      </c>
      <c r="T99" s="41">
        <f t="shared" si="115"/>
        <v>0</v>
      </c>
      <c r="U99" s="40">
        <f t="shared" si="96"/>
        <v>0</v>
      </c>
      <c r="V99" s="40">
        <f t="shared" si="116"/>
        <v>0</v>
      </c>
      <c r="W99" s="40">
        <f t="shared" si="117"/>
        <v>0</v>
      </c>
      <c r="X99" s="41">
        <f t="shared" si="118"/>
        <v>0</v>
      </c>
      <c r="Y99" s="40">
        <f t="shared" si="97"/>
        <v>0</v>
      </c>
      <c r="Z99" s="40">
        <f t="shared" si="119"/>
        <v>0</v>
      </c>
      <c r="AA99" s="40">
        <f t="shared" si="120"/>
        <v>0</v>
      </c>
      <c r="AB99" s="43">
        <f t="shared" si="121"/>
        <v>0</v>
      </c>
      <c r="AC99" s="44">
        <f t="shared" si="122"/>
        <v>0</v>
      </c>
      <c r="AD99" s="45">
        <f t="shared" si="123"/>
        <v>0</v>
      </c>
      <c r="AE99" s="46"/>
      <c r="AF99" s="47"/>
      <c r="AG99" s="47"/>
      <c r="AH99" s="77">
        <f t="shared" si="98"/>
        <v>0</v>
      </c>
      <c r="AI99" s="77">
        <f t="shared" si="124"/>
        <v>0</v>
      </c>
      <c r="AJ99" s="77">
        <f t="shared" si="125"/>
        <v>0</v>
      </c>
      <c r="AK99" s="78">
        <f t="shared" si="126"/>
        <v>0</v>
      </c>
      <c r="AL99" s="77">
        <f t="shared" si="99"/>
        <v>0</v>
      </c>
      <c r="AM99" s="77">
        <f t="shared" si="127"/>
        <v>0</v>
      </c>
      <c r="AN99" s="77">
        <f t="shared" si="128"/>
        <v>0</v>
      </c>
      <c r="AO99" s="78">
        <f t="shared" si="129"/>
        <v>0</v>
      </c>
      <c r="AP99" s="77">
        <f t="shared" si="100"/>
        <v>0</v>
      </c>
      <c r="AQ99" s="77">
        <f t="shared" si="130"/>
        <v>0</v>
      </c>
      <c r="AR99" s="77">
        <f t="shared" si="131"/>
        <v>0</v>
      </c>
      <c r="AS99" s="78">
        <f t="shared" si="132"/>
        <v>0</v>
      </c>
      <c r="AT99" s="79">
        <f t="shared" si="101"/>
        <v>0</v>
      </c>
      <c r="AU99" s="77">
        <f t="shared" si="133"/>
        <v>0</v>
      </c>
      <c r="AV99" s="77">
        <f t="shared" si="134"/>
        <v>0</v>
      </c>
      <c r="AW99" s="78">
        <f t="shared" si="135"/>
        <v>0</v>
      </c>
      <c r="AX99" s="77">
        <f t="shared" si="102"/>
        <v>0</v>
      </c>
      <c r="AY99" s="77">
        <f t="shared" si="136"/>
        <v>0</v>
      </c>
      <c r="AZ99" s="77">
        <f t="shared" si="137"/>
        <v>0</v>
      </c>
      <c r="BA99" s="78">
        <f t="shared" si="138"/>
        <v>0</v>
      </c>
      <c r="BB99" s="77">
        <f t="shared" si="103"/>
        <v>0</v>
      </c>
      <c r="BC99" s="77">
        <f t="shared" si="139"/>
        <v>0</v>
      </c>
      <c r="BD99" s="77">
        <f t="shared" si="140"/>
        <v>0</v>
      </c>
      <c r="BE99" s="80">
        <f t="shared" si="141"/>
        <v>0</v>
      </c>
      <c r="BF99" s="44">
        <f t="shared" si="142"/>
        <v>0</v>
      </c>
      <c r="BG99" s="45">
        <f t="shared" si="143"/>
        <v>0</v>
      </c>
      <c r="BH99" s="46"/>
      <c r="BI99" s="47"/>
      <c r="BJ99" s="47"/>
    </row>
    <row r="100" spans="1:62">
      <c r="A100" s="84">
        <v>99</v>
      </c>
      <c r="B100" s="48"/>
      <c r="C100" s="49"/>
      <c r="D100" s="49"/>
      <c r="E100" s="40">
        <f t="shared" si="92"/>
        <v>0</v>
      </c>
      <c r="F100" s="40">
        <f t="shared" si="104"/>
        <v>0</v>
      </c>
      <c r="G100" s="40">
        <f t="shared" si="105"/>
        <v>0</v>
      </c>
      <c r="H100" s="41">
        <f t="shared" si="106"/>
        <v>0</v>
      </c>
      <c r="I100" s="40">
        <f t="shared" si="93"/>
        <v>0</v>
      </c>
      <c r="J100" s="40">
        <f t="shared" si="107"/>
        <v>0</v>
      </c>
      <c r="K100" s="40">
        <f t="shared" si="108"/>
        <v>0</v>
      </c>
      <c r="L100" s="41">
        <f t="shared" si="109"/>
        <v>0</v>
      </c>
      <c r="M100" s="40">
        <f t="shared" si="94"/>
        <v>0</v>
      </c>
      <c r="N100" s="40">
        <f t="shared" si="110"/>
        <v>0</v>
      </c>
      <c r="O100" s="40">
        <f t="shared" si="111"/>
        <v>0</v>
      </c>
      <c r="P100" s="41">
        <f t="shared" si="112"/>
        <v>0</v>
      </c>
      <c r="Q100" s="42">
        <f t="shared" si="95"/>
        <v>0</v>
      </c>
      <c r="R100" s="40">
        <f t="shared" si="113"/>
        <v>0</v>
      </c>
      <c r="S100" s="40">
        <f t="shared" si="114"/>
        <v>0</v>
      </c>
      <c r="T100" s="41">
        <f t="shared" si="115"/>
        <v>0</v>
      </c>
      <c r="U100" s="40">
        <f t="shared" si="96"/>
        <v>0</v>
      </c>
      <c r="V100" s="40">
        <f t="shared" si="116"/>
        <v>0</v>
      </c>
      <c r="W100" s="40">
        <f t="shared" si="117"/>
        <v>0</v>
      </c>
      <c r="X100" s="41">
        <f t="shared" si="118"/>
        <v>0</v>
      </c>
      <c r="Y100" s="40">
        <f t="shared" si="97"/>
        <v>0</v>
      </c>
      <c r="Z100" s="40">
        <f t="shared" si="119"/>
        <v>0</v>
      </c>
      <c r="AA100" s="40">
        <f t="shared" si="120"/>
        <v>0</v>
      </c>
      <c r="AB100" s="43">
        <f t="shared" si="121"/>
        <v>0</v>
      </c>
      <c r="AC100" s="44">
        <f t="shared" si="122"/>
        <v>0</v>
      </c>
      <c r="AD100" s="45">
        <f t="shared" si="123"/>
        <v>0</v>
      </c>
      <c r="AE100" s="46"/>
      <c r="AF100" s="47"/>
      <c r="AG100" s="47"/>
      <c r="AH100" s="77">
        <f t="shared" si="98"/>
        <v>0</v>
      </c>
      <c r="AI100" s="77">
        <f t="shared" si="124"/>
        <v>0</v>
      </c>
      <c r="AJ100" s="77">
        <f t="shared" si="125"/>
        <v>0</v>
      </c>
      <c r="AK100" s="78">
        <f t="shared" si="126"/>
        <v>0</v>
      </c>
      <c r="AL100" s="77">
        <f t="shared" si="99"/>
        <v>0</v>
      </c>
      <c r="AM100" s="77">
        <f t="shared" si="127"/>
        <v>0</v>
      </c>
      <c r="AN100" s="77">
        <f t="shared" si="128"/>
        <v>0</v>
      </c>
      <c r="AO100" s="78">
        <f t="shared" si="129"/>
        <v>0</v>
      </c>
      <c r="AP100" s="77">
        <f t="shared" si="100"/>
        <v>0</v>
      </c>
      <c r="AQ100" s="77">
        <f t="shared" si="130"/>
        <v>0</v>
      </c>
      <c r="AR100" s="77">
        <f t="shared" si="131"/>
        <v>0</v>
      </c>
      <c r="AS100" s="78">
        <f t="shared" si="132"/>
        <v>0</v>
      </c>
      <c r="AT100" s="79">
        <f t="shared" si="101"/>
        <v>0</v>
      </c>
      <c r="AU100" s="77">
        <f t="shared" si="133"/>
        <v>0</v>
      </c>
      <c r="AV100" s="77">
        <f t="shared" si="134"/>
        <v>0</v>
      </c>
      <c r="AW100" s="78">
        <f t="shared" si="135"/>
        <v>0</v>
      </c>
      <c r="AX100" s="77">
        <f t="shared" si="102"/>
        <v>0</v>
      </c>
      <c r="AY100" s="77">
        <f t="shared" si="136"/>
        <v>0</v>
      </c>
      <c r="AZ100" s="77">
        <f t="shared" si="137"/>
        <v>0</v>
      </c>
      <c r="BA100" s="78">
        <f t="shared" si="138"/>
        <v>0</v>
      </c>
      <c r="BB100" s="77">
        <f t="shared" si="103"/>
        <v>0</v>
      </c>
      <c r="BC100" s="77">
        <f t="shared" si="139"/>
        <v>0</v>
      </c>
      <c r="BD100" s="77">
        <f t="shared" si="140"/>
        <v>0</v>
      </c>
      <c r="BE100" s="80">
        <f t="shared" si="141"/>
        <v>0</v>
      </c>
      <c r="BF100" s="44">
        <f t="shared" si="142"/>
        <v>0</v>
      </c>
      <c r="BG100" s="45">
        <f t="shared" si="143"/>
        <v>0</v>
      </c>
      <c r="BH100" s="46"/>
      <c r="BI100" s="47"/>
      <c r="BJ100" s="47"/>
    </row>
    <row r="101" spans="1:62">
      <c r="A101" s="84">
        <v>100</v>
      </c>
      <c r="B101" s="48"/>
      <c r="C101" s="49"/>
      <c r="D101" s="49"/>
      <c r="E101" s="40">
        <f t="shared" si="92"/>
        <v>0</v>
      </c>
      <c r="F101" s="40">
        <f t="shared" si="104"/>
        <v>0</v>
      </c>
      <c r="G101" s="40">
        <f t="shared" si="105"/>
        <v>0</v>
      </c>
      <c r="H101" s="41">
        <f t="shared" si="106"/>
        <v>0</v>
      </c>
      <c r="I101" s="40">
        <f t="shared" si="93"/>
        <v>0</v>
      </c>
      <c r="J101" s="40">
        <f t="shared" si="107"/>
        <v>0</v>
      </c>
      <c r="K101" s="40">
        <f t="shared" si="108"/>
        <v>0</v>
      </c>
      <c r="L101" s="41">
        <f t="shared" si="109"/>
        <v>0</v>
      </c>
      <c r="M101" s="40">
        <f t="shared" si="94"/>
        <v>0</v>
      </c>
      <c r="N101" s="40">
        <f t="shared" si="110"/>
        <v>0</v>
      </c>
      <c r="O101" s="40">
        <f t="shared" si="111"/>
        <v>0</v>
      </c>
      <c r="P101" s="41">
        <f t="shared" si="112"/>
        <v>0</v>
      </c>
      <c r="Q101" s="42">
        <f t="shared" si="95"/>
        <v>0</v>
      </c>
      <c r="R101" s="40">
        <f t="shared" si="113"/>
        <v>0</v>
      </c>
      <c r="S101" s="40">
        <f t="shared" si="114"/>
        <v>0</v>
      </c>
      <c r="T101" s="41">
        <f t="shared" si="115"/>
        <v>0</v>
      </c>
      <c r="U101" s="40">
        <f t="shared" si="96"/>
        <v>0</v>
      </c>
      <c r="V101" s="40">
        <f t="shared" si="116"/>
        <v>0</v>
      </c>
      <c r="W101" s="40">
        <f t="shared" si="117"/>
        <v>0</v>
      </c>
      <c r="X101" s="41">
        <f t="shared" si="118"/>
        <v>0</v>
      </c>
      <c r="Y101" s="40">
        <f t="shared" si="97"/>
        <v>0</v>
      </c>
      <c r="Z101" s="40">
        <f t="shared" si="119"/>
        <v>0</v>
      </c>
      <c r="AA101" s="40">
        <f t="shared" si="120"/>
        <v>0</v>
      </c>
      <c r="AB101" s="43">
        <f t="shared" si="121"/>
        <v>0</v>
      </c>
      <c r="AC101" s="44">
        <f t="shared" si="122"/>
        <v>0</v>
      </c>
      <c r="AD101" s="45">
        <f t="shared" si="123"/>
        <v>0</v>
      </c>
      <c r="AE101" s="46"/>
      <c r="AF101" s="47"/>
      <c r="AG101" s="47"/>
      <c r="AH101" s="77">
        <f t="shared" si="98"/>
        <v>0</v>
      </c>
      <c r="AI101" s="77">
        <f t="shared" si="124"/>
        <v>0</v>
      </c>
      <c r="AJ101" s="77">
        <f t="shared" si="125"/>
        <v>0</v>
      </c>
      <c r="AK101" s="78">
        <f t="shared" si="126"/>
        <v>0</v>
      </c>
      <c r="AL101" s="77">
        <f t="shared" si="99"/>
        <v>0</v>
      </c>
      <c r="AM101" s="77">
        <f t="shared" si="127"/>
        <v>0</v>
      </c>
      <c r="AN101" s="77">
        <f t="shared" si="128"/>
        <v>0</v>
      </c>
      <c r="AO101" s="78">
        <f t="shared" si="129"/>
        <v>0</v>
      </c>
      <c r="AP101" s="77">
        <f t="shared" si="100"/>
        <v>0</v>
      </c>
      <c r="AQ101" s="77">
        <f t="shared" si="130"/>
        <v>0</v>
      </c>
      <c r="AR101" s="77">
        <f t="shared" si="131"/>
        <v>0</v>
      </c>
      <c r="AS101" s="78">
        <f t="shared" si="132"/>
        <v>0</v>
      </c>
      <c r="AT101" s="79">
        <f t="shared" si="101"/>
        <v>0</v>
      </c>
      <c r="AU101" s="77">
        <f t="shared" si="133"/>
        <v>0</v>
      </c>
      <c r="AV101" s="77">
        <f t="shared" si="134"/>
        <v>0</v>
      </c>
      <c r="AW101" s="78">
        <f t="shared" si="135"/>
        <v>0</v>
      </c>
      <c r="AX101" s="77">
        <f t="shared" si="102"/>
        <v>0</v>
      </c>
      <c r="AY101" s="77">
        <f t="shared" si="136"/>
        <v>0</v>
      </c>
      <c r="AZ101" s="77">
        <f t="shared" si="137"/>
        <v>0</v>
      </c>
      <c r="BA101" s="78">
        <f t="shared" si="138"/>
        <v>0</v>
      </c>
      <c r="BB101" s="77">
        <f t="shared" si="103"/>
        <v>0</v>
      </c>
      <c r="BC101" s="77">
        <f t="shared" si="139"/>
        <v>0</v>
      </c>
      <c r="BD101" s="77">
        <f t="shared" si="140"/>
        <v>0</v>
      </c>
      <c r="BE101" s="80">
        <f t="shared" si="141"/>
        <v>0</v>
      </c>
      <c r="BF101" s="44">
        <f t="shared" si="142"/>
        <v>0</v>
      </c>
      <c r="BG101" s="45">
        <f t="shared" si="143"/>
        <v>0</v>
      </c>
      <c r="BH101" s="46"/>
      <c r="BI101" s="47"/>
      <c r="BJ101" s="47"/>
    </row>
  </sheetData>
  <conditionalFormatting sqref="E2:AB101">
    <cfRule type="cellIs" dxfId="5" priority="5" operator="greaterThan">
      <formula>0</formula>
    </cfRule>
    <cfRule type="cellIs" dxfId="4" priority="6" operator="equal">
      <formula>1</formula>
    </cfRule>
  </conditionalFormatting>
  <conditionalFormatting sqref="H2:H101 L2:L101 P2:P101 T2:T101 X2:X101">
    <cfRule type="cellIs" dxfId="3" priority="4" operator="greaterThan">
      <formula>0</formula>
    </cfRule>
  </conditionalFormatting>
  <conditionalFormatting sqref="AD2:AD101">
    <cfRule type="colorScale" priority="8">
      <colorScale>
        <cfvo type="min"/>
        <cfvo type="percentile" val="50"/>
        <cfvo type="max"/>
        <color theme="0"/>
        <color theme="0"/>
        <color theme="9" tint="0.59999389629810485"/>
      </colorScale>
    </cfRule>
  </conditionalFormatting>
  <conditionalFormatting sqref="AH2:BE101">
    <cfRule type="cellIs" dxfId="2" priority="2" operator="greaterThan">
      <formula>0</formula>
    </cfRule>
    <cfRule type="cellIs" dxfId="1" priority="3" operator="equal">
      <formula>1</formula>
    </cfRule>
  </conditionalFormatting>
  <conditionalFormatting sqref="AK2:AK101 AO2:AO101 AS2:AS101 AW2:AW101 BA2:BA101">
    <cfRule type="cellIs" dxfId="0" priority="1" operator="greaterThan">
      <formula>0</formula>
    </cfRule>
  </conditionalFormatting>
  <conditionalFormatting sqref="BG2:BG101">
    <cfRule type="colorScale" priority="7">
      <colorScale>
        <cfvo type="min"/>
        <cfvo type="percentile" val="50"/>
        <cfvo type="max"/>
        <color theme="0"/>
        <color theme="0"/>
        <color theme="9" tint="0.59999389629810485"/>
      </colorScale>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A6D0A-4E41-4074-964B-B07C353AB694}">
  <dimension ref="B2"/>
  <sheetViews>
    <sheetView topLeftCell="AC1" workbookViewId="0">
      <selection activeCell="F11" sqref="F11"/>
    </sheetView>
  </sheetViews>
  <sheetFormatPr defaultRowHeight="14.5"/>
  <sheetData>
    <row r="2" spans="2:2" ht="33.5">
      <c r="B2" s="86" t="s">
        <v>3291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5C32797DECC54DB5995C67AEBF977F" ma:contentTypeVersion="4" ma:contentTypeDescription="Create a new document." ma:contentTypeScope="" ma:versionID="12ec25e6dbac6a4ac7263b65e4415847">
  <xsd:schema xmlns:xsd="http://www.w3.org/2001/XMLSchema" xmlns:xs="http://www.w3.org/2001/XMLSchema" xmlns:p="http://schemas.microsoft.com/office/2006/metadata/properties" xmlns:ns2="9b61105e-baa5-4713-a2b0-12eabdc8f91c" targetNamespace="http://schemas.microsoft.com/office/2006/metadata/properties" ma:root="true" ma:fieldsID="aece822967e0d9ef222f3f3fef830576" ns2:_="">
    <xsd:import namespace="9b61105e-baa5-4713-a2b0-12eabdc8f91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61105e-baa5-4713-a2b0-12eabdc8f9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17894B5B-AB1F-45F8-A5B6-66C62D614575}">
  <ds:schemaRefs>
    <ds:schemaRef ds:uri="http://schemas.microsoft.com/sharepoint/v3/contenttype/forms"/>
  </ds:schemaRefs>
</ds:datastoreItem>
</file>

<file path=customXml/itemProps2.xml><?xml version="1.0" encoding="utf-8"?>
<ds:datastoreItem xmlns:ds="http://schemas.openxmlformats.org/officeDocument/2006/customXml" ds:itemID="{24D0892A-9C23-4E76-9C7F-18912F8E21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61105e-baa5-4713-a2b0-12eabdc8f9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B3B77A-3A3E-49AE-A1D5-4A2352F0CC17}">
  <ds:schemaRefs>
    <ds:schemaRef ds:uri="http://www.w3.org/XML/1998/namespace"/>
    <ds:schemaRef ds:uri="http://purl.org/dc/dcmitype/"/>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9b61105e-baa5-4713-a2b0-12eabdc8f91c"/>
    <ds:schemaRef ds:uri="http://schemas.microsoft.com/office/2006/metadata/properties"/>
  </ds:schemaRefs>
</ds:datastoreItem>
</file>

<file path=customXml/itemProps4.xml><?xml version="1.0" encoding="utf-8"?>
<ds:datastoreItem xmlns:ds="http://schemas.openxmlformats.org/officeDocument/2006/customXml" ds:itemID="{D5982D9B-FB17-4E3D-9069-227420EB7A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Scopus</vt:lpstr>
      <vt:lpstr>Titles</vt:lpstr>
      <vt:lpstr>Abstracts</vt:lpstr>
      <vt:lpstr>Data extraction</vt:lpstr>
      <vt:lpstr>Quotes</vt:lpstr>
      <vt:lpstr>Variable Search</vt:lpstr>
      <vt:lpstr>more tabs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Pulles, K.</dc:creator>
  <cp:keywords/>
  <dc:description/>
  <cp:lastModifiedBy>Arhip, Victor</cp:lastModifiedBy>
  <cp:revision/>
  <dcterms:created xsi:type="dcterms:W3CDTF">2020-11-13T13:01:03Z</dcterms:created>
  <dcterms:modified xsi:type="dcterms:W3CDTF">2026-05-10T22:14:00Z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0x0101006E5C32797DECC54DB5995C67AEBF977F</vt:lpwstr>
  </property>
</Properties>
</file>